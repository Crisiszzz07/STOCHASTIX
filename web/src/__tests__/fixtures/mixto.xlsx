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neal Mixto" sheetId="1" r:id="rId1"/>
    <sheet name="Auxiliares" sheetId="2" r:id="rId4"/>
  </sheets>
  <calcPr calcId="122211"/>
</workbook>
</file>

<file path=xl/sharedStrings.xml><?xml version="1.0" encoding="utf-8"?>
<sst xmlns="http://schemas.openxmlformats.org/spreadsheetml/2006/main" count="84" uniqueCount="84">
  <si>
    <t>🧮  Auxiliares — Trazabilidad de Fórmulas</t>
  </si>
  <si>
    <t>Cada celda de esta hoja es una fórmula real. El panel de auditoría de "Lineal Mixto" referencia estos cálculos, así que todo se recalcula si cambian los parámetros.</t>
  </si>
  <si>
    <t>📐  Prueba de Promedios — Z_0</t>
  </si>
  <si>
    <t>Cantidad</t>
  </si>
  <si>
    <t>Valor</t>
  </si>
  <si>
    <t>Media (R̄) = AVERAGE(R_i)</t>
  </si>
  <si>
    <t>N = COUNT(R_i)</t>
  </si>
  <si>
    <t>Z_0 = (R̄-0.5)·√N / √(1/12)  [sin valor absoluto]</t>
  </si>
  <si>
    <t>📊  Prueba de Frecuencias / Entropía — Tabla de 10 clases</t>
  </si>
  <si>
    <t>Clase (k)</t>
  </si>
  <si>
    <t>Límite inf.</t>
  </si>
  <si>
    <t>Límite sup.</t>
  </si>
  <si>
    <t>Oi (observado)</t>
  </si>
  <si>
    <t>Ei (esperado)</t>
  </si>
  <si>
    <t>(Oi-Ei)²/Ei</t>
  </si>
  <si>
    <t>pi = Oi/N</t>
  </si>
  <si>
    <t>Aporte entropía -piㆍlog2(pi)</t>
  </si>
  <si>
    <t>📈  Kolmogorov-Smirnov — R_i ordenados ascendentemente</t>
  </si>
  <si>
    <t>k</t>
  </si>
  <si>
    <t>R(k) [k-ésimo menor]</t>
  </si>
  <si>
    <t>k/N</t>
  </si>
  <si>
    <t>|k/N - R(k)|</t>
  </si>
  <si>
    <t>🎯  Monte Carlo para Pi — Pares (R_2j-1, R_2j)</t>
  </si>
  <si>
    <t>Par (j)</t>
  </si>
  <si>
    <t>X = R(2j-1)</t>
  </si>
  <si>
    <t>Y = R(2j)</t>
  </si>
  <si>
    <t>X²+Y²</t>
  </si>
  <si>
    <t>¿Dentro del círculo? (1/0)</t>
  </si>
  <si>
    <t>Pares totales</t>
  </si>
  <si>
    <t>Aciertos (dentro del círculo)</t>
  </si>
  <si>
    <t>π estimado = 4 × Aciertos / Pares</t>
  </si>
  <si>
    <t>Error = |π estimado - π|  (0 si no hay pares)</t>
  </si>
  <si>
    <t>📏  Distancia (Coss Bu) — Longitud de racha entre aciertos en [α, β]</t>
  </si>
  <si>
    <t>α (constante del método)</t>
  </si>
  <si>
    <t>β (constante del método)</t>
  </si>
  <si>
    <t>θ = β - α</t>
  </si>
  <si>
    <t>i</t>
  </si>
  <si>
    <t>r_i</t>
  </si>
  <si>
    <t>¿En [α, β]? (1/0)</t>
  </si>
  <si>
    <t>Racha activa (acumulado)</t>
  </si>
  <si>
    <t>Contador de racha</t>
  </si>
  <si>
    <t>Racha registrada (bucket)</t>
  </si>
  <si>
    <t/>
  </si>
  <si>
    <t>Bucket (long. de racha)</t>
  </si>
  <si>
    <t>Probabilidad teórica</t>
  </si>
  <si>
    <t>Ei = ΣOi × p</t>
  </si>
  <si>
    <t>≥3</t>
  </si>
  <si>
    <t>🔳  Series (Coss Bu) — Pares consecutivos solapados en cuadrícula 5×5</t>
  </si>
  <si>
    <t>X = r_i</t>
  </si>
  <si>
    <t>Y = r_(i+1)</t>
  </si>
  <si>
    <t>BinX (0-4)</t>
  </si>
  <si>
    <t>BinY (0-4)</t>
  </si>
  <si>
    <t>Bin combinado (0-24)</t>
  </si>
  <si>
    <t>Bin (0-24)</t>
  </si>
  <si>
    <t>Ei = (N-1)/25</t>
  </si>
  <si>
    <t>(Oi-Ei)²</t>
  </si>
  <si>
    <t>Pares de la serie = N - 1</t>
  </si>
  <si>
    <t>Chi-cuadrada Series = (25/Pares) × Σ(Oi-Ei)²  (Pares se protege con MAX(·,1); Σ ya es 0 sin pares)</t>
  </si>
  <si>
    <t>📊  SIMULACIÓN — Lineal Mixto</t>
  </si>
  <si>
    <t>Motor de Validación Multiteoría  •  Exportado automáticamente</t>
  </si>
  <si>
    <t>X_i</t>
  </si>
  <si>
    <t>R_i</t>
  </si>
  <si>
    <t>Estado</t>
  </si>
  <si>
    <t>⚙️  Parámetros</t>
  </si>
  <si>
    <t>🛡️ AUDITORÍA ESTADÍSTICA</t>
  </si>
  <si>
    <t>Prueba</t>
  </si>
  <si>
    <t>Estadístico</t>
  </si>
  <si>
    <t>Valor Crítico</t>
  </si>
  <si>
    <t>Semilla (X0)</t>
  </si>
  <si>
    <t>a</t>
  </si>
  <si>
    <t>c</t>
  </si>
  <si>
    <t>m</t>
  </si>
  <si>
    <t>N</t>
  </si>
  <si>
    <t>Promedios (Z_0)</t>
  </si>
  <si>
    <t>Frecuencias (Chi-cuadrada)</t>
  </si>
  <si>
    <t>Kolmogorov-Smirnov (D_n)</t>
  </si>
  <si>
    <t>Entropía de Shannon (Bits)</t>
  </si>
  <si>
    <t>Monte Carlo para Pi (Error Absoluto)</t>
  </si>
  <si>
    <t>Distancia (Coss Bu)</t>
  </si>
  <si>
    <t>Series (Coss Bu)</t>
  </si>
  <si>
    <t>✓</t>
  </si>
  <si>
    <t>🔄 Ciclo</t>
  </si>
  <si>
    <t>Total generados:</t>
  </si>
  <si>
    <t>Ciclos detectados: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</si>
</sst>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1"/>
      <color theme="1"/>
      <name val="Calibri"/>
      <family val="2"/>
    </font>
    <font>
      <b val="1"/>
      <sz val="14"/>
      <color rgb="FFFFFFFF"/>
      <name val="Calibri"/>
      <family val="2"/>
    </font>
    <font>
      <i val="1"/>
      <sz val="10"/>
      <color rgb="FF5B21B6"/>
      <name val="Calibri"/>
      <family val="2"/>
    </font>
    <font>
      <b val="1"/>
      <sz val="11"/>
      <color rgb="FFFFFFFF"/>
      <name val="Calibri"/>
      <family val="2"/>
    </font>
    <font>
      <b val="1"/>
      <sz val="9"/>
      <color rgb="FFFFFFFF"/>
      <name val="Calibri"/>
      <family val="2"/>
    </font>
    <font>
      <sz val="9"/>
      <color/>
      <name val="Calibri"/>
      <family val="2"/>
    </font>
    <font>
      <b val="1"/>
      <sz val="9"/>
      <color rgb="FF3B0764"/>
      <name val="Calibri"/>
      <family val="2"/>
    </font>
    <font>
      <i val="1"/>
      <sz val="10"/>
      <color rgb="FFA78BFA"/>
      <name val="Calibri"/>
      <family val="2"/>
    </font>
    <font>
      <sz val="10"/>
      <color/>
      <name val="Calibri"/>
      <family val="2"/>
    </font>
    <font>
      <b val="1"/>
      <sz val="10"/>
      <color rgb="FF92400E"/>
      <name val="Calibri"/>
      <family val="2"/>
    </font>
    <font>
      <b val="1"/>
      <sz val="11"/>
      <color rgb="FF5B21B6"/>
      <name val="Calibri"/>
      <family val="2"/>
    </font>
    <font>
      <b val="1"/>
      <sz val="10"/>
      <color rgb="FF3B0764"/>
      <name val="Calibri"/>
      <family val="2"/>
    </font>
    <font>
      <b val="1"/>
      <sz val="10"/>
      <color rgb="FF111827"/>
      <name val="Calibri"/>
      <family val="2"/>
    </font>
  </fonts>
  <fills count="9">
    <fill>
      <patternFill patternType="none"/>
    </fill>
    <fill>
      <patternFill patternType="gray125"/>
    </fill>
    <fill>
      <patternFill patternType="solid">
        <fgColor rgb="FF2E1065"/>
      </patternFill>
    </fill>
    <fill>
      <patternFill patternType="solid">
        <fgColor rgb="FF7C3AED"/>
      </patternFill>
    </fill>
    <fill>
      <patternFill patternType="solid">
        <fgColor rgb="FF0F172A"/>
      </patternFill>
    </fill>
    <fill>
      <patternFill patternType="solid">
        <fgColor rgb="FFFAF5FF"/>
      </patternFill>
    </fill>
    <fill>
      <patternFill patternType="solid">
        <fgColor rgb="FFF3F4F6"/>
      </patternFill>
    </fill>
    <fill>
      <patternFill patternType="solid">
        <fgColor rgb="FFFEF9C3"/>
      </patternFill>
    </fill>
    <fill>
      <patternFill patternType="solid">
        <fgColor rgb="FFEDE9FE"/>
      </patternFill>
    </fill>
  </fills>
  <borders count="2">
    <border>
      <left/>
      <right/>
      <top/>
      <bottom/>
      <diagonal/>
    </border>
    <border>
      <left style="thin">
        <color rgb="FFC4B5FD"/>
      </left>
      <right style="thin">
        <color rgb="FFC4B5FD"/>
      </right>
      <top style="thin">
        <color rgb="FFC4B5FD"/>
      </top>
      <bottom style="thin">
        <color rgb="FFC4B5FD"/>
      </bottom>
      <diagonal/>
    </border>
  </borders>
  <cellStyleXfs count="1">
    <xf numFmtId="0" fontId="0" fillId="0" borderId="0"/>
  </cellStyleXfs>
  <cellXfs count="18">
    <xf numFmtId="0" fontId="0" fillId="0" borderId="0" xfId="0"/>
    <xf numFmtId="0" fontId="1" fillId="2" borderId="0" xfId="0" applyFont="true" applyFill="true" applyAlignment="true">
      <alignment horizontal="left" indent="1" vertical="center"/>
    </xf>
    <xf numFmtId="0" fontId="2" fillId="0" borderId="0" xfId="0" applyFont="true" applyAlignment="true">
      <alignment horizontal="left" indent="1" vertical="center" wrapText="true"/>
    </xf>
    <xf numFmtId="0" fontId="3" fillId="3" borderId="0" xfId="0" applyFont="true" applyFill="true" applyAlignment="true">
      <alignment horizontal="left" indent="1" vertical="center"/>
    </xf>
    <xf numFmtId="0" fontId="4" fillId="4" borderId="1" xfId="0" applyFont="true" applyFill="true" applyBorder="true" applyAlignment="true">
      <alignment horizontal="center" vertical="center" wrapText="true"/>
    </xf>
    <xf numFmtId="0" fontId="5" fillId="0" borderId="1" xfId="0" applyFont="true" applyBorder="true" applyAlignment="true">
      <alignment horizontal="center" vertical="center"/>
    </xf>
    <xf numFmtId="0" fontId="5" fillId="5" borderId="1" xfId="0" applyFont="true" applyFill="true" applyBorder="true" applyAlignment="true">
      <alignment horizontal="center" vertical="center"/>
    </xf>
    <xf numFmtId="0" fontId="6" fillId="6" borderId="1" xfId="0" applyFont="true" applyFill="true" applyBorder="true" applyAlignment="true">
      <alignment horizontal="center" vertical="center"/>
    </xf>
    <xf numFmtId="0" fontId="1" fillId="2" borderId="0" xfId="0" applyFont="true" applyFill="true" applyAlignment="true">
      <alignment horizontal="center" vertical="center"/>
    </xf>
    <xf numFmtId="0" fontId="7" fillId="2" borderId="0" xfId="0" applyFont="true" applyFill="true" applyAlignment="true">
      <alignment horizontal="center" vertical="center"/>
    </xf>
    <xf numFmtId="0" fontId="3" fillId="3" borderId="1" xfId="0" applyFont="true" applyFill="true" applyBorder="true" applyAlignment="true">
      <alignment horizontal="center" vertical="center"/>
    </xf>
    <xf numFmtId="0" fontId="8" fillId="0" borderId="1" xfId="0" applyFont="true" applyBorder="true" applyAlignment="true">
      <alignment horizontal="center" vertical="center"/>
    </xf>
    <xf numFmtId="0" fontId="8" fillId="5" borderId="1" xfId="0" applyFont="true" applyFill="true" applyBorder="true" applyAlignment="true">
      <alignment horizontal="center" vertical="center"/>
    </xf>
    <xf numFmtId="0" fontId="9" fillId="7" borderId="1" xfId="0" applyFont="true" applyFill="true" applyBorder="true" applyAlignment="true">
      <alignment horizontal="center" vertical="center"/>
    </xf>
    <xf numFmtId="0" fontId="10" fillId="8" borderId="1" xfId="0" applyFont="true" applyFill="true" applyBorder="true" applyAlignment="true">
      <alignment horizontal="center" vertical="center"/>
    </xf>
    <xf numFmtId="0" fontId="11" fillId="0" borderId="1" xfId="0" applyFont="true" applyBorder="true" applyAlignment="true">
      <alignment horizontal="left" vertical="center"/>
    </xf>
    <xf numFmtId="0" fontId="12" fillId="6" borderId="1" xfId="0" applyFont="true" applyFill="true" applyBorder="true" applyAlignment="true">
      <alignment horizontal="center" vertical="center"/>
    </xf>
    <xf numFmtId="0" fontId="3" fillId="4" borderId="1" xfId="0" applyFont="true" applyFill="true" applyBorder="true" applyAlignment="true">
      <alignment horizontal="center" vertical="center"/>
    </xf>
  </cellXfs>
  <cellStyles count="1">
    <cellStyle name="Normal" xfId="0" builtinId="0"/>
  </cellStyles>
  <dxfs count="2">
    <dxf>
      <font>
        <b val="1"/>
        <sz val="11"/>
        <color rgb="FF15803D"/>
        <name val="Calibri"/>
        <family val="2"/>
      </font>
      <fill>
        <patternFill patternType="solid">
          <bgColor rgb="FFDCFCE7"/>
        </patternFill>
      </fill>
    </dxf>
    <dxf>
      <font>
        <b val="1"/>
        <sz val="11"/>
        <color rgb="FFB91C1C"/>
        <name val="Calibri"/>
        <family val="2"/>
      </font>
      <fill>
        <patternFill patternType="solid">
          <bgColor rgb="FFFEE2E2"/>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5" ySplit="4"/>
    </sheetView>
  </sheetViews>
  <sheetFormatPr defaultRowHeight="15"/>
  <cols>
    <col customWidth="true" max="1" min="1" width="10"/>
    <col customWidth="true" max="2" min="2" width="18"/>
    <col customWidth="true" max="3" min="3" width="22"/>
    <col customWidth="true" max="4" min="4" width="18"/>
    <col customWidth="true" max="5" min="5" width="3"/>
    <col customWidth="true" max="6" min="6" width="22"/>
    <col customWidth="true" max="7" min="7" width="18"/>
    <col customWidth="true" max="8" min="8" width="30"/>
    <col customWidth="true" max="10" min="9" width="15"/>
    <col customWidth="true" max="11" min="11" width="20"/>
  </cols>
  <sheetData>
    <row r="1" ht="36" customHeight="true">
      <c r="A1" s="8" t="s">
        <v>58</v>
      </c>
      <c r="B1" s="8"/>
      <c r="C1" s="8"/>
      <c r="D1" s="8"/>
      <c r="E1" s="8"/>
      <c r="F1" s="8"/>
      <c r="G1" s="8"/>
      <c r="H1" s="8"/>
      <c r="I1" s="8"/>
      <c r="J1" s="8"/>
      <c r="K1" s="8"/>
    </row>
    <row r="2" ht="22" customHeight="true">
      <c r="A2" s="9" t="s">
        <v>59</v>
      </c>
      <c r="B2" s="9"/>
      <c r="C2" s="9"/>
      <c r="D2" s="9"/>
      <c r="E2" s="9"/>
      <c r="F2" s="9"/>
      <c r="G2" s="9"/>
      <c r="H2" s="9"/>
      <c r="I2" s="9"/>
      <c r="J2" s="9"/>
      <c r="K2" s="9"/>
    </row>
    <row r="3" ht="8" customHeight="true"/>
    <row r="4">
      <c r="A4" s="10" t="s">
        <v>36</v>
      </c>
      <c r="B4" s="10" t="s">
        <v>60</v>
      </c>
      <c r="C4" s="10" t="s">
        <v>61</v>
      </c>
      <c r="D4" s="10" t="s">
        <v>62</v>
      </c>
      <c r="F4" s="14" t="s">
        <v>63</v>
      </c>
      <c r="G4" s="14"/>
      <c r="H4" s="14" t="s">
        <v>64</v>
      </c>
      <c r="I4" s="14"/>
      <c r="J4" s="14"/>
      <c r="K4" s="14"/>
    </row>
    <row r="5">
      <c r="A5" s="11">
        <v>1</v>
      </c>
      <c r="B5" s="11" t="str">
        <f>MOD($G$6*$G$5 + $G$7, $G$8)</f>
      </c>
      <c r="C5" s="11" t="str">
        <f>B5/$G$8</f>
      </c>
      <c r="D5" s="11" t="s">
        <v>80</v>
      </c>
      <c r="F5" s="15" t="s">
        <v>68</v>
      </c>
      <c r="G5" s="16">
        <v>4</v>
      </c>
      <c r="H5" s="17" t="s">
        <v>65</v>
      </c>
      <c r="I5" s="17" t="s">
        <v>66</v>
      </c>
      <c r="J5" s="17" t="s">
        <v>67</v>
      </c>
      <c r="K5" s="17" t="s">
        <v>62</v>
      </c>
    </row>
    <row r="6">
      <c r="A6" s="12">
        <v>2</v>
      </c>
      <c r="B6" s="12" t="str">
        <f>MOD($G$6*B5 + $G$7, $G$8)</f>
      </c>
      <c r="C6" s="12" t="str">
        <f>B6/$G$8</f>
      </c>
      <c r="D6" s="12" t="s">
        <v>80</v>
      </c>
      <c r="F6" s="15" t="s">
        <v>69</v>
      </c>
      <c r="G6" s="16">
        <v>5</v>
      </c>
      <c r="H6" s="11" t="s">
        <v>73</v>
      </c>
      <c r="I6" s="11" t="str">
        <f>ABS('Auxiliares'!$B$8)</f>
      </c>
      <c r="J6" s="11">
        <v>1.96</v>
      </c>
      <c r="K6" s="11" t="str">
        <f>IF(I6&lt;J6,"✅ APROBADO","❌ RECHAZADO")</f>
      </c>
    </row>
    <row r="7">
      <c r="A7" s="11">
        <v>3</v>
      </c>
      <c r="B7" s="11" t="str">
        <f>MOD($G$6*B6 + $G$7, $G$8)</f>
      </c>
      <c r="C7" s="11" t="str">
        <f>B7/$G$8</f>
      </c>
      <c r="D7" s="11" t="s">
        <v>80</v>
      </c>
      <c r="F7" s="15" t="s">
        <v>70</v>
      </c>
      <c r="G7" s="16">
        <v>7</v>
      </c>
      <c r="H7" s="11" t="s">
        <v>74</v>
      </c>
      <c r="I7" s="11" t="str">
        <f>SUM('Auxiliares'!$F$12:$F$21)</f>
      </c>
      <c r="J7" s="11">
        <v>16.919</v>
      </c>
      <c r="K7" s="11" t="str">
        <f>IF(I7&lt;J7,"✅ APROBADO","❌ RECHAZADO")</f>
      </c>
    </row>
    <row r="8">
      <c r="A8" s="12">
        <v>4</v>
      </c>
      <c r="B8" s="12" t="str">
        <f>MOD($G$6*B7 + $G$7, $G$8)</f>
      </c>
      <c r="C8" s="12" t="str">
        <f>B8/$G$8</f>
      </c>
      <c r="D8" s="12" t="s">
        <v>80</v>
      </c>
      <c r="F8" s="15" t="s">
        <v>71</v>
      </c>
      <c r="G8" s="16">
        <v>8</v>
      </c>
      <c r="H8" s="11" t="s">
        <v>75</v>
      </c>
      <c r="I8" s="11" t="str">
        <f>MAX('Auxiliares'!$D$25:$D$44)</f>
      </c>
      <c r="J8" s="11" t="str">
        <f>1.36/SQRT(COUNT($C$5:$C$24))</f>
      </c>
      <c r="K8" s="11" t="str">
        <f>IF(I8&lt;J8,"✅ APROBADO","❌ RECHAZADO")</f>
      </c>
    </row>
    <row r="9">
      <c r="A9" s="11">
        <v>5</v>
      </c>
      <c r="B9" s="11" t="str">
        <f>MOD($G$6*B8 + $G$7, $G$8)</f>
      </c>
      <c r="C9" s="11" t="str">
        <f>B9/$G$8</f>
      </c>
      <c r="D9" s="11" t="s">
        <v>80</v>
      </c>
      <c r="F9" s="15" t="s">
        <v>72</v>
      </c>
      <c r="G9" s="16">
        <v>20</v>
      </c>
      <c r="H9" s="11" t="s">
        <v>76</v>
      </c>
      <c r="I9" s="11" t="str">
        <f>SUM('Auxiliares'!$H$12:$H$21)</f>
      </c>
      <c r="J9" s="11">
        <v>3.2</v>
      </c>
      <c r="K9" s="11" t="str">
        <f>IF(I9&gt;J9,"✅ APROBADO","❌ RECHAZADO")</f>
      </c>
    </row>
    <row r="10">
      <c r="A10" s="12">
        <v>6</v>
      </c>
      <c r="B10" s="12" t="str">
        <f>MOD($G$6*B9 + $G$7, $G$8)</f>
      </c>
      <c r="C10" s="12" t="str">
        <f>B10/$G$8</f>
      </c>
      <c r="D10" s="12" t="s">
        <v>80</v>
      </c>
      <c r="H10" s="11" t="s">
        <v>77</v>
      </c>
      <c r="I10" s="11" t="str">
        <f>'Auxiliares'!$B$61</f>
      </c>
      <c r="J10" s="11">
        <v>0.15</v>
      </c>
      <c r="K10" s="11" t="str">
        <f>IF(I10&lt;J10,"✅ APROBADO","❌ RECHAZADO")</f>
      </c>
    </row>
    <row r="11">
      <c r="A11" s="11">
        <v>7</v>
      </c>
      <c r="B11" s="11" t="str">
        <f>MOD($G$6*B10 + $G$7, $G$8)</f>
      </c>
      <c r="C11" s="11" t="str">
        <f>B11/$G$8</f>
      </c>
      <c r="D11" s="11" t="s">
        <v>80</v>
      </c>
      <c r="H11" s="11" t="s">
        <v>78</v>
      </c>
      <c r="I11" s="11" t="str">
        <f>SUM('Auxiliares'!$E$91:$E$94)</f>
      </c>
      <c r="J11" s="11">
        <v>7.81</v>
      </c>
      <c r="K11" s="11" t="str">
        <f>IF(I11&lt;J11,"✅ APROBADO","❌ RECHAZADO")</f>
      </c>
    </row>
    <row r="12">
      <c r="A12" s="12">
        <v>8</v>
      </c>
      <c r="B12" s="12" t="str">
        <f>MOD($G$6*B11 + $G$7, $G$8)</f>
      </c>
      <c r="C12" s="12" t="str">
        <f>B12/$G$8</f>
      </c>
      <c r="D12" s="12" t="s">
        <v>80</v>
      </c>
      <c r="H12" s="11" t="s">
        <v>79</v>
      </c>
      <c r="I12" s="11" t="str">
        <f>'Auxiliares'!$B$147</f>
      </c>
      <c r="J12" s="11">
        <v>36.41</v>
      </c>
      <c r="K12" s="11" t="str">
        <f>IF(I12&lt;J12,"✅ APROBADO","❌ RECHAZADO")</f>
      </c>
    </row>
    <row r="13">
      <c r="A13" s="13">
        <v>9</v>
      </c>
      <c r="B13" s="13" t="str">
        <f>MOD($G$6*B12 + $G$7, $G$8)</f>
      </c>
      <c r="C13" s="13" t="str">
        <f>B13/$G$8</f>
      </c>
      <c r="D13" s="13" t="s">
        <v>81</v>
      </c>
    </row>
    <row r="14">
      <c r="A14" s="13">
        <v>10</v>
      </c>
      <c r="B14" s="13" t="str">
        <f>MOD($G$6*B13 + $G$7, $G$8)</f>
      </c>
      <c r="C14" s="13" t="str">
        <f>B14/$G$8</f>
      </c>
      <c r="D14" s="13" t="s">
        <v>81</v>
      </c>
    </row>
    <row r="15">
      <c r="A15" s="13">
        <v>11</v>
      </c>
      <c r="B15" s="13" t="str">
        <f>MOD($G$6*B14 + $G$7, $G$8)</f>
      </c>
      <c r="C15" s="13" t="str">
        <f>B15/$G$8</f>
      </c>
      <c r="D15" s="13" t="s">
        <v>81</v>
      </c>
    </row>
    <row r="16">
      <c r="A16" s="13">
        <v>12</v>
      </c>
      <c r="B16" s="13" t="str">
        <f>MOD($G$6*B15 + $G$7, $G$8)</f>
      </c>
      <c r="C16" s="13" t="str">
        <f>B16/$G$8</f>
      </c>
      <c r="D16" s="13" t="s">
        <v>81</v>
      </c>
    </row>
    <row r="17">
      <c r="A17" s="13">
        <v>13</v>
      </c>
      <c r="B17" s="13" t="str">
        <f>MOD($G$6*B16 + $G$7, $G$8)</f>
      </c>
      <c r="C17" s="13" t="str">
        <f>B17/$G$8</f>
      </c>
      <c r="D17" s="13" t="s">
        <v>81</v>
      </c>
    </row>
    <row r="18">
      <c r="A18" s="13">
        <v>14</v>
      </c>
      <c r="B18" s="13" t="str">
        <f>MOD($G$6*B17 + $G$7, $G$8)</f>
      </c>
      <c r="C18" s="13" t="str">
        <f>B18/$G$8</f>
      </c>
      <c r="D18" s="13" t="s">
        <v>81</v>
      </c>
    </row>
    <row r="19">
      <c r="A19" s="13">
        <v>15</v>
      </c>
      <c r="B19" s="13" t="str">
        <f>MOD($G$6*B18 + $G$7, $G$8)</f>
      </c>
      <c r="C19" s="13" t="str">
        <f>B19/$G$8</f>
      </c>
      <c r="D19" s="13" t="s">
        <v>81</v>
      </c>
    </row>
    <row r="20">
      <c r="A20" s="13">
        <v>16</v>
      </c>
      <c r="B20" s="13" t="str">
        <f>MOD($G$6*B19 + $G$7, $G$8)</f>
      </c>
      <c r="C20" s="13" t="str">
        <f>B20/$G$8</f>
      </c>
      <c r="D20" s="13" t="s">
        <v>81</v>
      </c>
    </row>
    <row r="21">
      <c r="A21" s="13">
        <v>17</v>
      </c>
      <c r="B21" s="13" t="str">
        <f>MOD($G$6*B20 + $G$7, $G$8)</f>
      </c>
      <c r="C21" s="13" t="str">
        <f>B21/$G$8</f>
      </c>
      <c r="D21" s="13" t="s">
        <v>81</v>
      </c>
    </row>
    <row r="22">
      <c r="A22" s="13">
        <v>18</v>
      </c>
      <c r="B22" s="13" t="str">
        <f>MOD($G$6*B21 + $G$7, $G$8)</f>
      </c>
      <c r="C22" s="13" t="str">
        <f>B22/$G$8</f>
      </c>
      <c r="D22" s="13" t="s">
        <v>81</v>
      </c>
    </row>
    <row r="23">
      <c r="A23" s="13">
        <v>19</v>
      </c>
      <c r="B23" s="13" t="str">
        <f>MOD($G$6*B22 + $G$7, $G$8)</f>
      </c>
      <c r="C23" s="13" t="str">
        <f>B23/$G$8</f>
      </c>
      <c r="D23" s="13" t="s">
        <v>81</v>
      </c>
    </row>
    <row r="24">
      <c r="A24" s="13">
        <v>20</v>
      </c>
      <c r="B24" s="13" t="str">
        <f>MOD($G$6*B23 + $G$7, $G$8)</f>
      </c>
      <c r="C24" s="13" t="str">
        <f>B24/$G$8</f>
      </c>
      <c r="D24" s="13" t="s">
        <v>81</v>
      </c>
    </row>
    <row r="26" ht="6" customHeight="true"/>
    <row r="27">
      <c r="A27" s="15" t="s">
        <v>82</v>
      </c>
      <c r="B27" s="15"/>
      <c r="C27" s="16">
        <v>20</v>
      </c>
    </row>
    <row r="28">
      <c r="A28" s="15" t="s">
        <v>83</v>
      </c>
      <c r="B28" s="15"/>
      <c r="C28" s="13">
        <v>12</v>
      </c>
    </row>
  </sheetData>
  <mergeCells count="6">
    <mergeCell ref="A1:K1"/>
    <mergeCell ref="A2:K2"/>
    <mergeCell ref="F4:G4"/>
    <mergeCell ref="H4:K4"/>
    <mergeCell ref="A27:B27"/>
    <mergeCell ref="A28:B28"/>
  </mergeCells>
  <conditionalFormatting sqref="K6:K12">
    <cfRule type="cellIs" dxfId="0" priority="1" operator="equal">
      <formula>"✅ APROBADO"</formula>
    </cfRule>
    <cfRule type="cellIs" dxfId="1" priority="2" operator="equal">
      <formula>"❌ RECHAZADO"</formula>
    </cfRule>
  </conditionalFormatting>
</worksheet>
</file>

<file path=xl/worksheets/sheet2.xml><?xml version="1.0" encoding="utf-8"?>
<worksheet xmlns="http://schemas.openxmlformats.org/spreadsheetml/2006/main">
  <dimension ref="A1"/>
  <sheetViews>
    <sheetView workbookViewId="0">
      <pane activePane="bottomLeft" state="frozen" topLeftCell="A4" ySplit="3"/>
    </sheetView>
  </sheetViews>
  <cols>
    <col customWidth="true" max="7" min="1" width="20"/>
    <col customWidth="true" max="8" min="8" width="30"/>
  </cols>
  <sheetData>
    <row r="1" ht="32" customHeight="true">
      <c r="A1" s="1" t="s">
        <v>0</v>
      </c>
      <c r="B1" s="1"/>
      <c r="C1" s="1"/>
      <c r="D1" s="1"/>
      <c r="E1" s="1"/>
      <c r="F1" s="1"/>
      <c r="G1" s="1"/>
      <c r="H1" s="1"/>
    </row>
    <row r="2" ht="30" customHeight="true">
      <c r="A2" s="2" t="s">
        <v>1</v>
      </c>
      <c r="B2" s="2"/>
      <c r="C2" s="2"/>
      <c r="D2" s="2"/>
      <c r="E2" s="2"/>
      <c r="F2" s="2"/>
      <c r="G2" s="2"/>
      <c r="H2" s="2"/>
    </row>
    <row r="4" ht="22" customHeight="true">
      <c r="A4" s="3" t="s">
        <v>2</v>
      </c>
      <c r="B4" s="3"/>
      <c r="C4" s="3"/>
      <c r="D4" s="3"/>
      <c r="E4" s="3"/>
      <c r="F4" s="3"/>
      <c r="G4" s="3"/>
      <c r="H4" s="3"/>
    </row>
    <row r="5">
      <c r="A5" s="4" t="s">
        <v>3</v>
      </c>
      <c r="B5" s="4" t="s">
        <v>4</v>
      </c>
    </row>
    <row r="6">
      <c r="A6" s="5" t="s">
        <v>5</v>
      </c>
      <c r="B6" s="5" t="str">
        <f>AVERAGE('Lineal Mixto'!$C$5:$C$24)</f>
      </c>
    </row>
    <row r="7">
      <c r="A7" s="6" t="s">
        <v>6</v>
      </c>
      <c r="B7" s="6" t="str">
        <f>COUNT('Lineal Mixto'!$C$5:$C$24)</f>
      </c>
    </row>
    <row r="8">
      <c r="A8" s="5" t="s">
        <v>7</v>
      </c>
      <c r="B8" s="5" t="str">
        <f>(B6-0.5)*SQRT(B7)/SQRT(1/12)</f>
      </c>
    </row>
    <row r="10" ht="22" customHeight="true">
      <c r="A10" s="3" t="s">
        <v>8</v>
      </c>
      <c r="B10" s="3"/>
      <c r="C10" s="3"/>
      <c r="D10" s="3"/>
      <c r="E10" s="3"/>
      <c r="F10" s="3"/>
      <c r="G10" s="3"/>
      <c r="H10" s="3"/>
    </row>
    <row r="11">
      <c r="A11" s="4" t="s">
        <v>9</v>
      </c>
      <c r="B11" s="4" t="s">
        <v>10</v>
      </c>
      <c r="C11" s="4" t="s">
        <v>11</v>
      </c>
      <c r="D11" s="4" t="s">
        <v>12</v>
      </c>
      <c r="E11" s="4" t="s">
        <v>13</v>
      </c>
      <c r="F11" s="4" t="s">
        <v>14</v>
      </c>
      <c r="G11" s="4" t="s">
        <v>15</v>
      </c>
      <c r="H11" s="4" t="s">
        <v>16</v>
      </c>
    </row>
    <row r="12">
      <c r="A12" s="5">
        <v>0</v>
      </c>
      <c r="B12" s="5" t="str">
        <f>A12/10</f>
      </c>
      <c r="C12" s="5" t="str">
        <f>(A12+1)/10</f>
      </c>
      <c r="D12" s="5" t="str">
        <f>COUNTIFS('Lineal Mixto'!$C$5:$C$24,"&gt;="&amp;B12,'Lineal Mixto'!$C$5:$C$24,"&lt;"&amp;C12)</f>
      </c>
      <c r="E12" s="5" t="str">
        <f>COUNT('Lineal Mixto'!$C$5:$C$24)/10</f>
      </c>
      <c r="F12" s="5" t="str">
        <f>(D12-E12)^2/E12</f>
      </c>
      <c r="G12" s="5" t="str">
        <f>D12/COUNT('Lineal Mixto'!$C$5:$C$24)</f>
      </c>
      <c r="H12" s="5" t="str">
        <f>IF(D12&gt;0,-G12*LOG(G12,2),0)</f>
      </c>
    </row>
    <row r="13">
      <c r="A13" s="6">
        <v>1</v>
      </c>
      <c r="B13" s="6" t="str">
        <f>A13/10</f>
      </c>
      <c r="C13" s="6" t="str">
        <f>(A13+1)/10</f>
      </c>
      <c r="D13" s="6" t="str">
        <f>COUNTIFS('Lineal Mixto'!$C$5:$C$24,"&gt;="&amp;B13,'Lineal Mixto'!$C$5:$C$24,"&lt;"&amp;C13)</f>
      </c>
      <c r="E13" s="6" t="str">
        <f>COUNT('Lineal Mixto'!$C$5:$C$24)/10</f>
      </c>
      <c r="F13" s="6" t="str">
        <f>(D13-E13)^2/E13</f>
      </c>
      <c r="G13" s="6" t="str">
        <f>D13/COUNT('Lineal Mixto'!$C$5:$C$24)</f>
      </c>
      <c r="H13" s="6" t="str">
        <f>IF(D13&gt;0,-G13*LOG(G13,2),0)</f>
      </c>
    </row>
    <row r="14">
      <c r="A14" s="5">
        <v>2</v>
      </c>
      <c r="B14" s="5" t="str">
        <f>A14/10</f>
      </c>
      <c r="C14" s="5" t="str">
        <f>(A14+1)/10</f>
      </c>
      <c r="D14" s="5" t="str">
        <f>COUNTIFS('Lineal Mixto'!$C$5:$C$24,"&gt;="&amp;B14,'Lineal Mixto'!$C$5:$C$24,"&lt;"&amp;C14)</f>
      </c>
      <c r="E14" s="5" t="str">
        <f>COUNT('Lineal Mixto'!$C$5:$C$24)/10</f>
      </c>
      <c r="F14" s="5" t="str">
        <f>(D14-E14)^2/E14</f>
      </c>
      <c r="G14" s="5" t="str">
        <f>D14/COUNT('Lineal Mixto'!$C$5:$C$24)</f>
      </c>
      <c r="H14" s="5" t="str">
        <f>IF(D14&gt;0,-G14*LOG(G14,2),0)</f>
      </c>
    </row>
    <row r="15">
      <c r="A15" s="6">
        <v>3</v>
      </c>
      <c r="B15" s="6" t="str">
        <f>A15/10</f>
      </c>
      <c r="C15" s="6" t="str">
        <f>(A15+1)/10</f>
      </c>
      <c r="D15" s="6" t="str">
        <f>COUNTIFS('Lineal Mixto'!$C$5:$C$24,"&gt;="&amp;B15,'Lineal Mixto'!$C$5:$C$24,"&lt;"&amp;C15)</f>
      </c>
      <c r="E15" s="6" t="str">
        <f>COUNT('Lineal Mixto'!$C$5:$C$24)/10</f>
      </c>
      <c r="F15" s="6" t="str">
        <f>(D15-E15)^2/E15</f>
      </c>
      <c r="G15" s="6" t="str">
        <f>D15/COUNT('Lineal Mixto'!$C$5:$C$24)</f>
      </c>
      <c r="H15" s="6" t="str">
        <f>IF(D15&gt;0,-G15*LOG(G15,2),0)</f>
      </c>
    </row>
    <row r="16">
      <c r="A16" s="5">
        <v>4</v>
      </c>
      <c r="B16" s="5" t="str">
        <f>A16/10</f>
      </c>
      <c r="C16" s="5" t="str">
        <f>(A16+1)/10</f>
      </c>
      <c r="D16" s="5" t="str">
        <f>COUNTIFS('Lineal Mixto'!$C$5:$C$24,"&gt;="&amp;B16,'Lineal Mixto'!$C$5:$C$24,"&lt;"&amp;C16)</f>
      </c>
      <c r="E16" s="5" t="str">
        <f>COUNT('Lineal Mixto'!$C$5:$C$24)/10</f>
      </c>
      <c r="F16" s="5" t="str">
        <f>(D16-E16)^2/E16</f>
      </c>
      <c r="G16" s="5" t="str">
        <f>D16/COUNT('Lineal Mixto'!$C$5:$C$24)</f>
      </c>
      <c r="H16" s="5" t="str">
        <f>IF(D16&gt;0,-G16*LOG(G16,2),0)</f>
      </c>
    </row>
    <row r="17">
      <c r="A17" s="6">
        <v>5</v>
      </c>
      <c r="B17" s="6" t="str">
        <f>A17/10</f>
      </c>
      <c r="C17" s="6" t="str">
        <f>(A17+1)/10</f>
      </c>
      <c r="D17" s="6" t="str">
        <f>COUNTIFS('Lineal Mixto'!$C$5:$C$24,"&gt;="&amp;B17,'Lineal Mixto'!$C$5:$C$24,"&lt;"&amp;C17)</f>
      </c>
      <c r="E17" s="6" t="str">
        <f>COUNT('Lineal Mixto'!$C$5:$C$24)/10</f>
      </c>
      <c r="F17" s="6" t="str">
        <f>(D17-E17)^2/E17</f>
      </c>
      <c r="G17" s="6" t="str">
        <f>D17/COUNT('Lineal Mixto'!$C$5:$C$24)</f>
      </c>
      <c r="H17" s="6" t="str">
        <f>IF(D17&gt;0,-G17*LOG(G17,2),0)</f>
      </c>
    </row>
    <row r="18">
      <c r="A18" s="5">
        <v>6</v>
      </c>
      <c r="B18" s="5" t="str">
        <f>A18/10</f>
      </c>
      <c r="C18" s="5" t="str">
        <f>(A18+1)/10</f>
      </c>
      <c r="D18" s="5" t="str">
        <f>COUNTIFS('Lineal Mixto'!$C$5:$C$24,"&gt;="&amp;B18,'Lineal Mixto'!$C$5:$C$24,"&lt;"&amp;C18)</f>
      </c>
      <c r="E18" s="5" t="str">
        <f>COUNT('Lineal Mixto'!$C$5:$C$24)/10</f>
      </c>
      <c r="F18" s="5" t="str">
        <f>(D18-E18)^2/E18</f>
      </c>
      <c r="G18" s="5" t="str">
        <f>D18/COUNT('Lineal Mixto'!$C$5:$C$24)</f>
      </c>
      <c r="H18" s="5" t="str">
        <f>IF(D18&gt;0,-G18*LOG(G18,2),0)</f>
      </c>
    </row>
    <row r="19">
      <c r="A19" s="6">
        <v>7</v>
      </c>
      <c r="B19" s="6" t="str">
        <f>A19/10</f>
      </c>
      <c r="C19" s="6" t="str">
        <f>(A19+1)/10</f>
      </c>
      <c r="D19" s="6" t="str">
        <f>COUNTIFS('Lineal Mixto'!$C$5:$C$24,"&gt;="&amp;B19,'Lineal Mixto'!$C$5:$C$24,"&lt;"&amp;C19)</f>
      </c>
      <c r="E19" s="6" t="str">
        <f>COUNT('Lineal Mixto'!$C$5:$C$24)/10</f>
      </c>
      <c r="F19" s="6" t="str">
        <f>(D19-E19)^2/E19</f>
      </c>
      <c r="G19" s="6" t="str">
        <f>D19/COUNT('Lineal Mixto'!$C$5:$C$24)</f>
      </c>
      <c r="H19" s="6" t="str">
        <f>IF(D19&gt;0,-G19*LOG(G19,2),0)</f>
      </c>
    </row>
    <row r="20">
      <c r="A20" s="5">
        <v>8</v>
      </c>
      <c r="B20" s="5" t="str">
        <f>A20/10</f>
      </c>
      <c r="C20" s="5" t="str">
        <f>(A20+1)/10</f>
      </c>
      <c r="D20" s="5" t="str">
        <f>COUNTIFS('Lineal Mixto'!$C$5:$C$24,"&gt;="&amp;B20,'Lineal Mixto'!$C$5:$C$24,"&lt;"&amp;C20)</f>
      </c>
      <c r="E20" s="5" t="str">
        <f>COUNT('Lineal Mixto'!$C$5:$C$24)/10</f>
      </c>
      <c r="F20" s="5" t="str">
        <f>(D20-E20)^2/E20</f>
      </c>
      <c r="G20" s="5" t="str">
        <f>D20/COUNT('Lineal Mixto'!$C$5:$C$24)</f>
      </c>
      <c r="H20" s="5" t="str">
        <f>IF(D20&gt;0,-G20*LOG(G20,2),0)</f>
      </c>
    </row>
    <row r="21">
      <c r="A21" s="6">
        <v>9</v>
      </c>
      <c r="B21" s="6" t="str">
        <f>A21/10</f>
      </c>
      <c r="C21" s="6">
        <v>1</v>
      </c>
      <c r="D21" s="6" t="str">
        <f>COUNTIFS('Lineal Mixto'!$C$5:$C$24,"&gt;="&amp;B21)</f>
      </c>
      <c r="E21" s="6" t="str">
        <f>COUNT('Lineal Mixto'!$C$5:$C$24)/10</f>
      </c>
      <c r="F21" s="6" t="str">
        <f>(D21-E21)^2/E21</f>
      </c>
      <c r="G21" s="6" t="str">
        <f>D21/COUNT('Lineal Mixto'!$C$5:$C$24)</f>
      </c>
      <c r="H21" s="6" t="str">
        <f>IF(D21&gt;0,-G21*LOG(G21,2),0)</f>
      </c>
    </row>
    <row r="23" ht="22" customHeight="true">
      <c r="A23" s="3" t="s">
        <v>17</v>
      </c>
      <c r="B23" s="3"/>
      <c r="C23" s="3"/>
      <c r="D23" s="3"/>
      <c r="E23" s="3"/>
      <c r="F23" s="3"/>
      <c r="G23" s="3"/>
      <c r="H23" s="3"/>
    </row>
    <row r="24">
      <c r="A24" s="4" t="s">
        <v>18</v>
      </c>
      <c r="B24" s="4" t="s">
        <v>19</v>
      </c>
      <c r="C24" s="4" t="s">
        <v>20</v>
      </c>
      <c r="D24" s="4" t="s">
        <v>21</v>
      </c>
    </row>
    <row r="25">
      <c r="A25" s="5">
        <v>1</v>
      </c>
      <c r="B25" s="5" t="str">
        <f>SMALL('Lineal Mixto'!$C$5:$C$24,A25)</f>
      </c>
      <c r="C25" s="5" t="str">
        <f>A25/COUNT('Lineal Mixto'!$C$5:$C$24)</f>
      </c>
      <c r="D25" s="5" t="str">
        <f>ABS(C25-B25)</f>
      </c>
    </row>
    <row r="26">
      <c r="A26" s="6">
        <v>2</v>
      </c>
      <c r="B26" s="6" t="str">
        <f>SMALL('Lineal Mixto'!$C$5:$C$24,A26)</f>
      </c>
      <c r="C26" s="6" t="str">
        <f>A26/COUNT('Lineal Mixto'!$C$5:$C$24)</f>
      </c>
      <c r="D26" s="6" t="str">
        <f>ABS(C26-B26)</f>
      </c>
    </row>
    <row r="27">
      <c r="A27" s="5">
        <v>3</v>
      </c>
      <c r="B27" s="5" t="str">
        <f>SMALL('Lineal Mixto'!$C$5:$C$24,A27)</f>
      </c>
      <c r="C27" s="5" t="str">
        <f>A27/COUNT('Lineal Mixto'!$C$5:$C$24)</f>
      </c>
      <c r="D27" s="5" t="str">
        <f>ABS(C27-B27)</f>
      </c>
    </row>
    <row r="28">
      <c r="A28" s="6">
        <v>4</v>
      </c>
      <c r="B28" s="6" t="str">
        <f>SMALL('Lineal Mixto'!$C$5:$C$24,A28)</f>
      </c>
      <c r="C28" s="6" t="str">
        <f>A28/COUNT('Lineal Mixto'!$C$5:$C$24)</f>
      </c>
      <c r="D28" s="6" t="str">
        <f>ABS(C28-B28)</f>
      </c>
    </row>
    <row r="29">
      <c r="A29" s="5">
        <v>5</v>
      </c>
      <c r="B29" s="5" t="str">
        <f>SMALL('Lineal Mixto'!$C$5:$C$24,A29)</f>
      </c>
      <c r="C29" s="5" t="str">
        <f>A29/COUNT('Lineal Mixto'!$C$5:$C$24)</f>
      </c>
      <c r="D29" s="5" t="str">
        <f>ABS(C29-B29)</f>
      </c>
    </row>
    <row r="30">
      <c r="A30" s="6">
        <v>6</v>
      </c>
      <c r="B30" s="6" t="str">
        <f>SMALL('Lineal Mixto'!$C$5:$C$24,A30)</f>
      </c>
      <c r="C30" s="6" t="str">
        <f>A30/COUNT('Lineal Mixto'!$C$5:$C$24)</f>
      </c>
      <c r="D30" s="6" t="str">
        <f>ABS(C30-B30)</f>
      </c>
    </row>
    <row r="31">
      <c r="A31" s="5">
        <v>7</v>
      </c>
      <c r="B31" s="5" t="str">
        <f>SMALL('Lineal Mixto'!$C$5:$C$24,A31)</f>
      </c>
      <c r="C31" s="5" t="str">
        <f>A31/COUNT('Lineal Mixto'!$C$5:$C$24)</f>
      </c>
      <c r="D31" s="5" t="str">
        <f>ABS(C31-B31)</f>
      </c>
    </row>
    <row r="32">
      <c r="A32" s="6">
        <v>8</v>
      </c>
      <c r="B32" s="6" t="str">
        <f>SMALL('Lineal Mixto'!$C$5:$C$24,A32)</f>
      </c>
      <c r="C32" s="6" t="str">
        <f>A32/COUNT('Lineal Mixto'!$C$5:$C$24)</f>
      </c>
      <c r="D32" s="6" t="str">
        <f>ABS(C32-B32)</f>
      </c>
    </row>
    <row r="33">
      <c r="A33" s="5">
        <v>9</v>
      </c>
      <c r="B33" s="5" t="str">
        <f>SMALL('Lineal Mixto'!$C$5:$C$24,A33)</f>
      </c>
      <c r="C33" s="5" t="str">
        <f>A33/COUNT('Lineal Mixto'!$C$5:$C$24)</f>
      </c>
      <c r="D33" s="5" t="str">
        <f>ABS(C33-B33)</f>
      </c>
    </row>
    <row r="34">
      <c r="A34" s="6">
        <v>10</v>
      </c>
      <c r="B34" s="6" t="str">
        <f>SMALL('Lineal Mixto'!$C$5:$C$24,A34)</f>
      </c>
      <c r="C34" s="6" t="str">
        <f>A34/COUNT('Lineal Mixto'!$C$5:$C$24)</f>
      </c>
      <c r="D34" s="6" t="str">
        <f>ABS(C34-B34)</f>
      </c>
    </row>
    <row r="35">
      <c r="A35" s="5">
        <v>11</v>
      </c>
      <c r="B35" s="5" t="str">
        <f>SMALL('Lineal Mixto'!$C$5:$C$24,A35)</f>
      </c>
      <c r="C35" s="5" t="str">
        <f>A35/COUNT('Lineal Mixto'!$C$5:$C$24)</f>
      </c>
      <c r="D35" s="5" t="str">
        <f>ABS(C35-B35)</f>
      </c>
    </row>
    <row r="36">
      <c r="A36" s="6">
        <v>12</v>
      </c>
      <c r="B36" s="6" t="str">
        <f>SMALL('Lineal Mixto'!$C$5:$C$24,A36)</f>
      </c>
      <c r="C36" s="6" t="str">
        <f>A36/COUNT('Lineal Mixto'!$C$5:$C$24)</f>
      </c>
      <c r="D36" s="6" t="str">
        <f>ABS(C36-B36)</f>
      </c>
    </row>
    <row r="37">
      <c r="A37" s="5">
        <v>13</v>
      </c>
      <c r="B37" s="5" t="str">
        <f>SMALL('Lineal Mixto'!$C$5:$C$24,A37)</f>
      </c>
      <c r="C37" s="5" t="str">
        <f>A37/COUNT('Lineal Mixto'!$C$5:$C$24)</f>
      </c>
      <c r="D37" s="5" t="str">
        <f>ABS(C37-B37)</f>
      </c>
    </row>
    <row r="38">
      <c r="A38" s="6">
        <v>14</v>
      </c>
      <c r="B38" s="6" t="str">
        <f>SMALL('Lineal Mixto'!$C$5:$C$24,A38)</f>
      </c>
      <c r="C38" s="6" t="str">
        <f>A38/COUNT('Lineal Mixto'!$C$5:$C$24)</f>
      </c>
      <c r="D38" s="6" t="str">
        <f>ABS(C38-B38)</f>
      </c>
    </row>
    <row r="39">
      <c r="A39" s="5">
        <v>15</v>
      </c>
      <c r="B39" s="5" t="str">
        <f>SMALL('Lineal Mixto'!$C$5:$C$24,A39)</f>
      </c>
      <c r="C39" s="5" t="str">
        <f>A39/COUNT('Lineal Mixto'!$C$5:$C$24)</f>
      </c>
      <c r="D39" s="5" t="str">
        <f>ABS(C39-B39)</f>
      </c>
    </row>
    <row r="40">
      <c r="A40" s="6">
        <v>16</v>
      </c>
      <c r="B40" s="6" t="str">
        <f>SMALL('Lineal Mixto'!$C$5:$C$24,A40)</f>
      </c>
      <c r="C40" s="6" t="str">
        <f>A40/COUNT('Lineal Mixto'!$C$5:$C$24)</f>
      </c>
      <c r="D40" s="6" t="str">
        <f>ABS(C40-B40)</f>
      </c>
    </row>
    <row r="41">
      <c r="A41" s="5">
        <v>17</v>
      </c>
      <c r="B41" s="5" t="str">
        <f>SMALL('Lineal Mixto'!$C$5:$C$24,A41)</f>
      </c>
      <c r="C41" s="5" t="str">
        <f>A41/COUNT('Lineal Mixto'!$C$5:$C$24)</f>
      </c>
      <c r="D41" s="5" t="str">
        <f>ABS(C41-B41)</f>
      </c>
    </row>
    <row r="42">
      <c r="A42" s="6">
        <v>18</v>
      </c>
      <c r="B42" s="6" t="str">
        <f>SMALL('Lineal Mixto'!$C$5:$C$24,A42)</f>
      </c>
      <c r="C42" s="6" t="str">
        <f>A42/COUNT('Lineal Mixto'!$C$5:$C$24)</f>
      </c>
      <c r="D42" s="6" t="str">
        <f>ABS(C42-B42)</f>
      </c>
    </row>
    <row r="43">
      <c r="A43" s="5">
        <v>19</v>
      </c>
      <c r="B43" s="5" t="str">
        <f>SMALL('Lineal Mixto'!$C$5:$C$24,A43)</f>
      </c>
      <c r="C43" s="5" t="str">
        <f>A43/COUNT('Lineal Mixto'!$C$5:$C$24)</f>
      </c>
      <c r="D43" s="5" t="str">
        <f>ABS(C43-B43)</f>
      </c>
    </row>
    <row r="44">
      <c r="A44" s="6">
        <v>20</v>
      </c>
      <c r="B44" s="6" t="str">
        <f>SMALL('Lineal Mixto'!$C$5:$C$24,A44)</f>
      </c>
      <c r="C44" s="6" t="str">
        <f>A44/COUNT('Lineal Mixto'!$C$5:$C$24)</f>
      </c>
      <c r="D44" s="6" t="str">
        <f>ABS(C44-B44)</f>
      </c>
    </row>
    <row r="46" ht="22" customHeight="true">
      <c r="A46" s="3" t="s">
        <v>22</v>
      </c>
      <c r="B46" s="3"/>
      <c r="C46" s="3"/>
      <c r="D46" s="3"/>
      <c r="E46" s="3"/>
      <c r="F46" s="3"/>
      <c r="G46" s="3"/>
      <c r="H46" s="3"/>
    </row>
    <row r="47">
      <c r="A47" s="4" t="s">
        <v>23</v>
      </c>
      <c r="B47" s="4" t="s">
        <v>24</v>
      </c>
      <c r="C47" s="4" t="s">
        <v>25</v>
      </c>
      <c r="D47" s="4" t="s">
        <v>26</v>
      </c>
      <c r="E47" s="4" t="s">
        <v>27</v>
      </c>
    </row>
    <row r="48">
      <c r="A48" s="5">
        <v>1</v>
      </c>
      <c r="B48" s="5" t="str">
        <f>INDEX('Lineal Mixto'!$C$5:$C$24,2*A48-1)</f>
      </c>
      <c r="C48" s="5" t="str">
        <f>INDEX('Lineal Mixto'!$C$5:$C$24,2*A48)</f>
      </c>
      <c r="D48" s="5" t="str">
        <f>B48^2+C48^2</f>
      </c>
      <c r="E48" s="5" t="str">
        <f>IF(D48&lt;=1,1,0)</f>
      </c>
    </row>
    <row r="49">
      <c r="A49" s="6">
        <v>2</v>
      </c>
      <c r="B49" s="6" t="str">
        <f>INDEX('Lineal Mixto'!$C$5:$C$24,2*A49-1)</f>
      </c>
      <c r="C49" s="6" t="str">
        <f>INDEX('Lineal Mixto'!$C$5:$C$24,2*A49)</f>
      </c>
      <c r="D49" s="6" t="str">
        <f>B49^2+C49^2</f>
      </c>
      <c r="E49" s="6" t="str">
        <f>IF(D49&lt;=1,1,0)</f>
      </c>
    </row>
    <row r="50">
      <c r="A50" s="5">
        <v>3</v>
      </c>
      <c r="B50" s="5" t="str">
        <f>INDEX('Lineal Mixto'!$C$5:$C$24,2*A50-1)</f>
      </c>
      <c r="C50" s="5" t="str">
        <f>INDEX('Lineal Mixto'!$C$5:$C$24,2*A50)</f>
      </c>
      <c r="D50" s="5" t="str">
        <f>B50^2+C50^2</f>
      </c>
      <c r="E50" s="5" t="str">
        <f>IF(D50&lt;=1,1,0)</f>
      </c>
    </row>
    <row r="51">
      <c r="A51" s="6">
        <v>4</v>
      </c>
      <c r="B51" s="6" t="str">
        <f>INDEX('Lineal Mixto'!$C$5:$C$24,2*A51-1)</f>
      </c>
      <c r="C51" s="6" t="str">
        <f>INDEX('Lineal Mixto'!$C$5:$C$24,2*A51)</f>
      </c>
      <c r="D51" s="6" t="str">
        <f>B51^2+C51^2</f>
      </c>
      <c r="E51" s="6" t="str">
        <f>IF(D51&lt;=1,1,0)</f>
      </c>
    </row>
    <row r="52">
      <c r="A52" s="5">
        <v>5</v>
      </c>
      <c r="B52" s="5" t="str">
        <f>INDEX('Lineal Mixto'!$C$5:$C$24,2*A52-1)</f>
      </c>
      <c r="C52" s="5" t="str">
        <f>INDEX('Lineal Mixto'!$C$5:$C$24,2*A52)</f>
      </c>
      <c r="D52" s="5" t="str">
        <f>B52^2+C52^2</f>
      </c>
      <c r="E52" s="5" t="str">
        <f>IF(D52&lt;=1,1,0)</f>
      </c>
    </row>
    <row r="53">
      <c r="A53" s="6">
        <v>6</v>
      </c>
      <c r="B53" s="6" t="str">
        <f>INDEX('Lineal Mixto'!$C$5:$C$24,2*A53-1)</f>
      </c>
      <c r="C53" s="6" t="str">
        <f>INDEX('Lineal Mixto'!$C$5:$C$24,2*A53)</f>
      </c>
      <c r="D53" s="6" t="str">
        <f>B53^2+C53^2</f>
      </c>
      <c r="E53" s="6" t="str">
        <f>IF(D53&lt;=1,1,0)</f>
      </c>
    </row>
    <row r="54">
      <c r="A54" s="5">
        <v>7</v>
      </c>
      <c r="B54" s="5" t="str">
        <f>INDEX('Lineal Mixto'!$C$5:$C$24,2*A54-1)</f>
      </c>
      <c r="C54" s="5" t="str">
        <f>INDEX('Lineal Mixto'!$C$5:$C$24,2*A54)</f>
      </c>
      <c r="D54" s="5" t="str">
        <f>B54^2+C54^2</f>
      </c>
      <c r="E54" s="5" t="str">
        <f>IF(D54&lt;=1,1,0)</f>
      </c>
    </row>
    <row r="55">
      <c r="A55" s="6">
        <v>8</v>
      </c>
      <c r="B55" s="6" t="str">
        <f>INDEX('Lineal Mixto'!$C$5:$C$24,2*A55-1)</f>
      </c>
      <c r="C55" s="6" t="str">
        <f>INDEX('Lineal Mixto'!$C$5:$C$24,2*A55)</f>
      </c>
      <c r="D55" s="6" t="str">
        <f>B55^2+C55^2</f>
      </c>
      <c r="E55" s="6" t="str">
        <f>IF(D55&lt;=1,1,0)</f>
      </c>
    </row>
    <row r="56">
      <c r="A56" s="5">
        <v>9</v>
      </c>
      <c r="B56" s="5" t="str">
        <f>INDEX('Lineal Mixto'!$C$5:$C$24,2*A56-1)</f>
      </c>
      <c r="C56" s="5" t="str">
        <f>INDEX('Lineal Mixto'!$C$5:$C$24,2*A56)</f>
      </c>
      <c r="D56" s="5" t="str">
        <f>B56^2+C56^2</f>
      </c>
      <c r="E56" s="5" t="str">
        <f>IF(D56&lt;=1,1,0)</f>
      </c>
    </row>
    <row r="57">
      <c r="A57" s="6">
        <v>10</v>
      </c>
      <c r="B57" s="6" t="str">
        <f>INDEX('Lineal Mixto'!$C$5:$C$24,2*A57-1)</f>
      </c>
      <c r="C57" s="6" t="str">
        <f>INDEX('Lineal Mixto'!$C$5:$C$24,2*A57)</f>
      </c>
      <c r="D57" s="6" t="str">
        <f>B57^2+C57^2</f>
      </c>
      <c r="E57" s="6" t="str">
        <f>IF(D57&lt;=1,1,0)</f>
      </c>
    </row>
    <row r="58">
      <c r="A58" t="s">
        <v>28</v>
      </c>
      <c r="B58" t="str">
        <f>INT(COUNT('Lineal Mixto'!$C$5:$C$24)/2)</f>
      </c>
    </row>
    <row r="59">
      <c r="A59" t="s">
        <v>29</v>
      </c>
      <c r="B59" t="str">
        <f>SUM($E$48:$E$57)</f>
      </c>
    </row>
    <row r="60">
      <c r="A60" t="s">
        <v>30</v>
      </c>
      <c r="B60" t="str">
        <f>IF(B58=0,0,4*B59/B58)</f>
      </c>
    </row>
    <row r="61">
      <c r="A61" t="s">
        <v>31</v>
      </c>
      <c r="B61" t="str">
        <f>IF(B58=0,0,ABS(B60-PI()))</f>
      </c>
    </row>
    <row r="63" ht="22" customHeight="true">
      <c r="A63" s="3" t="s">
        <v>32</v>
      </c>
      <c r="B63" s="3"/>
      <c r="C63" s="3"/>
      <c r="D63" s="3"/>
      <c r="E63" s="3"/>
      <c r="F63" s="3"/>
      <c r="G63" s="3"/>
      <c r="H63" s="3"/>
    </row>
    <row r="64">
      <c r="A64" s="7" t="s">
        <v>33</v>
      </c>
      <c r="B64" s="7">
        <v>0.3</v>
      </c>
    </row>
    <row r="65">
      <c r="A65" s="7" t="s">
        <v>34</v>
      </c>
      <c r="B65" s="7">
        <v>0.7</v>
      </c>
    </row>
    <row r="66">
      <c r="A66" s="7" t="s">
        <v>35</v>
      </c>
      <c r="B66" s="7" t="str">
        <f>$B$65-$B$64</f>
      </c>
    </row>
    <row r="68">
      <c r="A68" s="4" t="s">
        <v>36</v>
      </c>
      <c r="B68" s="4" t="s">
        <v>37</v>
      </c>
      <c r="C68" s="4" t="s">
        <v>38</v>
      </c>
      <c r="D68" s="4" t="s">
        <v>39</v>
      </c>
      <c r="E68" s="4" t="s">
        <v>40</v>
      </c>
      <c r="F68" s="4" t="s">
        <v>41</v>
      </c>
    </row>
    <row r="69">
      <c r="A69" s="5">
        <v>1</v>
      </c>
      <c r="B69" s="5" t="str">
        <f>'Lineal Mixto'!$C$5</f>
      </c>
      <c r="C69" s="5" t="str">
        <f>IF(AND(B69&gt;=$B$64,B69&lt;=$B$65),1,0)</f>
      </c>
      <c r="D69" s="5" t="str">
        <f>C69</f>
      </c>
      <c r="E69" s="5">
        <v>0</v>
      </c>
      <c r="F69" s="5" t="s">
        <v>42</v>
      </c>
    </row>
    <row r="70">
      <c r="A70" s="6">
        <v>2</v>
      </c>
      <c r="B70" s="6" t="str">
        <f>'Lineal Mixto'!$C$6</f>
      </c>
      <c r="C70" s="6" t="str">
        <f>IF(AND(B70&gt;=$B$64,B70&lt;=$B$65),1,0)</f>
      </c>
      <c r="D70" s="6" t="str">
        <f>IF(OR(D69=1,C70=1),1,0)</f>
      </c>
      <c r="E70" s="6" t="str">
        <f>IF(C70=1,0,IF(D69=1,E69+1,0))</f>
      </c>
      <c r="F70" s="6" t="str">
        <f>IF(AND(C70=1,D69=1),MIN(E69,3),"")</f>
      </c>
    </row>
    <row r="71">
      <c r="A71" s="5">
        <v>3</v>
      </c>
      <c r="B71" s="5" t="str">
        <f>'Lineal Mixto'!$C$7</f>
      </c>
      <c r="C71" s="5" t="str">
        <f>IF(AND(B71&gt;=$B$64,B71&lt;=$B$65),1,0)</f>
      </c>
      <c r="D71" s="5" t="str">
        <f>IF(OR(D70=1,C71=1),1,0)</f>
      </c>
      <c r="E71" s="5" t="str">
        <f>IF(C71=1,0,IF(D70=1,E70+1,0))</f>
      </c>
      <c r="F71" s="5" t="str">
        <f>IF(AND(C71=1,D70=1),MIN(E70,3),"")</f>
      </c>
    </row>
    <row r="72">
      <c r="A72" s="6">
        <v>4</v>
      </c>
      <c r="B72" s="6" t="str">
        <f>'Lineal Mixto'!$C$8</f>
      </c>
      <c r="C72" s="6" t="str">
        <f>IF(AND(B72&gt;=$B$64,B72&lt;=$B$65),1,0)</f>
      </c>
      <c r="D72" s="6" t="str">
        <f>IF(OR(D71=1,C72=1),1,0)</f>
      </c>
      <c r="E72" s="6" t="str">
        <f>IF(C72=1,0,IF(D71=1,E71+1,0))</f>
      </c>
      <c r="F72" s="6" t="str">
        <f>IF(AND(C72=1,D71=1),MIN(E71,3),"")</f>
      </c>
    </row>
    <row r="73">
      <c r="A73" s="5">
        <v>5</v>
      </c>
      <c r="B73" s="5" t="str">
        <f>'Lineal Mixto'!$C$9</f>
      </c>
      <c r="C73" s="5" t="str">
        <f>IF(AND(B73&gt;=$B$64,B73&lt;=$B$65),1,0)</f>
      </c>
      <c r="D73" s="5" t="str">
        <f>IF(OR(D72=1,C73=1),1,0)</f>
      </c>
      <c r="E73" s="5" t="str">
        <f>IF(C73=1,0,IF(D72=1,E72+1,0))</f>
      </c>
      <c r="F73" s="5" t="str">
        <f>IF(AND(C73=1,D72=1),MIN(E72,3),"")</f>
      </c>
    </row>
    <row r="74">
      <c r="A74" s="6">
        <v>6</v>
      </c>
      <c r="B74" s="6" t="str">
        <f>'Lineal Mixto'!$C$10</f>
      </c>
      <c r="C74" s="6" t="str">
        <f>IF(AND(B74&gt;=$B$64,B74&lt;=$B$65),1,0)</f>
      </c>
      <c r="D74" s="6" t="str">
        <f>IF(OR(D73=1,C74=1),1,0)</f>
      </c>
      <c r="E74" s="6" t="str">
        <f>IF(C74=1,0,IF(D73=1,E73+1,0))</f>
      </c>
      <c r="F74" s="6" t="str">
        <f>IF(AND(C74=1,D73=1),MIN(E73,3),"")</f>
      </c>
    </row>
    <row r="75">
      <c r="A75" s="5">
        <v>7</v>
      </c>
      <c r="B75" s="5" t="str">
        <f>'Lineal Mixto'!$C$11</f>
      </c>
      <c r="C75" s="5" t="str">
        <f>IF(AND(B75&gt;=$B$64,B75&lt;=$B$65),1,0)</f>
      </c>
      <c r="D75" s="5" t="str">
        <f>IF(OR(D74=1,C75=1),1,0)</f>
      </c>
      <c r="E75" s="5" t="str">
        <f>IF(C75=1,0,IF(D74=1,E74+1,0))</f>
      </c>
      <c r="F75" s="5" t="str">
        <f>IF(AND(C75=1,D74=1),MIN(E74,3),"")</f>
      </c>
    </row>
    <row r="76">
      <c r="A76" s="6">
        <v>8</v>
      </c>
      <c r="B76" s="6" t="str">
        <f>'Lineal Mixto'!$C$12</f>
      </c>
      <c r="C76" s="6" t="str">
        <f>IF(AND(B76&gt;=$B$64,B76&lt;=$B$65),1,0)</f>
      </c>
      <c r="D76" s="6" t="str">
        <f>IF(OR(D75=1,C76=1),1,0)</f>
      </c>
      <c r="E76" s="6" t="str">
        <f>IF(C76=1,0,IF(D75=1,E75+1,0))</f>
      </c>
      <c r="F76" s="6" t="str">
        <f>IF(AND(C76=1,D75=1),MIN(E75,3),"")</f>
      </c>
    </row>
    <row r="77">
      <c r="A77" s="5">
        <v>9</v>
      </c>
      <c r="B77" s="5" t="str">
        <f>'Lineal Mixto'!$C$13</f>
      </c>
      <c r="C77" s="5" t="str">
        <f>IF(AND(B77&gt;=$B$64,B77&lt;=$B$65),1,0)</f>
      </c>
      <c r="D77" s="5" t="str">
        <f>IF(OR(D76=1,C77=1),1,0)</f>
      </c>
      <c r="E77" s="5" t="str">
        <f>IF(C77=1,0,IF(D76=1,E76+1,0))</f>
      </c>
      <c r="F77" s="5" t="str">
        <f>IF(AND(C77=1,D76=1),MIN(E76,3),"")</f>
      </c>
    </row>
    <row r="78">
      <c r="A78" s="6">
        <v>10</v>
      </c>
      <c r="B78" s="6" t="str">
        <f>'Lineal Mixto'!$C$14</f>
      </c>
      <c r="C78" s="6" t="str">
        <f>IF(AND(B78&gt;=$B$64,B78&lt;=$B$65),1,0)</f>
      </c>
      <c r="D78" s="6" t="str">
        <f>IF(OR(D77=1,C78=1),1,0)</f>
      </c>
      <c r="E78" s="6" t="str">
        <f>IF(C78=1,0,IF(D77=1,E77+1,0))</f>
      </c>
      <c r="F78" s="6" t="str">
        <f>IF(AND(C78=1,D77=1),MIN(E77,3),"")</f>
      </c>
    </row>
    <row r="79">
      <c r="A79" s="5">
        <v>11</v>
      </c>
      <c r="B79" s="5" t="str">
        <f>'Lineal Mixto'!$C$15</f>
      </c>
      <c r="C79" s="5" t="str">
        <f>IF(AND(B79&gt;=$B$64,B79&lt;=$B$65),1,0)</f>
      </c>
      <c r="D79" s="5" t="str">
        <f>IF(OR(D78=1,C79=1),1,0)</f>
      </c>
      <c r="E79" s="5" t="str">
        <f>IF(C79=1,0,IF(D78=1,E78+1,0))</f>
      </c>
      <c r="F79" s="5" t="str">
        <f>IF(AND(C79=1,D78=1),MIN(E78,3),"")</f>
      </c>
    </row>
    <row r="80">
      <c r="A80" s="6">
        <v>12</v>
      </c>
      <c r="B80" s="6" t="str">
        <f>'Lineal Mixto'!$C$16</f>
      </c>
      <c r="C80" s="6" t="str">
        <f>IF(AND(B80&gt;=$B$64,B80&lt;=$B$65),1,0)</f>
      </c>
      <c r="D80" s="6" t="str">
        <f>IF(OR(D79=1,C80=1),1,0)</f>
      </c>
      <c r="E80" s="6" t="str">
        <f>IF(C80=1,0,IF(D79=1,E79+1,0))</f>
      </c>
      <c r="F80" s="6" t="str">
        <f>IF(AND(C80=1,D79=1),MIN(E79,3),"")</f>
      </c>
    </row>
    <row r="81">
      <c r="A81" s="5">
        <v>13</v>
      </c>
      <c r="B81" s="5" t="str">
        <f>'Lineal Mixto'!$C$17</f>
      </c>
      <c r="C81" s="5" t="str">
        <f>IF(AND(B81&gt;=$B$64,B81&lt;=$B$65),1,0)</f>
      </c>
      <c r="D81" s="5" t="str">
        <f>IF(OR(D80=1,C81=1),1,0)</f>
      </c>
      <c r="E81" s="5" t="str">
        <f>IF(C81=1,0,IF(D80=1,E80+1,0))</f>
      </c>
      <c r="F81" s="5" t="str">
        <f>IF(AND(C81=1,D80=1),MIN(E80,3),"")</f>
      </c>
    </row>
    <row r="82">
      <c r="A82" s="6">
        <v>14</v>
      </c>
      <c r="B82" s="6" t="str">
        <f>'Lineal Mixto'!$C$18</f>
      </c>
      <c r="C82" s="6" t="str">
        <f>IF(AND(B82&gt;=$B$64,B82&lt;=$B$65),1,0)</f>
      </c>
      <c r="D82" s="6" t="str">
        <f>IF(OR(D81=1,C82=1),1,0)</f>
      </c>
      <c r="E82" s="6" t="str">
        <f>IF(C82=1,0,IF(D81=1,E81+1,0))</f>
      </c>
      <c r="F82" s="6" t="str">
        <f>IF(AND(C82=1,D81=1),MIN(E81,3),"")</f>
      </c>
    </row>
    <row r="83">
      <c r="A83" s="5">
        <v>15</v>
      </c>
      <c r="B83" s="5" t="str">
        <f>'Lineal Mixto'!$C$19</f>
      </c>
      <c r="C83" s="5" t="str">
        <f>IF(AND(B83&gt;=$B$64,B83&lt;=$B$65),1,0)</f>
      </c>
      <c r="D83" s="5" t="str">
        <f>IF(OR(D82=1,C83=1),1,0)</f>
      </c>
      <c r="E83" s="5" t="str">
        <f>IF(C83=1,0,IF(D82=1,E82+1,0))</f>
      </c>
      <c r="F83" s="5" t="str">
        <f>IF(AND(C83=1,D82=1),MIN(E82,3),"")</f>
      </c>
    </row>
    <row r="84">
      <c r="A84" s="6">
        <v>16</v>
      </c>
      <c r="B84" s="6" t="str">
        <f>'Lineal Mixto'!$C$20</f>
      </c>
      <c r="C84" s="6" t="str">
        <f>IF(AND(B84&gt;=$B$64,B84&lt;=$B$65),1,0)</f>
      </c>
      <c r="D84" s="6" t="str">
        <f>IF(OR(D83=1,C84=1),1,0)</f>
      </c>
      <c r="E84" s="6" t="str">
        <f>IF(C84=1,0,IF(D83=1,E83+1,0))</f>
      </c>
      <c r="F84" s="6" t="str">
        <f>IF(AND(C84=1,D83=1),MIN(E83,3),"")</f>
      </c>
    </row>
    <row r="85">
      <c r="A85" s="5">
        <v>17</v>
      </c>
      <c r="B85" s="5" t="str">
        <f>'Lineal Mixto'!$C$21</f>
      </c>
      <c r="C85" s="5" t="str">
        <f>IF(AND(B85&gt;=$B$64,B85&lt;=$B$65),1,0)</f>
      </c>
      <c r="D85" s="5" t="str">
        <f>IF(OR(D84=1,C85=1),1,0)</f>
      </c>
      <c r="E85" s="5" t="str">
        <f>IF(C85=1,0,IF(D84=1,E84+1,0))</f>
      </c>
      <c r="F85" s="5" t="str">
        <f>IF(AND(C85=1,D84=1),MIN(E84,3),"")</f>
      </c>
    </row>
    <row r="86">
      <c r="A86" s="6">
        <v>18</v>
      </c>
      <c r="B86" s="6" t="str">
        <f>'Lineal Mixto'!$C$22</f>
      </c>
      <c r="C86" s="6" t="str">
        <f>IF(AND(B86&gt;=$B$64,B86&lt;=$B$65),1,0)</f>
      </c>
      <c r="D86" s="6" t="str">
        <f>IF(OR(D85=1,C86=1),1,0)</f>
      </c>
      <c r="E86" s="6" t="str">
        <f>IF(C86=1,0,IF(D85=1,E85+1,0))</f>
      </c>
      <c r="F86" s="6" t="str">
        <f>IF(AND(C86=1,D85=1),MIN(E85,3),"")</f>
      </c>
    </row>
    <row r="87">
      <c r="A87" s="5">
        <v>19</v>
      </c>
      <c r="B87" s="5" t="str">
        <f>'Lineal Mixto'!$C$23</f>
      </c>
      <c r="C87" s="5" t="str">
        <f>IF(AND(B87&gt;=$B$64,B87&lt;=$B$65),1,0)</f>
      </c>
      <c r="D87" s="5" t="str">
        <f>IF(OR(D86=1,C87=1),1,0)</f>
      </c>
      <c r="E87" s="5" t="str">
        <f>IF(C87=1,0,IF(D86=1,E86+1,0))</f>
      </c>
      <c r="F87" s="5" t="str">
        <f>IF(AND(C87=1,D86=1),MIN(E86,3),"")</f>
      </c>
    </row>
    <row r="88">
      <c r="A88" s="6">
        <v>20</v>
      </c>
      <c r="B88" s="6" t="str">
        <f>'Lineal Mixto'!$C$24</f>
      </c>
      <c r="C88" s="6" t="str">
        <f>IF(AND(B88&gt;=$B$64,B88&lt;=$B$65),1,0)</f>
      </c>
      <c r="D88" s="6" t="str">
        <f>IF(OR(D87=1,C88=1),1,0)</f>
      </c>
      <c r="E88" s="6" t="str">
        <f>IF(C88=1,0,IF(D87=1,E87+1,0))</f>
      </c>
      <c r="F88" s="6" t="str">
        <f>IF(AND(C88=1,D87=1),MIN(E87,3),"")</f>
      </c>
    </row>
    <row r="90">
      <c r="A90" s="4" t="s">
        <v>43</v>
      </c>
      <c r="B90" s="4" t="s">
        <v>12</v>
      </c>
      <c r="C90" s="4" t="s">
        <v>44</v>
      </c>
      <c r="D90" s="4" t="s">
        <v>45</v>
      </c>
      <c r="E90" s="4" t="s">
        <v>14</v>
      </c>
    </row>
    <row r="91">
      <c r="A91" s="5">
        <v>0</v>
      </c>
      <c r="B91" s="5" t="str">
        <f>COUNTIFS($F$69:$F$88,0)</f>
      </c>
      <c r="C91" s="5" t="str">
        <f>$B$66</f>
      </c>
      <c r="D91" s="5" t="str">
        <f>SUM($B$91:$B$94)*C91</f>
      </c>
      <c r="E91" s="5" t="str">
        <f>IF(D91&gt;0,(B91-D91)^2/D91,0)</f>
      </c>
    </row>
    <row r="92">
      <c r="A92" s="6">
        <v>1</v>
      </c>
      <c r="B92" s="6" t="str">
        <f>COUNTIFS($F$69:$F$88,1)</f>
      </c>
      <c r="C92" s="6" t="str">
        <f>$B$66*(1-$B$66)</f>
      </c>
      <c r="D92" s="6" t="str">
        <f>SUM($B$91:$B$94)*C92</f>
      </c>
      <c r="E92" s="6" t="str">
        <f>IF(D92&gt;0,(B92-D92)^2/D92,0)</f>
      </c>
    </row>
    <row r="93">
      <c r="A93" s="5">
        <v>2</v>
      </c>
      <c r="B93" s="5" t="str">
        <f>COUNTIFS($F$69:$F$88,2)</f>
      </c>
      <c r="C93" s="5" t="str">
        <f>$B$66*(1-$B$66)^2</f>
      </c>
      <c r="D93" s="5" t="str">
        <f>SUM($B$91:$B$94)*C93</f>
      </c>
      <c r="E93" s="5" t="str">
        <f>IF(D93&gt;0,(B93-D93)^2/D93,0)</f>
      </c>
    </row>
    <row r="94">
      <c r="A94" s="6" t="s">
        <v>46</v>
      </c>
      <c r="B94" s="6" t="str">
        <f>COUNTIFS($F$69:$F$88,3)</f>
      </c>
      <c r="C94" s="6" t="str">
        <f>(1-$B$66)^3</f>
      </c>
      <c r="D94" s="6" t="str">
        <f>SUM($B$91:$B$94)*C94</f>
      </c>
      <c r="E94" s="6" t="str">
        <f>IF(D94&gt;0,(B94-D94)^2/D94,0)</f>
      </c>
    </row>
    <row r="97" ht="22" customHeight="true">
      <c r="A97" s="3" t="s">
        <v>47</v>
      </c>
      <c r="B97" s="3"/>
      <c r="C97" s="3"/>
      <c r="D97" s="3"/>
      <c r="E97" s="3"/>
      <c r="F97" s="3"/>
      <c r="G97" s="3"/>
      <c r="H97" s="3"/>
    </row>
    <row r="98">
      <c r="A98" s="4" t="s">
        <v>36</v>
      </c>
      <c r="B98" s="4" t="s">
        <v>48</v>
      </c>
      <c r="C98" s="4" t="s">
        <v>49</v>
      </c>
      <c r="D98" s="4" t="s">
        <v>50</v>
      </c>
      <c r="E98" s="4" t="s">
        <v>51</v>
      </c>
      <c r="F98" s="4" t="s">
        <v>52</v>
      </c>
    </row>
    <row r="99">
      <c r="A99" s="5">
        <v>1</v>
      </c>
      <c r="B99" s="5" t="str">
        <f>'Lineal Mixto'!$C$5</f>
      </c>
      <c r="C99" s="5" t="str">
        <f>'Lineal Mixto'!$C$6</f>
      </c>
      <c r="D99" s="5" t="str">
        <f>MIN(INT(B99*5),4)</f>
      </c>
      <c r="E99" s="5" t="str">
        <f>MIN(INT(C99*5),4)</f>
      </c>
      <c r="F99" s="5" t="str">
        <f>D99*5+E99</f>
      </c>
    </row>
    <row r="100">
      <c r="A100" s="6">
        <v>2</v>
      </c>
      <c r="B100" s="6" t="str">
        <f>'Lineal Mixto'!$C$6</f>
      </c>
      <c r="C100" s="6" t="str">
        <f>'Lineal Mixto'!$C$7</f>
      </c>
      <c r="D100" s="6" t="str">
        <f>MIN(INT(B100*5),4)</f>
      </c>
      <c r="E100" s="6" t="str">
        <f>MIN(INT(C100*5),4)</f>
      </c>
      <c r="F100" s="6" t="str">
        <f>D100*5+E100</f>
      </c>
    </row>
    <row r="101">
      <c r="A101" s="5">
        <v>3</v>
      </c>
      <c r="B101" s="5" t="str">
        <f>'Lineal Mixto'!$C$7</f>
      </c>
      <c r="C101" s="5" t="str">
        <f>'Lineal Mixto'!$C$8</f>
      </c>
      <c r="D101" s="5" t="str">
        <f>MIN(INT(B101*5),4)</f>
      </c>
      <c r="E101" s="5" t="str">
        <f>MIN(INT(C101*5),4)</f>
      </c>
      <c r="F101" s="5" t="str">
        <f>D101*5+E101</f>
      </c>
    </row>
    <row r="102">
      <c r="A102" s="6">
        <v>4</v>
      </c>
      <c r="B102" s="6" t="str">
        <f>'Lineal Mixto'!$C$8</f>
      </c>
      <c r="C102" s="6" t="str">
        <f>'Lineal Mixto'!$C$9</f>
      </c>
      <c r="D102" s="6" t="str">
        <f>MIN(INT(B102*5),4)</f>
      </c>
      <c r="E102" s="6" t="str">
        <f>MIN(INT(C102*5),4)</f>
      </c>
      <c r="F102" s="6" t="str">
        <f>D102*5+E102</f>
      </c>
    </row>
    <row r="103">
      <c r="A103" s="5">
        <v>5</v>
      </c>
      <c r="B103" s="5" t="str">
        <f>'Lineal Mixto'!$C$9</f>
      </c>
      <c r="C103" s="5" t="str">
        <f>'Lineal Mixto'!$C$10</f>
      </c>
      <c r="D103" s="5" t="str">
        <f>MIN(INT(B103*5),4)</f>
      </c>
      <c r="E103" s="5" t="str">
        <f>MIN(INT(C103*5),4)</f>
      </c>
      <c r="F103" s="5" t="str">
        <f>D103*5+E103</f>
      </c>
    </row>
    <row r="104">
      <c r="A104" s="6">
        <v>6</v>
      </c>
      <c r="B104" s="6" t="str">
        <f>'Lineal Mixto'!$C$10</f>
      </c>
      <c r="C104" s="6" t="str">
        <f>'Lineal Mixto'!$C$11</f>
      </c>
      <c r="D104" s="6" t="str">
        <f>MIN(INT(B104*5),4)</f>
      </c>
      <c r="E104" s="6" t="str">
        <f>MIN(INT(C104*5),4)</f>
      </c>
      <c r="F104" s="6" t="str">
        <f>D104*5+E104</f>
      </c>
    </row>
    <row r="105">
      <c r="A105" s="5">
        <v>7</v>
      </c>
      <c r="B105" s="5" t="str">
        <f>'Lineal Mixto'!$C$11</f>
      </c>
      <c r="C105" s="5" t="str">
        <f>'Lineal Mixto'!$C$12</f>
      </c>
      <c r="D105" s="5" t="str">
        <f>MIN(INT(B105*5),4)</f>
      </c>
      <c r="E105" s="5" t="str">
        <f>MIN(INT(C105*5),4)</f>
      </c>
      <c r="F105" s="5" t="str">
        <f>D105*5+E105</f>
      </c>
    </row>
    <row r="106">
      <c r="A106" s="6">
        <v>8</v>
      </c>
      <c r="B106" s="6" t="str">
        <f>'Lineal Mixto'!$C$12</f>
      </c>
      <c r="C106" s="6" t="str">
        <f>'Lineal Mixto'!$C$13</f>
      </c>
      <c r="D106" s="6" t="str">
        <f>MIN(INT(B106*5),4)</f>
      </c>
      <c r="E106" s="6" t="str">
        <f>MIN(INT(C106*5),4)</f>
      </c>
      <c r="F106" s="6" t="str">
        <f>D106*5+E106</f>
      </c>
    </row>
    <row r="107">
      <c r="A107" s="5">
        <v>9</v>
      </c>
      <c r="B107" s="5" t="str">
        <f>'Lineal Mixto'!$C$13</f>
      </c>
      <c r="C107" s="5" t="str">
        <f>'Lineal Mixto'!$C$14</f>
      </c>
      <c r="D107" s="5" t="str">
        <f>MIN(INT(B107*5),4)</f>
      </c>
      <c r="E107" s="5" t="str">
        <f>MIN(INT(C107*5),4)</f>
      </c>
      <c r="F107" s="5" t="str">
        <f>D107*5+E107</f>
      </c>
    </row>
    <row r="108">
      <c r="A108" s="6">
        <v>10</v>
      </c>
      <c r="B108" s="6" t="str">
        <f>'Lineal Mixto'!$C$14</f>
      </c>
      <c r="C108" s="6" t="str">
        <f>'Lineal Mixto'!$C$15</f>
      </c>
      <c r="D108" s="6" t="str">
        <f>MIN(INT(B108*5),4)</f>
      </c>
      <c r="E108" s="6" t="str">
        <f>MIN(INT(C108*5),4)</f>
      </c>
      <c r="F108" s="6" t="str">
        <f>D108*5+E108</f>
      </c>
    </row>
    <row r="109">
      <c r="A109" s="5">
        <v>11</v>
      </c>
      <c r="B109" s="5" t="str">
        <f>'Lineal Mixto'!$C$15</f>
      </c>
      <c r="C109" s="5" t="str">
        <f>'Lineal Mixto'!$C$16</f>
      </c>
      <c r="D109" s="5" t="str">
        <f>MIN(INT(B109*5),4)</f>
      </c>
      <c r="E109" s="5" t="str">
        <f>MIN(INT(C109*5),4)</f>
      </c>
      <c r="F109" s="5" t="str">
        <f>D109*5+E109</f>
      </c>
    </row>
    <row r="110">
      <c r="A110" s="6">
        <v>12</v>
      </c>
      <c r="B110" s="6" t="str">
        <f>'Lineal Mixto'!$C$16</f>
      </c>
      <c r="C110" s="6" t="str">
        <f>'Lineal Mixto'!$C$17</f>
      </c>
      <c r="D110" s="6" t="str">
        <f>MIN(INT(B110*5),4)</f>
      </c>
      <c r="E110" s="6" t="str">
        <f>MIN(INT(C110*5),4)</f>
      </c>
      <c r="F110" s="6" t="str">
        <f>D110*5+E110</f>
      </c>
    </row>
    <row r="111">
      <c r="A111" s="5">
        <v>13</v>
      </c>
      <c r="B111" s="5" t="str">
        <f>'Lineal Mixto'!$C$17</f>
      </c>
      <c r="C111" s="5" t="str">
        <f>'Lineal Mixto'!$C$18</f>
      </c>
      <c r="D111" s="5" t="str">
        <f>MIN(INT(B111*5),4)</f>
      </c>
      <c r="E111" s="5" t="str">
        <f>MIN(INT(C111*5),4)</f>
      </c>
      <c r="F111" s="5" t="str">
        <f>D111*5+E111</f>
      </c>
    </row>
    <row r="112">
      <c r="A112" s="6">
        <v>14</v>
      </c>
      <c r="B112" s="6" t="str">
        <f>'Lineal Mixto'!$C$18</f>
      </c>
      <c r="C112" s="6" t="str">
        <f>'Lineal Mixto'!$C$19</f>
      </c>
      <c r="D112" s="6" t="str">
        <f>MIN(INT(B112*5),4)</f>
      </c>
      <c r="E112" s="6" t="str">
        <f>MIN(INT(C112*5),4)</f>
      </c>
      <c r="F112" s="6" t="str">
        <f>D112*5+E112</f>
      </c>
    </row>
    <row r="113">
      <c r="A113" s="5">
        <v>15</v>
      </c>
      <c r="B113" s="5" t="str">
        <f>'Lineal Mixto'!$C$19</f>
      </c>
      <c r="C113" s="5" t="str">
        <f>'Lineal Mixto'!$C$20</f>
      </c>
      <c r="D113" s="5" t="str">
        <f>MIN(INT(B113*5),4)</f>
      </c>
      <c r="E113" s="5" t="str">
        <f>MIN(INT(C113*5),4)</f>
      </c>
      <c r="F113" s="5" t="str">
        <f>D113*5+E113</f>
      </c>
    </row>
    <row r="114">
      <c r="A114" s="6">
        <v>16</v>
      </c>
      <c r="B114" s="6" t="str">
        <f>'Lineal Mixto'!$C$20</f>
      </c>
      <c r="C114" s="6" t="str">
        <f>'Lineal Mixto'!$C$21</f>
      </c>
      <c r="D114" s="6" t="str">
        <f>MIN(INT(B114*5),4)</f>
      </c>
      <c r="E114" s="6" t="str">
        <f>MIN(INT(C114*5),4)</f>
      </c>
      <c r="F114" s="6" t="str">
        <f>D114*5+E114</f>
      </c>
    </row>
    <row r="115">
      <c r="A115" s="5">
        <v>17</v>
      </c>
      <c r="B115" s="5" t="str">
        <f>'Lineal Mixto'!$C$21</f>
      </c>
      <c r="C115" s="5" t="str">
        <f>'Lineal Mixto'!$C$22</f>
      </c>
      <c r="D115" s="5" t="str">
        <f>MIN(INT(B115*5),4)</f>
      </c>
      <c r="E115" s="5" t="str">
        <f>MIN(INT(C115*5),4)</f>
      </c>
      <c r="F115" s="5" t="str">
        <f>D115*5+E115</f>
      </c>
    </row>
    <row r="116">
      <c r="A116" s="6">
        <v>18</v>
      </c>
      <c r="B116" s="6" t="str">
        <f>'Lineal Mixto'!$C$22</f>
      </c>
      <c r="C116" s="6" t="str">
        <f>'Lineal Mixto'!$C$23</f>
      </c>
      <c r="D116" s="6" t="str">
        <f>MIN(INT(B116*5),4)</f>
      </c>
      <c r="E116" s="6" t="str">
        <f>MIN(INT(C116*5),4)</f>
      </c>
      <c r="F116" s="6" t="str">
        <f>D116*5+E116</f>
      </c>
    </row>
    <row r="117">
      <c r="A117" s="5">
        <v>19</v>
      </c>
      <c r="B117" s="5" t="str">
        <f>'Lineal Mixto'!$C$23</f>
      </c>
      <c r="C117" s="5" t="str">
        <f>'Lineal Mixto'!$C$24</f>
      </c>
      <c r="D117" s="5" t="str">
        <f>MIN(INT(B117*5),4)</f>
      </c>
      <c r="E117" s="5" t="str">
        <f>MIN(INT(C117*5),4)</f>
      </c>
      <c r="F117" s="5" t="str">
        <f>D117*5+E117</f>
      </c>
    </row>
    <row r="119">
      <c r="A119" s="4" t="s">
        <v>53</v>
      </c>
      <c r="B119" s="4" t="s">
        <v>12</v>
      </c>
      <c r="C119" s="4" t="s">
        <v>54</v>
      </c>
      <c r="D119" s="4" t="s">
        <v>55</v>
      </c>
    </row>
    <row r="120">
      <c r="A120" s="5">
        <v>0</v>
      </c>
      <c r="B120" s="5" t="str">
        <f>COUNTIFS($F$99:$F$117,0)</f>
      </c>
      <c r="C120" s="5" t="str">
        <f>(COUNT('Lineal Mixto'!$C$5:$C$24)-1)/25</f>
      </c>
      <c r="D120" s="5" t="str">
        <f>(B120-C120)^2</f>
      </c>
    </row>
    <row r="121">
      <c r="A121" s="6">
        <v>1</v>
      </c>
      <c r="B121" s="6" t="str">
        <f>COUNTIFS($F$99:$F$117,1)</f>
      </c>
      <c r="C121" s="6" t="str">
        <f>(COUNT('Lineal Mixto'!$C$5:$C$24)-1)/25</f>
      </c>
      <c r="D121" s="6" t="str">
        <f>(B121-C121)^2</f>
      </c>
    </row>
    <row r="122">
      <c r="A122" s="5">
        <v>2</v>
      </c>
      <c r="B122" s="5" t="str">
        <f>COUNTIFS($F$99:$F$117,2)</f>
      </c>
      <c r="C122" s="5" t="str">
        <f>(COUNT('Lineal Mixto'!$C$5:$C$24)-1)/25</f>
      </c>
      <c r="D122" s="5" t="str">
        <f>(B122-C122)^2</f>
      </c>
    </row>
    <row r="123">
      <c r="A123" s="6">
        <v>3</v>
      </c>
      <c r="B123" s="6" t="str">
        <f>COUNTIFS($F$99:$F$117,3)</f>
      </c>
      <c r="C123" s="6" t="str">
        <f>(COUNT('Lineal Mixto'!$C$5:$C$24)-1)/25</f>
      </c>
      <c r="D123" s="6" t="str">
        <f>(B123-C123)^2</f>
      </c>
    </row>
    <row r="124">
      <c r="A124" s="5">
        <v>4</v>
      </c>
      <c r="B124" s="5" t="str">
        <f>COUNTIFS($F$99:$F$117,4)</f>
      </c>
      <c r="C124" s="5" t="str">
        <f>(COUNT('Lineal Mixto'!$C$5:$C$24)-1)/25</f>
      </c>
      <c r="D124" s="5" t="str">
        <f>(B124-C124)^2</f>
      </c>
    </row>
    <row r="125">
      <c r="A125" s="6">
        <v>5</v>
      </c>
      <c r="B125" s="6" t="str">
        <f>COUNTIFS($F$99:$F$117,5)</f>
      </c>
      <c r="C125" s="6" t="str">
        <f>(COUNT('Lineal Mixto'!$C$5:$C$24)-1)/25</f>
      </c>
      <c r="D125" s="6" t="str">
        <f>(B125-C125)^2</f>
      </c>
    </row>
    <row r="126">
      <c r="A126" s="5">
        <v>6</v>
      </c>
      <c r="B126" s="5" t="str">
        <f>COUNTIFS($F$99:$F$117,6)</f>
      </c>
      <c r="C126" s="5" t="str">
        <f>(COUNT('Lineal Mixto'!$C$5:$C$24)-1)/25</f>
      </c>
      <c r="D126" s="5" t="str">
        <f>(B126-C126)^2</f>
      </c>
    </row>
    <row r="127">
      <c r="A127" s="6">
        <v>7</v>
      </c>
      <c r="B127" s="6" t="str">
        <f>COUNTIFS($F$99:$F$117,7)</f>
      </c>
      <c r="C127" s="6" t="str">
        <f>(COUNT('Lineal Mixto'!$C$5:$C$24)-1)/25</f>
      </c>
      <c r="D127" s="6" t="str">
        <f>(B127-C127)^2</f>
      </c>
    </row>
    <row r="128">
      <c r="A128" s="5">
        <v>8</v>
      </c>
      <c r="B128" s="5" t="str">
        <f>COUNTIFS($F$99:$F$117,8)</f>
      </c>
      <c r="C128" s="5" t="str">
        <f>(COUNT('Lineal Mixto'!$C$5:$C$24)-1)/25</f>
      </c>
      <c r="D128" s="5" t="str">
        <f>(B128-C128)^2</f>
      </c>
    </row>
    <row r="129">
      <c r="A129" s="6">
        <v>9</v>
      </c>
      <c r="B129" s="6" t="str">
        <f>COUNTIFS($F$99:$F$117,9)</f>
      </c>
      <c r="C129" s="6" t="str">
        <f>(COUNT('Lineal Mixto'!$C$5:$C$24)-1)/25</f>
      </c>
      <c r="D129" s="6" t="str">
        <f>(B129-C129)^2</f>
      </c>
    </row>
    <row r="130">
      <c r="A130" s="5">
        <v>10</v>
      </c>
      <c r="B130" s="5" t="str">
        <f>COUNTIFS($F$99:$F$117,10)</f>
      </c>
      <c r="C130" s="5" t="str">
        <f>(COUNT('Lineal Mixto'!$C$5:$C$24)-1)/25</f>
      </c>
      <c r="D130" s="5" t="str">
        <f>(B130-C130)^2</f>
      </c>
    </row>
    <row r="131">
      <c r="A131" s="6">
        <v>11</v>
      </c>
      <c r="B131" s="6" t="str">
        <f>COUNTIFS($F$99:$F$117,11)</f>
      </c>
      <c r="C131" s="6" t="str">
        <f>(COUNT('Lineal Mixto'!$C$5:$C$24)-1)/25</f>
      </c>
      <c r="D131" s="6" t="str">
        <f>(B131-C131)^2</f>
      </c>
    </row>
    <row r="132">
      <c r="A132" s="5">
        <v>12</v>
      </c>
      <c r="B132" s="5" t="str">
        <f>COUNTIFS($F$99:$F$117,12)</f>
      </c>
      <c r="C132" s="5" t="str">
        <f>(COUNT('Lineal Mixto'!$C$5:$C$24)-1)/25</f>
      </c>
      <c r="D132" s="5" t="str">
        <f>(B132-C132)^2</f>
      </c>
    </row>
    <row r="133">
      <c r="A133" s="6">
        <v>13</v>
      </c>
      <c r="B133" s="6" t="str">
        <f>COUNTIFS($F$99:$F$117,13)</f>
      </c>
      <c r="C133" s="6" t="str">
        <f>(COUNT('Lineal Mixto'!$C$5:$C$24)-1)/25</f>
      </c>
      <c r="D133" s="6" t="str">
        <f>(B133-C133)^2</f>
      </c>
    </row>
    <row r="134">
      <c r="A134" s="5">
        <v>14</v>
      </c>
      <c r="B134" s="5" t="str">
        <f>COUNTIFS($F$99:$F$117,14)</f>
      </c>
      <c r="C134" s="5" t="str">
        <f>(COUNT('Lineal Mixto'!$C$5:$C$24)-1)/25</f>
      </c>
      <c r="D134" s="5" t="str">
        <f>(B134-C134)^2</f>
      </c>
    </row>
    <row r="135">
      <c r="A135" s="6">
        <v>15</v>
      </c>
      <c r="B135" s="6" t="str">
        <f>COUNTIFS($F$99:$F$117,15)</f>
      </c>
      <c r="C135" s="6" t="str">
        <f>(COUNT('Lineal Mixto'!$C$5:$C$24)-1)/25</f>
      </c>
      <c r="D135" s="6" t="str">
        <f>(B135-C135)^2</f>
      </c>
    </row>
    <row r="136">
      <c r="A136" s="5">
        <v>16</v>
      </c>
      <c r="B136" s="5" t="str">
        <f>COUNTIFS($F$99:$F$117,16)</f>
      </c>
      <c r="C136" s="5" t="str">
        <f>(COUNT('Lineal Mixto'!$C$5:$C$24)-1)/25</f>
      </c>
      <c r="D136" s="5" t="str">
        <f>(B136-C136)^2</f>
      </c>
    </row>
    <row r="137">
      <c r="A137" s="6">
        <v>17</v>
      </c>
      <c r="B137" s="6" t="str">
        <f>COUNTIFS($F$99:$F$117,17)</f>
      </c>
      <c r="C137" s="6" t="str">
        <f>(COUNT('Lineal Mixto'!$C$5:$C$24)-1)/25</f>
      </c>
      <c r="D137" s="6" t="str">
        <f>(B137-C137)^2</f>
      </c>
    </row>
    <row r="138">
      <c r="A138" s="5">
        <v>18</v>
      </c>
      <c r="B138" s="5" t="str">
        <f>COUNTIFS($F$99:$F$117,18)</f>
      </c>
      <c r="C138" s="5" t="str">
        <f>(COUNT('Lineal Mixto'!$C$5:$C$24)-1)/25</f>
      </c>
      <c r="D138" s="5" t="str">
        <f>(B138-C138)^2</f>
      </c>
    </row>
    <row r="139">
      <c r="A139" s="6">
        <v>19</v>
      </c>
      <c r="B139" s="6" t="str">
        <f>COUNTIFS($F$99:$F$117,19)</f>
      </c>
      <c r="C139" s="6" t="str">
        <f>(COUNT('Lineal Mixto'!$C$5:$C$24)-1)/25</f>
      </c>
      <c r="D139" s="6" t="str">
        <f>(B139-C139)^2</f>
      </c>
    </row>
    <row r="140">
      <c r="A140" s="5">
        <v>20</v>
      </c>
      <c r="B140" s="5" t="str">
        <f>COUNTIFS($F$99:$F$117,20)</f>
      </c>
      <c r="C140" s="5" t="str">
        <f>(COUNT('Lineal Mixto'!$C$5:$C$24)-1)/25</f>
      </c>
      <c r="D140" s="5" t="str">
        <f>(B140-C140)^2</f>
      </c>
    </row>
    <row r="141">
      <c r="A141" s="6">
        <v>21</v>
      </c>
      <c r="B141" s="6" t="str">
        <f>COUNTIFS($F$99:$F$117,21)</f>
      </c>
      <c r="C141" s="6" t="str">
        <f>(COUNT('Lineal Mixto'!$C$5:$C$24)-1)/25</f>
      </c>
      <c r="D141" s="6" t="str">
        <f>(B141-C141)^2</f>
      </c>
    </row>
    <row r="142">
      <c r="A142" s="5">
        <v>22</v>
      </c>
      <c r="B142" s="5" t="str">
        <f>COUNTIFS($F$99:$F$117,22)</f>
      </c>
      <c r="C142" s="5" t="str">
        <f>(COUNT('Lineal Mixto'!$C$5:$C$24)-1)/25</f>
      </c>
      <c r="D142" s="5" t="str">
        <f>(B142-C142)^2</f>
      </c>
    </row>
    <row r="143">
      <c r="A143" s="6">
        <v>23</v>
      </c>
      <c r="B143" s="6" t="str">
        <f>COUNTIFS($F$99:$F$117,23)</f>
      </c>
      <c r="C143" s="6" t="str">
        <f>(COUNT('Lineal Mixto'!$C$5:$C$24)-1)/25</f>
      </c>
      <c r="D143" s="6" t="str">
        <f>(B143-C143)^2</f>
      </c>
    </row>
    <row r="144">
      <c r="A144" s="5">
        <v>24</v>
      </c>
      <c r="B144" s="5" t="str">
        <f>COUNTIFS($F$99:$F$117,24)</f>
      </c>
      <c r="C144" s="5" t="str">
        <f>(COUNT('Lineal Mixto'!$C$5:$C$24)-1)/25</f>
      </c>
      <c r="D144" s="5" t="str">
        <f>(B144-C144)^2</f>
      </c>
    </row>
    <row r="146">
      <c r="A146" t="s">
        <v>56</v>
      </c>
      <c r="B146" t="str">
        <f>(COUNT('Lineal Mixto'!$C$5:$C$24)-1)</f>
      </c>
    </row>
    <row r="147">
      <c r="A147" t="s">
        <v>57</v>
      </c>
      <c r="B147" t="str">
        <f>(25/MAX(B146,1))*SUM($D$120:$D$144)</f>
      </c>
    </row>
  </sheetData>
  <mergeCells count="8">
    <mergeCell ref="A1:H1"/>
    <mergeCell ref="A2:H2"/>
    <mergeCell ref="A4:H4"/>
    <mergeCell ref="A10:H10"/>
    <mergeCell ref="A23:H23"/>
    <mergeCell ref="A46:H46"/>
    <mergeCell ref="A63:H63"/>
    <mergeCell ref="A97:H9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