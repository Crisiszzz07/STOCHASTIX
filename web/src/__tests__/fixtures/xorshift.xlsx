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Xorshift" sheetId="1" r:id="rId1"/>
    <sheet name="Auxiliares" sheetId="2" r:id="rId4"/>
  </sheets>
  <calcPr calcId="122211"/>
</workbook>
</file>

<file path=xl/sharedStrings.xml><?xml version="1.0" encoding="utf-8"?>
<sst xmlns="http://schemas.openxmlformats.org/spreadsheetml/2006/main" count="88" uniqueCount="88">
  <si>
    <t>🧮  Auxiliares — Trazabilidad de Fórmulas</t>
  </si>
  <si>
    <t>Cada celda de esta hoja es una fórmula real. El panel de auditoría de "Xorshift" referencia estos cálculos, así que todo se recalcula si cambian los parámetros.</t>
  </si>
  <si>
    <t>🔀  Xorshift — Derivación de X_i mediante 3 desplazamientos XOR</t>
  </si>
  <si>
    <t>i</t>
  </si>
  <si>
    <t>X_(i-1) [previo]</t>
  </si>
  <si>
    <t>t1 = X ⊕ (X≪a) mod 2³²</t>
  </si>
  <si>
    <t>t2 = t1 ⊕ (t1≫b)</t>
  </si>
  <si>
    <t>t3 = t2 ⊕ (t2≪c) mod 2³² = X_i</t>
  </si>
  <si>
    <t>📐  Prueba de Promedios — Z_0</t>
  </si>
  <si>
    <t>Cantidad</t>
  </si>
  <si>
    <t>Valor</t>
  </si>
  <si>
    <t>Media (R̄) = AVERAGE(R_i)</t>
  </si>
  <si>
    <t>N = COUNT(R_i)</t>
  </si>
  <si>
    <t>Z_0 = (R̄-0.5)·√N / √(1/12)  [sin valor absoluto]</t>
  </si>
  <si>
    <t>📊  Prueba de Frecuencias / Entropía — Tabla de 10 clases</t>
  </si>
  <si>
    <t>Clase (k)</t>
  </si>
  <si>
    <t>Límite inf.</t>
  </si>
  <si>
    <t>Límite sup.</t>
  </si>
  <si>
    <t>Oi (observado)</t>
  </si>
  <si>
    <t>Ei (esperado)</t>
  </si>
  <si>
    <t>(Oi-Ei)²/Ei</t>
  </si>
  <si>
    <t>pi = Oi/N</t>
  </si>
  <si>
    <t>Aporte entropía -piㆍlog2(pi)</t>
  </si>
  <si>
    <t>📈  Kolmogorov-Smirnov — R_i ordenados ascendentemente</t>
  </si>
  <si>
    <t>k</t>
  </si>
  <si>
    <t>R(k) [k-ésimo menor]</t>
  </si>
  <si>
    <t>k/N</t>
  </si>
  <si>
    <t>|k/N - R(k)|</t>
  </si>
  <si>
    <t>🎯  Monte Carlo para Pi — Pares (R_2j-1, R_2j)</t>
  </si>
  <si>
    <t>Par (j)</t>
  </si>
  <si>
    <t>X = R(2j-1)</t>
  </si>
  <si>
    <t>Y = R(2j)</t>
  </si>
  <si>
    <t>X²+Y²</t>
  </si>
  <si>
    <t>¿Dentro del círculo? (1/0)</t>
  </si>
  <si>
    <t>Pares totales</t>
  </si>
  <si>
    <t>Aciertos (dentro del círculo)</t>
  </si>
  <si>
    <t>π estimado = 4 × Aciertos / Pares</t>
  </si>
  <si>
    <t>Error = |π estimado - π|  (0 si no hay pares)</t>
  </si>
  <si>
    <t>📏  Distancia (Coss Bu) — Longitud de racha entre aciertos en [α, β]</t>
  </si>
  <si>
    <t>α (constante del método)</t>
  </si>
  <si>
    <t>β (constante del método)</t>
  </si>
  <si>
    <t>θ = β - α</t>
  </si>
  <si>
    <t>r_i</t>
  </si>
  <si>
    <t>¿En [α, β]? (1/0)</t>
  </si>
  <si>
    <t>Racha activa (acumulado)</t>
  </si>
  <si>
    <t>Contador de racha</t>
  </si>
  <si>
    <t>Racha registrada (bucket)</t>
  </si>
  <si>
    <t/>
  </si>
  <si>
    <t>Bucket (long. de racha)</t>
  </si>
  <si>
    <t>Probabilidad teórica</t>
  </si>
  <si>
    <t>Ei = ΣOi × p</t>
  </si>
  <si>
    <t>≥3</t>
  </si>
  <si>
    <t>🔳  Series (Coss Bu) — Pares consecutivos solapados en cuadrícula 5×5</t>
  </si>
  <si>
    <t>X = r_i</t>
  </si>
  <si>
    <t>Y = r_(i+1)</t>
  </si>
  <si>
    <t>BinX (0-4)</t>
  </si>
  <si>
    <t>BinY (0-4)</t>
  </si>
  <si>
    <t>Bin combinado (0-24)</t>
  </si>
  <si>
    <t>Bin (0-24)</t>
  </si>
  <si>
    <t>Ei = (N-1)/25</t>
  </si>
  <si>
    <t>(Oi-Ei)²</t>
  </si>
  <si>
    <t>Pares de la serie = N - 1</t>
  </si>
  <si>
    <t>Chi-cuadrada Series = (25/Pares) × Σ(Oi-Ei)²  (Pares se protege con MAX(·,1); Σ ya es 0 sin pares)</t>
  </si>
  <si>
    <t>📊  SIMULACIÓN — Xorshift</t>
  </si>
  <si>
    <t>Motor de Validación Multiteoría  •  Exportado automáticamente</t>
  </si>
  <si>
    <t>X_i</t>
  </si>
  <si>
    <t>R_i</t>
  </si>
  <si>
    <t>Estado</t>
  </si>
  <si>
    <t>⚙️  Parámetros</t>
  </si>
  <si>
    <t>🛡️ AUDITORÍA ESTADÍSTICA</t>
  </si>
  <si>
    <t>Prueba</t>
  </si>
  <si>
    <t>Estadístico</t>
  </si>
  <si>
    <t>Valor Crítico</t>
  </si>
  <si>
    <t>Semilla (X0)</t>
  </si>
  <si>
    <t>a (Shift Izq)</t>
  </si>
  <si>
    <t>b (Shift Der)</t>
  </si>
  <si>
    <t>c (Shift Izq)</t>
  </si>
  <si>
    <t>N</t>
  </si>
  <si>
    <t>Promedios (Z_0)</t>
  </si>
  <si>
    <t>Frecuencias (Chi-cuadrada)</t>
  </si>
  <si>
    <t>Kolmogorov-Smirnov (D_n)</t>
  </si>
  <si>
    <t>Entropía de Shannon (Bits)</t>
  </si>
  <si>
    <t>Monte Carlo para Pi (Error Absoluto)</t>
  </si>
  <si>
    <t>Distancia (Coss Bu)</t>
  </si>
  <si>
    <t>Series (Coss Bu)</t>
  </si>
  <si>
    <t>✓</t>
  </si>
  <si>
    <t>Total generados:</t>
  </si>
  <si>
    <t>Ciclos detectados: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</si>
</sst>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1"/>
      <color theme="1"/>
      <name val="Calibri"/>
      <family val="2"/>
    </font>
    <font>
      <b val="1"/>
      <sz val="14"/>
      <color rgb="FFFFFFFF"/>
      <name val="Calibri"/>
      <family val="2"/>
    </font>
    <font>
      <i val="1"/>
      <sz val="10"/>
      <color rgb="FF5B21B6"/>
      <name val="Calibri"/>
      <family val="2"/>
    </font>
    <font>
      <b val="1"/>
      <sz val="11"/>
      <color rgb="FFFFFFFF"/>
      <name val="Calibri"/>
      <family val="2"/>
    </font>
    <font>
      <b val="1"/>
      <sz val="9"/>
      <color rgb="FFFFFFFF"/>
      <name val="Calibri"/>
      <family val="2"/>
    </font>
    <font>
      <sz val="9"/>
      <color/>
      <name val="Calibri"/>
      <family val="2"/>
    </font>
    <font>
      <b val="1"/>
      <sz val="9"/>
      <color rgb="FF3B0764"/>
      <name val="Calibri"/>
      <family val="2"/>
    </font>
    <font>
      <i val="1"/>
      <sz val="10"/>
      <color rgb="FFA78BFA"/>
      <name val="Calibri"/>
      <family val="2"/>
    </font>
    <font>
      <sz val="10"/>
      <color/>
      <name val="Calibri"/>
      <family val="2"/>
    </font>
    <font>
      <b val="1"/>
      <sz val="10"/>
      <color rgb="FF92400E"/>
      <name val="Calibri"/>
      <family val="2"/>
    </font>
    <font>
      <b val="1"/>
      <sz val="11"/>
      <color rgb="FF5B21B6"/>
      <name val="Calibri"/>
      <family val="2"/>
    </font>
    <font>
      <b val="1"/>
      <sz val="10"/>
      <color rgb="FF3B0764"/>
      <name val="Calibri"/>
      <family val="2"/>
    </font>
    <font>
      <b val="1"/>
      <sz val="10"/>
      <color rgb="FF111827"/>
      <name val="Calibri"/>
      <family val="2"/>
    </font>
  </fonts>
  <fills count="9">
    <fill>
      <patternFill patternType="none"/>
    </fill>
    <fill>
      <patternFill patternType="gray125"/>
    </fill>
    <fill>
      <patternFill patternType="solid">
        <fgColor rgb="FF2E1065"/>
      </patternFill>
    </fill>
    <fill>
      <patternFill patternType="solid">
        <fgColor rgb="FF7C3AED"/>
      </patternFill>
    </fill>
    <fill>
      <patternFill patternType="solid">
        <fgColor rgb="FF0F172A"/>
      </patternFill>
    </fill>
    <fill>
      <patternFill patternType="solid">
        <fgColor rgb="FFFAF5FF"/>
      </patternFill>
    </fill>
    <fill>
      <patternFill patternType="solid">
        <fgColor rgb="FFF3F4F6"/>
      </patternFill>
    </fill>
    <fill>
      <patternFill patternType="solid">
        <fgColor rgb="FFFEF9C3"/>
      </patternFill>
    </fill>
    <fill>
      <patternFill patternType="solid">
        <fgColor rgb="FFEDE9FE"/>
      </patternFill>
    </fill>
  </fills>
  <borders count="2">
    <border>
      <left/>
      <right/>
      <top/>
      <bottom/>
      <diagonal/>
    </border>
    <border>
      <left style="thin">
        <color rgb="FFC4B5FD"/>
      </left>
      <right style="thin">
        <color rgb="FFC4B5FD"/>
      </right>
      <top style="thin">
        <color rgb="FFC4B5FD"/>
      </top>
      <bottom style="thin">
        <color rgb="FFC4B5FD"/>
      </bottom>
      <diagonal/>
    </border>
  </borders>
  <cellStyleXfs count="1">
    <xf numFmtId="0" fontId="0" fillId="0" borderId="0"/>
  </cellStyleXfs>
  <cellXfs count="18">
    <xf numFmtId="0" fontId="0" fillId="0" borderId="0" xfId="0"/>
    <xf numFmtId="0" fontId="1" fillId="2" borderId="0" xfId="0" applyFont="true" applyFill="true" applyAlignment="true">
      <alignment horizontal="left" indent="1" vertical="center"/>
    </xf>
    <xf numFmtId="0" fontId="2" fillId="0" borderId="0" xfId="0" applyFont="true" applyAlignment="true">
      <alignment horizontal="left" indent="1" vertical="center" wrapText="true"/>
    </xf>
    <xf numFmtId="0" fontId="3" fillId="3" borderId="0" xfId="0" applyFont="true" applyFill="true" applyAlignment="true">
      <alignment horizontal="left" indent="1" vertical="center"/>
    </xf>
    <xf numFmtId="0" fontId="4" fillId="4" borderId="1" xfId="0" applyFont="true" applyFill="true" applyBorder="true" applyAlignment="true">
      <alignment horizontal="center" vertical="center" wrapText="true"/>
    </xf>
    <xf numFmtId="0" fontId="5" fillId="0" borderId="1" xfId="0" applyFont="true" applyBorder="true" applyAlignment="true">
      <alignment horizontal="center" vertical="center"/>
    </xf>
    <xf numFmtId="0" fontId="5" fillId="5" borderId="1" xfId="0" applyFont="true" applyFill="true" applyBorder="true" applyAlignment="true">
      <alignment horizontal="center" vertical="center"/>
    </xf>
    <xf numFmtId="0" fontId="6" fillId="6" borderId="1" xfId="0" applyFont="true" applyFill="true" applyBorder="true" applyAlignment="true">
      <alignment horizontal="center" vertical="center"/>
    </xf>
    <xf numFmtId="0" fontId="1" fillId="2" borderId="0" xfId="0" applyFont="true" applyFill="true" applyAlignment="true">
      <alignment horizontal="center" vertical="center"/>
    </xf>
    <xf numFmtId="0" fontId="7" fillId="2" borderId="0" xfId="0" applyFont="true" applyFill="true" applyAlignment="true">
      <alignment horizontal="center" vertical="center"/>
    </xf>
    <xf numFmtId="0" fontId="3" fillId="3" borderId="1" xfId="0" applyFont="true" applyFill="true" applyBorder="true" applyAlignment="true">
      <alignment horizontal="center" vertical="center"/>
    </xf>
    <xf numFmtId="0" fontId="8" fillId="0" borderId="1" xfId="0" applyFont="true" applyBorder="true" applyAlignment="true">
      <alignment horizontal="center" vertical="center"/>
    </xf>
    <xf numFmtId="0" fontId="8" fillId="5" borderId="1" xfId="0" applyFont="true" applyFill="true" applyBorder="true" applyAlignment="true">
      <alignment horizontal="center" vertical="center"/>
    </xf>
    <xf numFmtId="0" fontId="9" fillId="7" borderId="1" xfId="0" applyFont="true" applyFill="true" applyBorder="true" applyAlignment="true">
      <alignment horizontal="center" vertical="center"/>
    </xf>
    <xf numFmtId="0" fontId="10" fillId="8" borderId="1" xfId="0" applyFont="true" applyFill="true" applyBorder="true" applyAlignment="true">
      <alignment horizontal="center" vertical="center"/>
    </xf>
    <xf numFmtId="0" fontId="11" fillId="0" borderId="1" xfId="0" applyFont="true" applyBorder="true" applyAlignment="true">
      <alignment horizontal="left" vertical="center"/>
    </xf>
    <xf numFmtId="0" fontId="12" fillId="6" borderId="1" xfId="0" applyFont="true" applyFill="true" applyBorder="true" applyAlignment="true">
      <alignment horizontal="center" vertical="center"/>
    </xf>
    <xf numFmtId="0" fontId="3" fillId="4" borderId="1" xfId="0" applyFont="true" applyFill="true" applyBorder="true" applyAlignment="true">
      <alignment horizontal="center" vertical="center"/>
    </xf>
  </cellXfs>
  <cellStyles count="1">
    <cellStyle name="Normal" xfId="0" builtinId="0"/>
  </cellStyles>
  <dxfs count="2">
    <dxf>
      <font>
        <b val="1"/>
        <sz val="11"/>
        <color rgb="FF15803D"/>
        <name val="Calibri"/>
        <family val="2"/>
      </font>
      <fill>
        <patternFill patternType="solid">
          <bgColor rgb="FFDCFCE7"/>
        </patternFill>
      </fill>
    </dxf>
    <dxf>
      <font>
        <b val="1"/>
        <sz val="11"/>
        <color rgb="FFB91C1C"/>
        <name val="Calibri"/>
        <family val="2"/>
      </font>
      <fill>
        <patternFill patternType="solid">
          <bgColor rgb="FFFEE2E2"/>
        </patternFill>
      </fill>
    </dxf>
  </dxfs>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5" ySplit="4"/>
    </sheetView>
  </sheetViews>
  <sheetFormatPr defaultRowHeight="15"/>
  <cols>
    <col customWidth="true" max="1" min="1" width="10"/>
    <col customWidth="true" max="2" min="2" width="18"/>
    <col customWidth="true" max="3" min="3" width="22"/>
    <col customWidth="true" max="4" min="4" width="18"/>
    <col customWidth="true" max="5" min="5" width="3"/>
    <col customWidth="true" max="6" min="6" width="22"/>
    <col customWidth="true" max="7" min="7" width="18"/>
    <col customWidth="true" max="8" min="8" width="30"/>
    <col customWidth="true" max="10" min="9" width="15"/>
    <col customWidth="true" max="11" min="11" width="20"/>
  </cols>
  <sheetData>
    <row r="1" ht="36" customHeight="true">
      <c r="A1" s="8" t="s">
        <v>63</v>
      </c>
      <c r="B1" s="8"/>
      <c r="C1" s="8"/>
      <c r="D1" s="8"/>
      <c r="E1" s="8"/>
      <c r="F1" s="8"/>
      <c r="G1" s="8"/>
      <c r="H1" s="8"/>
      <c r="I1" s="8"/>
      <c r="J1" s="8"/>
      <c r="K1" s="8"/>
    </row>
    <row r="2" ht="22" customHeight="true">
      <c r="A2" s="9" t="s">
        <v>64</v>
      </c>
      <c r="B2" s="9"/>
      <c r="C2" s="9"/>
      <c r="D2" s="9"/>
      <c r="E2" s="9"/>
      <c r="F2" s="9"/>
      <c r="G2" s="9"/>
      <c r="H2" s="9"/>
      <c r="I2" s="9"/>
      <c r="J2" s="9"/>
      <c r="K2" s="9"/>
    </row>
    <row r="3" ht="8" customHeight="true"/>
    <row r="4">
      <c r="A4" s="10" t="s">
        <v>3</v>
      </c>
      <c r="B4" s="10" t="s">
        <v>65</v>
      </c>
      <c r="C4" s="10" t="s">
        <v>66</v>
      </c>
      <c r="D4" s="10" t="s">
        <v>67</v>
      </c>
      <c r="F4" s="14" t="s">
        <v>68</v>
      </c>
      <c r="G4" s="14"/>
      <c r="H4" s="14" t="s">
        <v>69</v>
      </c>
      <c r="I4" s="14"/>
      <c r="J4" s="14"/>
      <c r="K4" s="14"/>
    </row>
    <row r="5">
      <c r="A5" s="11">
        <v>1</v>
      </c>
      <c r="B5" s="11" t="str">
        <f>'Auxiliares'!$E$6</f>
      </c>
      <c r="C5" s="11" t="str">
        <f>B5/4294967295</f>
      </c>
      <c r="D5" s="11" t="s">
        <v>85</v>
      </c>
      <c r="F5" s="15" t="s">
        <v>73</v>
      </c>
      <c r="G5" s="16">
        <v>123456789</v>
      </c>
      <c r="H5" s="17" t="s">
        <v>70</v>
      </c>
      <c r="I5" s="17" t="s">
        <v>71</v>
      </c>
      <c r="J5" s="17" t="s">
        <v>72</v>
      </c>
      <c r="K5" s="17" t="s">
        <v>67</v>
      </c>
    </row>
    <row r="6">
      <c r="A6" s="12">
        <v>2</v>
      </c>
      <c r="B6" s="12" t="str">
        <f>'Auxiliares'!$E$7</f>
      </c>
      <c r="C6" s="12" t="str">
        <f>B6/4294967295</f>
      </c>
      <c r="D6" s="12" t="s">
        <v>85</v>
      </c>
      <c r="F6" s="15" t="s">
        <v>74</v>
      </c>
      <c r="G6" s="16">
        <v>13</v>
      </c>
      <c r="H6" s="11" t="s">
        <v>78</v>
      </c>
      <c r="I6" s="11" t="str">
        <f>ABS('Auxiliares'!$B$32)</f>
      </c>
      <c r="J6" s="11">
        <v>1.96</v>
      </c>
      <c r="K6" s="11" t="str">
        <f>IF(I6&lt;J6,"✅ APROBADO","❌ RECHAZADO")</f>
      </c>
    </row>
    <row r="7">
      <c r="A7" s="11">
        <v>3</v>
      </c>
      <c r="B7" s="11" t="str">
        <f>'Auxiliares'!$E$8</f>
      </c>
      <c r="C7" s="11" t="str">
        <f>B7/4294967295</f>
      </c>
      <c r="D7" s="11" t="s">
        <v>85</v>
      </c>
      <c r="F7" s="15" t="s">
        <v>75</v>
      </c>
      <c r="G7" s="16">
        <v>17</v>
      </c>
      <c r="H7" s="11" t="s">
        <v>79</v>
      </c>
      <c r="I7" s="11" t="str">
        <f>SUM('Auxiliares'!$F$36:$F$45)</f>
      </c>
      <c r="J7" s="11">
        <v>16.919</v>
      </c>
      <c r="K7" s="11" t="str">
        <f>IF(I7&lt;J7,"✅ APROBADO","❌ RECHAZADO")</f>
      </c>
    </row>
    <row r="8">
      <c r="A8" s="12">
        <v>4</v>
      </c>
      <c r="B8" s="12" t="str">
        <f>'Auxiliares'!$E$9</f>
      </c>
      <c r="C8" s="12" t="str">
        <f>B8/4294967295</f>
      </c>
      <c r="D8" s="12" t="s">
        <v>85</v>
      </c>
      <c r="F8" s="15" t="s">
        <v>76</v>
      </c>
      <c r="G8" s="16">
        <v>5</v>
      </c>
      <c r="H8" s="11" t="s">
        <v>80</v>
      </c>
      <c r="I8" s="11" t="str">
        <f>MAX('Auxiliares'!$D$49:$D$68)</f>
      </c>
      <c r="J8" s="11" t="str">
        <f>1.36/SQRT(COUNT($C$5:$C$24))</f>
      </c>
      <c r="K8" s="11" t="str">
        <f>IF(I8&lt;J8,"✅ APROBADO","❌ RECHAZADO")</f>
      </c>
    </row>
    <row r="9">
      <c r="A9" s="11">
        <v>5</v>
      </c>
      <c r="B9" s="11" t="str">
        <f>'Auxiliares'!$E$10</f>
      </c>
      <c r="C9" s="11" t="str">
        <f>B9/4294967295</f>
      </c>
      <c r="D9" s="11" t="s">
        <v>85</v>
      </c>
      <c r="F9" s="15" t="s">
        <v>77</v>
      </c>
      <c r="G9" s="16">
        <v>20</v>
      </c>
      <c r="H9" s="11" t="s">
        <v>81</v>
      </c>
      <c r="I9" s="11" t="str">
        <f>SUM('Auxiliares'!$H$36:$H$45)</f>
      </c>
      <c r="J9" s="11">
        <v>3.2</v>
      </c>
      <c r="K9" s="11" t="str">
        <f>IF(I9&gt;J9,"✅ APROBADO","❌ RECHAZADO")</f>
      </c>
    </row>
    <row r="10">
      <c r="A10" s="12">
        <v>6</v>
      </c>
      <c r="B10" s="12" t="str">
        <f>'Auxiliares'!$E$11</f>
      </c>
      <c r="C10" s="12" t="str">
        <f>B10/4294967295</f>
      </c>
      <c r="D10" s="12" t="s">
        <v>85</v>
      </c>
      <c r="H10" s="11" t="s">
        <v>82</v>
      </c>
      <c r="I10" s="11" t="str">
        <f>'Auxiliares'!$B$85</f>
      </c>
      <c r="J10" s="11">
        <v>0.15</v>
      </c>
      <c r="K10" s="11" t="str">
        <f>IF(I10&lt;J10,"✅ APROBADO","❌ RECHAZADO")</f>
      </c>
    </row>
    <row r="11">
      <c r="A11" s="11">
        <v>7</v>
      </c>
      <c r="B11" s="11" t="str">
        <f>'Auxiliares'!$E$12</f>
      </c>
      <c r="C11" s="11" t="str">
        <f>B11/4294967295</f>
      </c>
      <c r="D11" s="11" t="s">
        <v>85</v>
      </c>
      <c r="H11" s="11" t="s">
        <v>83</v>
      </c>
      <c r="I11" s="11" t="str">
        <f>SUM('Auxiliares'!$E$115:$E$118)</f>
      </c>
      <c r="J11" s="11">
        <v>7.81</v>
      </c>
      <c r="K11" s="11" t="str">
        <f>IF(I11&lt;J11,"✅ APROBADO","❌ RECHAZADO")</f>
      </c>
    </row>
    <row r="12">
      <c r="A12" s="12">
        <v>8</v>
      </c>
      <c r="B12" s="12" t="str">
        <f>'Auxiliares'!$E$13</f>
      </c>
      <c r="C12" s="12" t="str">
        <f>B12/4294967295</f>
      </c>
      <c r="D12" s="12" t="s">
        <v>85</v>
      </c>
      <c r="H12" s="11" t="s">
        <v>84</v>
      </c>
      <c r="I12" s="11" t="str">
        <f>'Auxiliares'!$B$171</f>
      </c>
      <c r="J12" s="11">
        <v>36.41</v>
      </c>
      <c r="K12" s="11" t="str">
        <f>IF(I12&lt;J12,"✅ APROBADO","❌ RECHAZADO")</f>
      </c>
    </row>
    <row r="13">
      <c r="A13" s="11">
        <v>9</v>
      </c>
      <c r="B13" s="11" t="str">
        <f>'Auxiliares'!$E$14</f>
      </c>
      <c r="C13" s="11" t="str">
        <f>B13/4294967295</f>
      </c>
      <c r="D13" s="11" t="s">
        <v>85</v>
      </c>
    </row>
    <row r="14">
      <c r="A14" s="12">
        <v>10</v>
      </c>
      <c r="B14" s="12" t="str">
        <f>'Auxiliares'!$E$15</f>
      </c>
      <c r="C14" s="12" t="str">
        <f>B14/4294967295</f>
      </c>
      <c r="D14" s="12" t="s">
        <v>85</v>
      </c>
    </row>
    <row r="15">
      <c r="A15" s="11">
        <v>11</v>
      </c>
      <c r="B15" s="11" t="str">
        <f>'Auxiliares'!$E$16</f>
      </c>
      <c r="C15" s="11" t="str">
        <f>B15/4294967295</f>
      </c>
      <c r="D15" s="11" t="s">
        <v>85</v>
      </c>
    </row>
    <row r="16">
      <c r="A16" s="12">
        <v>12</v>
      </c>
      <c r="B16" s="12" t="str">
        <f>'Auxiliares'!$E$17</f>
      </c>
      <c r="C16" s="12" t="str">
        <f>B16/4294967295</f>
      </c>
      <c r="D16" s="12" t="s">
        <v>85</v>
      </c>
    </row>
    <row r="17">
      <c r="A17" s="11">
        <v>13</v>
      </c>
      <c r="B17" s="11" t="str">
        <f>'Auxiliares'!$E$18</f>
      </c>
      <c r="C17" s="11" t="str">
        <f>B17/4294967295</f>
      </c>
      <c r="D17" s="11" t="s">
        <v>85</v>
      </c>
    </row>
    <row r="18">
      <c r="A18" s="12">
        <v>14</v>
      </c>
      <c r="B18" s="12" t="str">
        <f>'Auxiliares'!$E$19</f>
      </c>
      <c r="C18" s="12" t="str">
        <f>B18/4294967295</f>
      </c>
      <c r="D18" s="12" t="s">
        <v>85</v>
      </c>
    </row>
    <row r="19">
      <c r="A19" s="11">
        <v>15</v>
      </c>
      <c r="B19" s="11" t="str">
        <f>'Auxiliares'!$E$20</f>
      </c>
      <c r="C19" s="11" t="str">
        <f>B19/4294967295</f>
      </c>
      <c r="D19" s="11" t="s">
        <v>85</v>
      </c>
    </row>
    <row r="20">
      <c r="A20" s="12">
        <v>16</v>
      </c>
      <c r="B20" s="12" t="str">
        <f>'Auxiliares'!$E$21</f>
      </c>
      <c r="C20" s="12" t="str">
        <f>B20/4294967295</f>
      </c>
      <c r="D20" s="12" t="s">
        <v>85</v>
      </c>
    </row>
    <row r="21">
      <c r="A21" s="11">
        <v>17</v>
      </c>
      <c r="B21" s="11" t="str">
        <f>'Auxiliares'!$E$22</f>
      </c>
      <c r="C21" s="11" t="str">
        <f>B21/4294967295</f>
      </c>
      <c r="D21" s="11" t="s">
        <v>85</v>
      </c>
    </row>
    <row r="22">
      <c r="A22" s="12">
        <v>18</v>
      </c>
      <c r="B22" s="12" t="str">
        <f>'Auxiliares'!$E$23</f>
      </c>
      <c r="C22" s="12" t="str">
        <f>B22/4294967295</f>
      </c>
      <c r="D22" s="12" t="s">
        <v>85</v>
      </c>
    </row>
    <row r="23">
      <c r="A23" s="11">
        <v>19</v>
      </c>
      <c r="B23" s="11" t="str">
        <f>'Auxiliares'!$E$24</f>
      </c>
      <c r="C23" s="11" t="str">
        <f>B23/4294967295</f>
      </c>
      <c r="D23" s="11" t="s">
        <v>85</v>
      </c>
    </row>
    <row r="24">
      <c r="A24" s="12">
        <v>20</v>
      </c>
      <c r="B24" s="12" t="str">
        <f>'Auxiliares'!$E$25</f>
      </c>
      <c r="C24" s="12" t="str">
        <f>B24/4294967295</f>
      </c>
      <c r="D24" s="12" t="s">
        <v>85</v>
      </c>
    </row>
    <row r="26" ht="6" customHeight="true"/>
    <row r="27">
      <c r="A27" s="15" t="s">
        <v>86</v>
      </c>
      <c r="B27" s="15"/>
      <c r="C27" s="16">
        <v>20</v>
      </c>
    </row>
    <row r="28">
      <c r="A28" s="15" t="s">
        <v>87</v>
      </c>
      <c r="B28" s="15"/>
      <c r="C28" s="16">
        <v>0</v>
      </c>
    </row>
  </sheetData>
  <mergeCells count="6">
    <mergeCell ref="A1:K1"/>
    <mergeCell ref="A2:K2"/>
    <mergeCell ref="F4:G4"/>
    <mergeCell ref="H4:K4"/>
    <mergeCell ref="A27:B27"/>
    <mergeCell ref="A28:B28"/>
  </mergeCells>
  <conditionalFormatting sqref="K6:K12">
    <cfRule type="cellIs" dxfId="0" priority="1" operator="equal">
      <formula>"✅ APROBADO"</formula>
    </cfRule>
    <cfRule type="cellIs" dxfId="1" priority="2" operator="equal">
      <formula>"❌ RECHAZADO"</formula>
    </cfRule>
  </conditionalFormatting>
</worksheet>
</file>

<file path=xl/worksheets/sheet2.xml><?xml version="1.0" encoding="utf-8"?>
<worksheet xmlns="http://schemas.openxmlformats.org/spreadsheetml/2006/main">
  <dimension ref="A1"/>
  <sheetViews>
    <sheetView workbookViewId="0">
      <pane activePane="bottomLeft" state="frozen" topLeftCell="A4" ySplit="3"/>
    </sheetView>
  </sheetViews>
  <cols>
    <col customWidth="true" max="7" min="1" width="20"/>
    <col customWidth="true" max="8" min="8" width="30"/>
  </cols>
  <sheetData>
    <row r="1" ht="32" customHeight="true">
      <c r="A1" s="1" t="s">
        <v>0</v>
      </c>
      <c r="B1" s="1"/>
      <c r="C1" s="1"/>
      <c r="D1" s="1"/>
      <c r="E1" s="1"/>
      <c r="F1" s="1"/>
      <c r="G1" s="1"/>
      <c r="H1" s="1"/>
    </row>
    <row r="2" ht="30" customHeight="true">
      <c r="A2" s="2" t="s">
        <v>1</v>
      </c>
      <c r="B2" s="2"/>
      <c r="C2" s="2"/>
      <c r="D2" s="2"/>
      <c r="E2" s="2"/>
      <c r="F2" s="2"/>
      <c r="G2" s="2"/>
      <c r="H2" s="2"/>
    </row>
    <row r="4" ht="22" customHeight="true">
      <c r="A4" s="3" t="s">
        <v>2</v>
      </c>
      <c r="B4" s="3"/>
      <c r="C4" s="3"/>
      <c r="D4" s="3"/>
      <c r="E4" s="3"/>
      <c r="F4" s="3"/>
      <c r="G4" s="3"/>
      <c r="H4" s="3"/>
    </row>
    <row r="5">
      <c r="A5" s="4" t="s">
        <v>3</v>
      </c>
      <c r="B5" s="4" t="s">
        <v>4</v>
      </c>
      <c r="C5" s="4" t="s">
        <v>5</v>
      </c>
      <c r="D5" s="4" t="s">
        <v>6</v>
      </c>
      <c r="E5" s="4" t="s">
        <v>7</v>
      </c>
    </row>
    <row r="6">
      <c r="A6" s="5">
        <v>1</v>
      </c>
      <c r="B6" s="5" t="str">
        <f>'Xorshift'!$G$5</f>
      </c>
      <c r="C6" s="5" t="str">
        <f>BITXOR(B6,MOD(B6,POWER(2,32-'Xorshift'!$G$6))*POWER(2,'Xorshift'!$G$6))</f>
      </c>
      <c r="D6" s="5" t="str">
        <f>BITXOR(C6,INT(C6/POWER(2,'Xorshift'!$G$7)))</f>
      </c>
      <c r="E6" s="5" t="str">
        <f>BITXOR(D6,MOD(D6,POWER(2,32-'Xorshift'!$G$8))*POWER(2,'Xorshift'!$G$8))</f>
      </c>
    </row>
    <row r="7">
      <c r="A7" s="6">
        <v>2</v>
      </c>
      <c r="B7" s="6" t="str">
        <f>E6</f>
      </c>
      <c r="C7" s="6" t="str">
        <f>BITXOR(B7,MOD(B7,POWER(2,32-'Xorshift'!$G$6))*POWER(2,'Xorshift'!$G$6))</f>
      </c>
      <c r="D7" s="6" t="str">
        <f>BITXOR(C7,INT(C7/POWER(2,'Xorshift'!$G$7)))</f>
      </c>
      <c r="E7" s="6" t="str">
        <f>BITXOR(D7,MOD(D7,POWER(2,32-'Xorshift'!$G$8))*POWER(2,'Xorshift'!$G$8))</f>
      </c>
    </row>
    <row r="8">
      <c r="A8" s="5">
        <v>3</v>
      </c>
      <c r="B8" s="5" t="str">
        <f>E7</f>
      </c>
      <c r="C8" s="5" t="str">
        <f>BITXOR(B8,MOD(B8,POWER(2,32-'Xorshift'!$G$6))*POWER(2,'Xorshift'!$G$6))</f>
      </c>
      <c r="D8" s="5" t="str">
        <f>BITXOR(C8,INT(C8/POWER(2,'Xorshift'!$G$7)))</f>
      </c>
      <c r="E8" s="5" t="str">
        <f>BITXOR(D8,MOD(D8,POWER(2,32-'Xorshift'!$G$8))*POWER(2,'Xorshift'!$G$8))</f>
      </c>
    </row>
    <row r="9">
      <c r="A9" s="6">
        <v>4</v>
      </c>
      <c r="B9" s="6" t="str">
        <f>E8</f>
      </c>
      <c r="C9" s="6" t="str">
        <f>BITXOR(B9,MOD(B9,POWER(2,32-'Xorshift'!$G$6))*POWER(2,'Xorshift'!$G$6))</f>
      </c>
      <c r="D9" s="6" t="str">
        <f>BITXOR(C9,INT(C9/POWER(2,'Xorshift'!$G$7)))</f>
      </c>
      <c r="E9" s="6" t="str">
        <f>BITXOR(D9,MOD(D9,POWER(2,32-'Xorshift'!$G$8))*POWER(2,'Xorshift'!$G$8))</f>
      </c>
    </row>
    <row r="10">
      <c r="A10" s="5">
        <v>5</v>
      </c>
      <c r="B10" s="5" t="str">
        <f>E9</f>
      </c>
      <c r="C10" s="5" t="str">
        <f>BITXOR(B10,MOD(B10,POWER(2,32-'Xorshift'!$G$6))*POWER(2,'Xorshift'!$G$6))</f>
      </c>
      <c r="D10" s="5" t="str">
        <f>BITXOR(C10,INT(C10/POWER(2,'Xorshift'!$G$7)))</f>
      </c>
      <c r="E10" s="5" t="str">
        <f>BITXOR(D10,MOD(D10,POWER(2,32-'Xorshift'!$G$8))*POWER(2,'Xorshift'!$G$8))</f>
      </c>
    </row>
    <row r="11">
      <c r="A11" s="6">
        <v>6</v>
      </c>
      <c r="B11" s="6" t="str">
        <f>E10</f>
      </c>
      <c r="C11" s="6" t="str">
        <f>BITXOR(B11,MOD(B11,POWER(2,32-'Xorshift'!$G$6))*POWER(2,'Xorshift'!$G$6))</f>
      </c>
      <c r="D11" s="6" t="str">
        <f>BITXOR(C11,INT(C11/POWER(2,'Xorshift'!$G$7)))</f>
      </c>
      <c r="E11" s="6" t="str">
        <f>BITXOR(D11,MOD(D11,POWER(2,32-'Xorshift'!$G$8))*POWER(2,'Xorshift'!$G$8))</f>
      </c>
    </row>
    <row r="12">
      <c r="A12" s="5">
        <v>7</v>
      </c>
      <c r="B12" s="5" t="str">
        <f>E11</f>
      </c>
      <c r="C12" s="5" t="str">
        <f>BITXOR(B12,MOD(B12,POWER(2,32-'Xorshift'!$G$6))*POWER(2,'Xorshift'!$G$6))</f>
      </c>
      <c r="D12" s="5" t="str">
        <f>BITXOR(C12,INT(C12/POWER(2,'Xorshift'!$G$7)))</f>
      </c>
      <c r="E12" s="5" t="str">
        <f>BITXOR(D12,MOD(D12,POWER(2,32-'Xorshift'!$G$8))*POWER(2,'Xorshift'!$G$8))</f>
      </c>
    </row>
    <row r="13">
      <c r="A13" s="6">
        <v>8</v>
      </c>
      <c r="B13" s="6" t="str">
        <f>E12</f>
      </c>
      <c r="C13" s="6" t="str">
        <f>BITXOR(B13,MOD(B13,POWER(2,32-'Xorshift'!$G$6))*POWER(2,'Xorshift'!$G$6))</f>
      </c>
      <c r="D13" s="6" t="str">
        <f>BITXOR(C13,INT(C13/POWER(2,'Xorshift'!$G$7)))</f>
      </c>
      <c r="E13" s="6" t="str">
        <f>BITXOR(D13,MOD(D13,POWER(2,32-'Xorshift'!$G$8))*POWER(2,'Xorshift'!$G$8))</f>
      </c>
    </row>
    <row r="14">
      <c r="A14" s="5">
        <v>9</v>
      </c>
      <c r="B14" s="5" t="str">
        <f>E13</f>
      </c>
      <c r="C14" s="5" t="str">
        <f>BITXOR(B14,MOD(B14,POWER(2,32-'Xorshift'!$G$6))*POWER(2,'Xorshift'!$G$6))</f>
      </c>
      <c r="D14" s="5" t="str">
        <f>BITXOR(C14,INT(C14/POWER(2,'Xorshift'!$G$7)))</f>
      </c>
      <c r="E14" s="5" t="str">
        <f>BITXOR(D14,MOD(D14,POWER(2,32-'Xorshift'!$G$8))*POWER(2,'Xorshift'!$G$8))</f>
      </c>
    </row>
    <row r="15">
      <c r="A15" s="6">
        <v>10</v>
      </c>
      <c r="B15" s="6" t="str">
        <f>E14</f>
      </c>
      <c r="C15" s="6" t="str">
        <f>BITXOR(B15,MOD(B15,POWER(2,32-'Xorshift'!$G$6))*POWER(2,'Xorshift'!$G$6))</f>
      </c>
      <c r="D15" s="6" t="str">
        <f>BITXOR(C15,INT(C15/POWER(2,'Xorshift'!$G$7)))</f>
      </c>
      <c r="E15" s="6" t="str">
        <f>BITXOR(D15,MOD(D15,POWER(2,32-'Xorshift'!$G$8))*POWER(2,'Xorshift'!$G$8))</f>
      </c>
    </row>
    <row r="16">
      <c r="A16" s="5">
        <v>11</v>
      </c>
      <c r="B16" s="5" t="str">
        <f>E15</f>
      </c>
      <c r="C16" s="5" t="str">
        <f>BITXOR(B16,MOD(B16,POWER(2,32-'Xorshift'!$G$6))*POWER(2,'Xorshift'!$G$6))</f>
      </c>
      <c r="D16" s="5" t="str">
        <f>BITXOR(C16,INT(C16/POWER(2,'Xorshift'!$G$7)))</f>
      </c>
      <c r="E16" s="5" t="str">
        <f>BITXOR(D16,MOD(D16,POWER(2,32-'Xorshift'!$G$8))*POWER(2,'Xorshift'!$G$8))</f>
      </c>
    </row>
    <row r="17">
      <c r="A17" s="6">
        <v>12</v>
      </c>
      <c r="B17" s="6" t="str">
        <f>E16</f>
      </c>
      <c r="C17" s="6" t="str">
        <f>BITXOR(B17,MOD(B17,POWER(2,32-'Xorshift'!$G$6))*POWER(2,'Xorshift'!$G$6))</f>
      </c>
      <c r="D17" s="6" t="str">
        <f>BITXOR(C17,INT(C17/POWER(2,'Xorshift'!$G$7)))</f>
      </c>
      <c r="E17" s="6" t="str">
        <f>BITXOR(D17,MOD(D17,POWER(2,32-'Xorshift'!$G$8))*POWER(2,'Xorshift'!$G$8))</f>
      </c>
    </row>
    <row r="18">
      <c r="A18" s="5">
        <v>13</v>
      </c>
      <c r="B18" s="5" t="str">
        <f>E17</f>
      </c>
      <c r="C18" s="5" t="str">
        <f>BITXOR(B18,MOD(B18,POWER(2,32-'Xorshift'!$G$6))*POWER(2,'Xorshift'!$G$6))</f>
      </c>
      <c r="D18" s="5" t="str">
        <f>BITXOR(C18,INT(C18/POWER(2,'Xorshift'!$G$7)))</f>
      </c>
      <c r="E18" s="5" t="str">
        <f>BITXOR(D18,MOD(D18,POWER(2,32-'Xorshift'!$G$8))*POWER(2,'Xorshift'!$G$8))</f>
      </c>
    </row>
    <row r="19">
      <c r="A19" s="6">
        <v>14</v>
      </c>
      <c r="B19" s="6" t="str">
        <f>E18</f>
      </c>
      <c r="C19" s="6" t="str">
        <f>BITXOR(B19,MOD(B19,POWER(2,32-'Xorshift'!$G$6))*POWER(2,'Xorshift'!$G$6))</f>
      </c>
      <c r="D19" s="6" t="str">
        <f>BITXOR(C19,INT(C19/POWER(2,'Xorshift'!$G$7)))</f>
      </c>
      <c r="E19" s="6" t="str">
        <f>BITXOR(D19,MOD(D19,POWER(2,32-'Xorshift'!$G$8))*POWER(2,'Xorshift'!$G$8))</f>
      </c>
    </row>
    <row r="20">
      <c r="A20" s="5">
        <v>15</v>
      </c>
      <c r="B20" s="5" t="str">
        <f>E19</f>
      </c>
      <c r="C20" s="5" t="str">
        <f>BITXOR(B20,MOD(B20,POWER(2,32-'Xorshift'!$G$6))*POWER(2,'Xorshift'!$G$6))</f>
      </c>
      <c r="D20" s="5" t="str">
        <f>BITXOR(C20,INT(C20/POWER(2,'Xorshift'!$G$7)))</f>
      </c>
      <c r="E20" s="5" t="str">
        <f>BITXOR(D20,MOD(D20,POWER(2,32-'Xorshift'!$G$8))*POWER(2,'Xorshift'!$G$8))</f>
      </c>
    </row>
    <row r="21">
      <c r="A21" s="6">
        <v>16</v>
      </c>
      <c r="B21" s="6" t="str">
        <f>E20</f>
      </c>
      <c r="C21" s="6" t="str">
        <f>BITXOR(B21,MOD(B21,POWER(2,32-'Xorshift'!$G$6))*POWER(2,'Xorshift'!$G$6))</f>
      </c>
      <c r="D21" s="6" t="str">
        <f>BITXOR(C21,INT(C21/POWER(2,'Xorshift'!$G$7)))</f>
      </c>
      <c r="E21" s="6" t="str">
        <f>BITXOR(D21,MOD(D21,POWER(2,32-'Xorshift'!$G$8))*POWER(2,'Xorshift'!$G$8))</f>
      </c>
    </row>
    <row r="22">
      <c r="A22" s="5">
        <v>17</v>
      </c>
      <c r="B22" s="5" t="str">
        <f>E21</f>
      </c>
      <c r="C22" s="5" t="str">
        <f>BITXOR(B22,MOD(B22,POWER(2,32-'Xorshift'!$G$6))*POWER(2,'Xorshift'!$G$6))</f>
      </c>
      <c r="D22" s="5" t="str">
        <f>BITXOR(C22,INT(C22/POWER(2,'Xorshift'!$G$7)))</f>
      </c>
      <c r="E22" s="5" t="str">
        <f>BITXOR(D22,MOD(D22,POWER(2,32-'Xorshift'!$G$8))*POWER(2,'Xorshift'!$G$8))</f>
      </c>
    </row>
    <row r="23">
      <c r="A23" s="6">
        <v>18</v>
      </c>
      <c r="B23" s="6" t="str">
        <f>E22</f>
      </c>
      <c r="C23" s="6" t="str">
        <f>BITXOR(B23,MOD(B23,POWER(2,32-'Xorshift'!$G$6))*POWER(2,'Xorshift'!$G$6))</f>
      </c>
      <c r="D23" s="6" t="str">
        <f>BITXOR(C23,INT(C23/POWER(2,'Xorshift'!$G$7)))</f>
      </c>
      <c r="E23" s="6" t="str">
        <f>BITXOR(D23,MOD(D23,POWER(2,32-'Xorshift'!$G$8))*POWER(2,'Xorshift'!$G$8))</f>
      </c>
    </row>
    <row r="24">
      <c r="A24" s="5">
        <v>19</v>
      </c>
      <c r="B24" s="5" t="str">
        <f>E23</f>
      </c>
      <c r="C24" s="5" t="str">
        <f>BITXOR(B24,MOD(B24,POWER(2,32-'Xorshift'!$G$6))*POWER(2,'Xorshift'!$G$6))</f>
      </c>
      <c r="D24" s="5" t="str">
        <f>BITXOR(C24,INT(C24/POWER(2,'Xorshift'!$G$7)))</f>
      </c>
      <c r="E24" s="5" t="str">
        <f>BITXOR(D24,MOD(D24,POWER(2,32-'Xorshift'!$G$8))*POWER(2,'Xorshift'!$G$8))</f>
      </c>
    </row>
    <row r="25">
      <c r="A25" s="6">
        <v>20</v>
      </c>
      <c r="B25" s="6" t="str">
        <f>E24</f>
      </c>
      <c r="C25" s="6" t="str">
        <f>BITXOR(B25,MOD(B25,POWER(2,32-'Xorshift'!$G$6))*POWER(2,'Xorshift'!$G$6))</f>
      </c>
      <c r="D25" s="6" t="str">
        <f>BITXOR(C25,INT(C25/POWER(2,'Xorshift'!$G$7)))</f>
      </c>
      <c r="E25" s="6" t="str">
        <f>BITXOR(D25,MOD(D25,POWER(2,32-'Xorshift'!$G$8))*POWER(2,'Xorshift'!$G$8))</f>
      </c>
    </row>
    <row r="28" ht="22" customHeight="true">
      <c r="A28" s="3" t="s">
        <v>8</v>
      </c>
      <c r="B28" s="3"/>
      <c r="C28" s="3"/>
      <c r="D28" s="3"/>
      <c r="E28" s="3"/>
      <c r="F28" s="3"/>
      <c r="G28" s="3"/>
      <c r="H28" s="3"/>
    </row>
    <row r="29">
      <c r="A29" s="4" t="s">
        <v>9</v>
      </c>
      <c r="B29" s="4" t="s">
        <v>10</v>
      </c>
    </row>
    <row r="30">
      <c r="A30" s="5" t="s">
        <v>11</v>
      </c>
      <c r="B30" s="5" t="str">
        <f>AVERAGE('Xorshift'!$C$5:$C$24)</f>
      </c>
    </row>
    <row r="31">
      <c r="A31" s="6" t="s">
        <v>12</v>
      </c>
      <c r="B31" s="6" t="str">
        <f>COUNT('Xorshift'!$C$5:$C$24)</f>
      </c>
    </row>
    <row r="32">
      <c r="A32" s="5" t="s">
        <v>13</v>
      </c>
      <c r="B32" s="5" t="str">
        <f>(B30-0.5)*SQRT(B31)/SQRT(1/12)</f>
      </c>
    </row>
    <row r="34" ht="22" customHeight="true">
      <c r="A34" s="3" t="s">
        <v>14</v>
      </c>
      <c r="B34" s="3"/>
      <c r="C34" s="3"/>
      <c r="D34" s="3"/>
      <c r="E34" s="3"/>
      <c r="F34" s="3"/>
      <c r="G34" s="3"/>
      <c r="H34" s="3"/>
    </row>
    <row r="35">
      <c r="A35" s="4" t="s">
        <v>15</v>
      </c>
      <c r="B35" s="4" t="s">
        <v>16</v>
      </c>
      <c r="C35" s="4" t="s">
        <v>17</v>
      </c>
      <c r="D35" s="4" t="s">
        <v>18</v>
      </c>
      <c r="E35" s="4" t="s">
        <v>19</v>
      </c>
      <c r="F35" s="4" t="s">
        <v>20</v>
      </c>
      <c r="G35" s="4" t="s">
        <v>21</v>
      </c>
      <c r="H35" s="4" t="s">
        <v>22</v>
      </c>
    </row>
    <row r="36">
      <c r="A36" s="5">
        <v>0</v>
      </c>
      <c r="B36" s="5" t="str">
        <f>A36/10</f>
      </c>
      <c r="C36" s="5" t="str">
        <f>(A36+1)/10</f>
      </c>
      <c r="D36" s="5" t="str">
        <f>COUNTIFS('Xorshift'!$C$5:$C$24,"&gt;="&amp;B36,'Xorshift'!$C$5:$C$24,"&lt;"&amp;C36)</f>
      </c>
      <c r="E36" s="5" t="str">
        <f>COUNT('Xorshift'!$C$5:$C$24)/10</f>
      </c>
      <c r="F36" s="5" t="str">
        <f>(D36-E36)^2/E36</f>
      </c>
      <c r="G36" s="5" t="str">
        <f>D36/COUNT('Xorshift'!$C$5:$C$24)</f>
      </c>
      <c r="H36" s="5" t="str">
        <f>IF(D36&gt;0,-G36*LOG(G36,2),0)</f>
      </c>
    </row>
    <row r="37">
      <c r="A37" s="6">
        <v>1</v>
      </c>
      <c r="B37" s="6" t="str">
        <f>A37/10</f>
      </c>
      <c r="C37" s="6" t="str">
        <f>(A37+1)/10</f>
      </c>
      <c r="D37" s="6" t="str">
        <f>COUNTIFS('Xorshift'!$C$5:$C$24,"&gt;="&amp;B37,'Xorshift'!$C$5:$C$24,"&lt;"&amp;C37)</f>
      </c>
      <c r="E37" s="6" t="str">
        <f>COUNT('Xorshift'!$C$5:$C$24)/10</f>
      </c>
      <c r="F37" s="6" t="str">
        <f>(D37-E37)^2/E37</f>
      </c>
      <c r="G37" s="6" t="str">
        <f>D37/COUNT('Xorshift'!$C$5:$C$24)</f>
      </c>
      <c r="H37" s="6" t="str">
        <f>IF(D37&gt;0,-G37*LOG(G37,2),0)</f>
      </c>
    </row>
    <row r="38">
      <c r="A38" s="5">
        <v>2</v>
      </c>
      <c r="B38" s="5" t="str">
        <f>A38/10</f>
      </c>
      <c r="C38" s="5" t="str">
        <f>(A38+1)/10</f>
      </c>
      <c r="D38" s="5" t="str">
        <f>COUNTIFS('Xorshift'!$C$5:$C$24,"&gt;="&amp;B38,'Xorshift'!$C$5:$C$24,"&lt;"&amp;C38)</f>
      </c>
      <c r="E38" s="5" t="str">
        <f>COUNT('Xorshift'!$C$5:$C$24)/10</f>
      </c>
      <c r="F38" s="5" t="str">
        <f>(D38-E38)^2/E38</f>
      </c>
      <c r="G38" s="5" t="str">
        <f>D38/COUNT('Xorshift'!$C$5:$C$24)</f>
      </c>
      <c r="H38" s="5" t="str">
        <f>IF(D38&gt;0,-G38*LOG(G38,2),0)</f>
      </c>
    </row>
    <row r="39">
      <c r="A39" s="6">
        <v>3</v>
      </c>
      <c r="B39" s="6" t="str">
        <f>A39/10</f>
      </c>
      <c r="C39" s="6" t="str">
        <f>(A39+1)/10</f>
      </c>
      <c r="D39" s="6" t="str">
        <f>COUNTIFS('Xorshift'!$C$5:$C$24,"&gt;="&amp;B39,'Xorshift'!$C$5:$C$24,"&lt;"&amp;C39)</f>
      </c>
      <c r="E39" s="6" t="str">
        <f>COUNT('Xorshift'!$C$5:$C$24)/10</f>
      </c>
      <c r="F39" s="6" t="str">
        <f>(D39-E39)^2/E39</f>
      </c>
      <c r="G39" s="6" t="str">
        <f>D39/COUNT('Xorshift'!$C$5:$C$24)</f>
      </c>
      <c r="H39" s="6" t="str">
        <f>IF(D39&gt;0,-G39*LOG(G39,2),0)</f>
      </c>
    </row>
    <row r="40">
      <c r="A40" s="5">
        <v>4</v>
      </c>
      <c r="B40" s="5" t="str">
        <f>A40/10</f>
      </c>
      <c r="C40" s="5" t="str">
        <f>(A40+1)/10</f>
      </c>
      <c r="D40" s="5" t="str">
        <f>COUNTIFS('Xorshift'!$C$5:$C$24,"&gt;="&amp;B40,'Xorshift'!$C$5:$C$24,"&lt;"&amp;C40)</f>
      </c>
      <c r="E40" s="5" t="str">
        <f>COUNT('Xorshift'!$C$5:$C$24)/10</f>
      </c>
      <c r="F40" s="5" t="str">
        <f>(D40-E40)^2/E40</f>
      </c>
      <c r="G40" s="5" t="str">
        <f>D40/COUNT('Xorshift'!$C$5:$C$24)</f>
      </c>
      <c r="H40" s="5" t="str">
        <f>IF(D40&gt;0,-G40*LOG(G40,2),0)</f>
      </c>
    </row>
    <row r="41">
      <c r="A41" s="6">
        <v>5</v>
      </c>
      <c r="B41" s="6" t="str">
        <f>A41/10</f>
      </c>
      <c r="C41" s="6" t="str">
        <f>(A41+1)/10</f>
      </c>
      <c r="D41" s="6" t="str">
        <f>COUNTIFS('Xorshift'!$C$5:$C$24,"&gt;="&amp;B41,'Xorshift'!$C$5:$C$24,"&lt;"&amp;C41)</f>
      </c>
      <c r="E41" s="6" t="str">
        <f>COUNT('Xorshift'!$C$5:$C$24)/10</f>
      </c>
      <c r="F41" s="6" t="str">
        <f>(D41-E41)^2/E41</f>
      </c>
      <c r="G41" s="6" t="str">
        <f>D41/COUNT('Xorshift'!$C$5:$C$24)</f>
      </c>
      <c r="H41" s="6" t="str">
        <f>IF(D41&gt;0,-G41*LOG(G41,2),0)</f>
      </c>
    </row>
    <row r="42">
      <c r="A42" s="5">
        <v>6</v>
      </c>
      <c r="B42" s="5" t="str">
        <f>A42/10</f>
      </c>
      <c r="C42" s="5" t="str">
        <f>(A42+1)/10</f>
      </c>
      <c r="D42" s="5" t="str">
        <f>COUNTIFS('Xorshift'!$C$5:$C$24,"&gt;="&amp;B42,'Xorshift'!$C$5:$C$24,"&lt;"&amp;C42)</f>
      </c>
      <c r="E42" s="5" t="str">
        <f>COUNT('Xorshift'!$C$5:$C$24)/10</f>
      </c>
      <c r="F42" s="5" t="str">
        <f>(D42-E42)^2/E42</f>
      </c>
      <c r="G42" s="5" t="str">
        <f>D42/COUNT('Xorshift'!$C$5:$C$24)</f>
      </c>
      <c r="H42" s="5" t="str">
        <f>IF(D42&gt;0,-G42*LOG(G42,2),0)</f>
      </c>
    </row>
    <row r="43">
      <c r="A43" s="6">
        <v>7</v>
      </c>
      <c r="B43" s="6" t="str">
        <f>A43/10</f>
      </c>
      <c r="C43" s="6" t="str">
        <f>(A43+1)/10</f>
      </c>
      <c r="D43" s="6" t="str">
        <f>COUNTIFS('Xorshift'!$C$5:$C$24,"&gt;="&amp;B43,'Xorshift'!$C$5:$C$24,"&lt;"&amp;C43)</f>
      </c>
      <c r="E43" s="6" t="str">
        <f>COUNT('Xorshift'!$C$5:$C$24)/10</f>
      </c>
      <c r="F43" s="6" t="str">
        <f>(D43-E43)^2/E43</f>
      </c>
      <c r="G43" s="6" t="str">
        <f>D43/COUNT('Xorshift'!$C$5:$C$24)</f>
      </c>
      <c r="H43" s="6" t="str">
        <f>IF(D43&gt;0,-G43*LOG(G43,2),0)</f>
      </c>
    </row>
    <row r="44">
      <c r="A44" s="5">
        <v>8</v>
      </c>
      <c r="B44" s="5" t="str">
        <f>A44/10</f>
      </c>
      <c r="C44" s="5" t="str">
        <f>(A44+1)/10</f>
      </c>
      <c r="D44" s="5" t="str">
        <f>COUNTIFS('Xorshift'!$C$5:$C$24,"&gt;="&amp;B44,'Xorshift'!$C$5:$C$24,"&lt;"&amp;C44)</f>
      </c>
      <c r="E44" s="5" t="str">
        <f>COUNT('Xorshift'!$C$5:$C$24)/10</f>
      </c>
      <c r="F44" s="5" t="str">
        <f>(D44-E44)^2/E44</f>
      </c>
      <c r="G44" s="5" t="str">
        <f>D44/COUNT('Xorshift'!$C$5:$C$24)</f>
      </c>
      <c r="H44" s="5" t="str">
        <f>IF(D44&gt;0,-G44*LOG(G44,2),0)</f>
      </c>
    </row>
    <row r="45">
      <c r="A45" s="6">
        <v>9</v>
      </c>
      <c r="B45" s="6" t="str">
        <f>A45/10</f>
      </c>
      <c r="C45" s="6">
        <v>1</v>
      </c>
      <c r="D45" s="6" t="str">
        <f>COUNTIFS('Xorshift'!$C$5:$C$24,"&gt;="&amp;B45)</f>
      </c>
      <c r="E45" s="6" t="str">
        <f>COUNT('Xorshift'!$C$5:$C$24)/10</f>
      </c>
      <c r="F45" s="6" t="str">
        <f>(D45-E45)^2/E45</f>
      </c>
      <c r="G45" s="6" t="str">
        <f>D45/COUNT('Xorshift'!$C$5:$C$24)</f>
      </c>
      <c r="H45" s="6" t="str">
        <f>IF(D45&gt;0,-G45*LOG(G45,2),0)</f>
      </c>
    </row>
    <row r="47" ht="22" customHeight="true">
      <c r="A47" s="3" t="s">
        <v>23</v>
      </c>
      <c r="B47" s="3"/>
      <c r="C47" s="3"/>
      <c r="D47" s="3"/>
      <c r="E47" s="3"/>
      <c r="F47" s="3"/>
      <c r="G47" s="3"/>
      <c r="H47" s="3"/>
    </row>
    <row r="48">
      <c r="A48" s="4" t="s">
        <v>24</v>
      </c>
      <c r="B48" s="4" t="s">
        <v>25</v>
      </c>
      <c r="C48" s="4" t="s">
        <v>26</v>
      </c>
      <c r="D48" s="4" t="s">
        <v>27</v>
      </c>
    </row>
    <row r="49">
      <c r="A49" s="5">
        <v>1</v>
      </c>
      <c r="B49" s="5" t="str">
        <f>SMALL('Xorshift'!$C$5:$C$24,A49)</f>
      </c>
      <c r="C49" s="5" t="str">
        <f>A49/COUNT('Xorshift'!$C$5:$C$24)</f>
      </c>
      <c r="D49" s="5" t="str">
        <f>ABS(C49-B49)</f>
      </c>
    </row>
    <row r="50">
      <c r="A50" s="6">
        <v>2</v>
      </c>
      <c r="B50" s="6" t="str">
        <f>SMALL('Xorshift'!$C$5:$C$24,A50)</f>
      </c>
      <c r="C50" s="6" t="str">
        <f>A50/COUNT('Xorshift'!$C$5:$C$24)</f>
      </c>
      <c r="D50" s="6" t="str">
        <f>ABS(C50-B50)</f>
      </c>
    </row>
    <row r="51">
      <c r="A51" s="5">
        <v>3</v>
      </c>
      <c r="B51" s="5" t="str">
        <f>SMALL('Xorshift'!$C$5:$C$24,A51)</f>
      </c>
      <c r="C51" s="5" t="str">
        <f>A51/COUNT('Xorshift'!$C$5:$C$24)</f>
      </c>
      <c r="D51" s="5" t="str">
        <f>ABS(C51-B51)</f>
      </c>
    </row>
    <row r="52">
      <c r="A52" s="6">
        <v>4</v>
      </c>
      <c r="B52" s="6" t="str">
        <f>SMALL('Xorshift'!$C$5:$C$24,A52)</f>
      </c>
      <c r="C52" s="6" t="str">
        <f>A52/COUNT('Xorshift'!$C$5:$C$24)</f>
      </c>
      <c r="D52" s="6" t="str">
        <f>ABS(C52-B52)</f>
      </c>
    </row>
    <row r="53">
      <c r="A53" s="5">
        <v>5</v>
      </c>
      <c r="B53" s="5" t="str">
        <f>SMALL('Xorshift'!$C$5:$C$24,A53)</f>
      </c>
      <c r="C53" s="5" t="str">
        <f>A53/COUNT('Xorshift'!$C$5:$C$24)</f>
      </c>
      <c r="D53" s="5" t="str">
        <f>ABS(C53-B53)</f>
      </c>
    </row>
    <row r="54">
      <c r="A54" s="6">
        <v>6</v>
      </c>
      <c r="B54" s="6" t="str">
        <f>SMALL('Xorshift'!$C$5:$C$24,A54)</f>
      </c>
      <c r="C54" s="6" t="str">
        <f>A54/COUNT('Xorshift'!$C$5:$C$24)</f>
      </c>
      <c r="D54" s="6" t="str">
        <f>ABS(C54-B54)</f>
      </c>
    </row>
    <row r="55">
      <c r="A55" s="5">
        <v>7</v>
      </c>
      <c r="B55" s="5" t="str">
        <f>SMALL('Xorshift'!$C$5:$C$24,A55)</f>
      </c>
      <c r="C55" s="5" t="str">
        <f>A55/COUNT('Xorshift'!$C$5:$C$24)</f>
      </c>
      <c r="D55" s="5" t="str">
        <f>ABS(C55-B55)</f>
      </c>
    </row>
    <row r="56">
      <c r="A56" s="6">
        <v>8</v>
      </c>
      <c r="B56" s="6" t="str">
        <f>SMALL('Xorshift'!$C$5:$C$24,A56)</f>
      </c>
      <c r="C56" s="6" t="str">
        <f>A56/COUNT('Xorshift'!$C$5:$C$24)</f>
      </c>
      <c r="D56" s="6" t="str">
        <f>ABS(C56-B56)</f>
      </c>
    </row>
    <row r="57">
      <c r="A57" s="5">
        <v>9</v>
      </c>
      <c r="B57" s="5" t="str">
        <f>SMALL('Xorshift'!$C$5:$C$24,A57)</f>
      </c>
      <c r="C57" s="5" t="str">
        <f>A57/COUNT('Xorshift'!$C$5:$C$24)</f>
      </c>
      <c r="D57" s="5" t="str">
        <f>ABS(C57-B57)</f>
      </c>
    </row>
    <row r="58">
      <c r="A58" s="6">
        <v>10</v>
      </c>
      <c r="B58" s="6" t="str">
        <f>SMALL('Xorshift'!$C$5:$C$24,A58)</f>
      </c>
      <c r="C58" s="6" t="str">
        <f>A58/COUNT('Xorshift'!$C$5:$C$24)</f>
      </c>
      <c r="D58" s="6" t="str">
        <f>ABS(C58-B58)</f>
      </c>
    </row>
    <row r="59">
      <c r="A59" s="5">
        <v>11</v>
      </c>
      <c r="B59" s="5" t="str">
        <f>SMALL('Xorshift'!$C$5:$C$24,A59)</f>
      </c>
      <c r="C59" s="5" t="str">
        <f>A59/COUNT('Xorshift'!$C$5:$C$24)</f>
      </c>
      <c r="D59" s="5" t="str">
        <f>ABS(C59-B59)</f>
      </c>
    </row>
    <row r="60">
      <c r="A60" s="6">
        <v>12</v>
      </c>
      <c r="B60" s="6" t="str">
        <f>SMALL('Xorshift'!$C$5:$C$24,A60)</f>
      </c>
      <c r="C60" s="6" t="str">
        <f>A60/COUNT('Xorshift'!$C$5:$C$24)</f>
      </c>
      <c r="D60" s="6" t="str">
        <f>ABS(C60-B60)</f>
      </c>
    </row>
    <row r="61">
      <c r="A61" s="5">
        <v>13</v>
      </c>
      <c r="B61" s="5" t="str">
        <f>SMALL('Xorshift'!$C$5:$C$24,A61)</f>
      </c>
      <c r="C61" s="5" t="str">
        <f>A61/COUNT('Xorshift'!$C$5:$C$24)</f>
      </c>
      <c r="D61" s="5" t="str">
        <f>ABS(C61-B61)</f>
      </c>
    </row>
    <row r="62">
      <c r="A62" s="6">
        <v>14</v>
      </c>
      <c r="B62" s="6" t="str">
        <f>SMALL('Xorshift'!$C$5:$C$24,A62)</f>
      </c>
      <c r="C62" s="6" t="str">
        <f>A62/COUNT('Xorshift'!$C$5:$C$24)</f>
      </c>
      <c r="D62" s="6" t="str">
        <f>ABS(C62-B62)</f>
      </c>
    </row>
    <row r="63">
      <c r="A63" s="5">
        <v>15</v>
      </c>
      <c r="B63" s="5" t="str">
        <f>SMALL('Xorshift'!$C$5:$C$24,A63)</f>
      </c>
      <c r="C63" s="5" t="str">
        <f>A63/COUNT('Xorshift'!$C$5:$C$24)</f>
      </c>
      <c r="D63" s="5" t="str">
        <f>ABS(C63-B63)</f>
      </c>
    </row>
    <row r="64">
      <c r="A64" s="6">
        <v>16</v>
      </c>
      <c r="B64" s="6" t="str">
        <f>SMALL('Xorshift'!$C$5:$C$24,A64)</f>
      </c>
      <c r="C64" s="6" t="str">
        <f>A64/COUNT('Xorshift'!$C$5:$C$24)</f>
      </c>
      <c r="D64" s="6" t="str">
        <f>ABS(C64-B64)</f>
      </c>
    </row>
    <row r="65">
      <c r="A65" s="5">
        <v>17</v>
      </c>
      <c r="B65" s="5" t="str">
        <f>SMALL('Xorshift'!$C$5:$C$24,A65)</f>
      </c>
      <c r="C65" s="5" t="str">
        <f>A65/COUNT('Xorshift'!$C$5:$C$24)</f>
      </c>
      <c r="D65" s="5" t="str">
        <f>ABS(C65-B65)</f>
      </c>
    </row>
    <row r="66">
      <c r="A66" s="6">
        <v>18</v>
      </c>
      <c r="B66" s="6" t="str">
        <f>SMALL('Xorshift'!$C$5:$C$24,A66)</f>
      </c>
      <c r="C66" s="6" t="str">
        <f>A66/COUNT('Xorshift'!$C$5:$C$24)</f>
      </c>
      <c r="D66" s="6" t="str">
        <f>ABS(C66-B66)</f>
      </c>
    </row>
    <row r="67">
      <c r="A67" s="5">
        <v>19</v>
      </c>
      <c r="B67" s="5" t="str">
        <f>SMALL('Xorshift'!$C$5:$C$24,A67)</f>
      </c>
      <c r="C67" s="5" t="str">
        <f>A67/COUNT('Xorshift'!$C$5:$C$24)</f>
      </c>
      <c r="D67" s="5" t="str">
        <f>ABS(C67-B67)</f>
      </c>
    </row>
    <row r="68">
      <c r="A68" s="6">
        <v>20</v>
      </c>
      <c r="B68" s="6" t="str">
        <f>SMALL('Xorshift'!$C$5:$C$24,A68)</f>
      </c>
      <c r="C68" s="6" t="str">
        <f>A68/COUNT('Xorshift'!$C$5:$C$24)</f>
      </c>
      <c r="D68" s="6" t="str">
        <f>ABS(C68-B68)</f>
      </c>
    </row>
    <row r="70" ht="22" customHeight="true">
      <c r="A70" s="3" t="s">
        <v>28</v>
      </c>
      <c r="B70" s="3"/>
      <c r="C70" s="3"/>
      <c r="D70" s="3"/>
      <c r="E70" s="3"/>
      <c r="F70" s="3"/>
      <c r="G70" s="3"/>
      <c r="H70" s="3"/>
    </row>
    <row r="71">
      <c r="A71" s="4" t="s">
        <v>29</v>
      </c>
      <c r="B71" s="4" t="s">
        <v>30</v>
      </c>
      <c r="C71" s="4" t="s">
        <v>31</v>
      </c>
      <c r="D71" s="4" t="s">
        <v>32</v>
      </c>
      <c r="E71" s="4" t="s">
        <v>33</v>
      </c>
    </row>
    <row r="72">
      <c r="A72" s="5">
        <v>1</v>
      </c>
      <c r="B72" s="5" t="str">
        <f>INDEX('Xorshift'!$C$5:$C$24,2*A72-1)</f>
      </c>
      <c r="C72" s="5" t="str">
        <f>INDEX('Xorshift'!$C$5:$C$24,2*A72)</f>
      </c>
      <c r="D72" s="5" t="str">
        <f>B72^2+C72^2</f>
      </c>
      <c r="E72" s="5" t="str">
        <f>IF(D72&lt;=1,1,0)</f>
      </c>
    </row>
    <row r="73">
      <c r="A73" s="6">
        <v>2</v>
      </c>
      <c r="B73" s="6" t="str">
        <f>INDEX('Xorshift'!$C$5:$C$24,2*A73-1)</f>
      </c>
      <c r="C73" s="6" t="str">
        <f>INDEX('Xorshift'!$C$5:$C$24,2*A73)</f>
      </c>
      <c r="D73" s="6" t="str">
        <f>B73^2+C73^2</f>
      </c>
      <c r="E73" s="6" t="str">
        <f>IF(D73&lt;=1,1,0)</f>
      </c>
    </row>
    <row r="74">
      <c r="A74" s="5">
        <v>3</v>
      </c>
      <c r="B74" s="5" t="str">
        <f>INDEX('Xorshift'!$C$5:$C$24,2*A74-1)</f>
      </c>
      <c r="C74" s="5" t="str">
        <f>INDEX('Xorshift'!$C$5:$C$24,2*A74)</f>
      </c>
      <c r="D74" s="5" t="str">
        <f>B74^2+C74^2</f>
      </c>
      <c r="E74" s="5" t="str">
        <f>IF(D74&lt;=1,1,0)</f>
      </c>
    </row>
    <row r="75">
      <c r="A75" s="6">
        <v>4</v>
      </c>
      <c r="B75" s="6" t="str">
        <f>INDEX('Xorshift'!$C$5:$C$24,2*A75-1)</f>
      </c>
      <c r="C75" s="6" t="str">
        <f>INDEX('Xorshift'!$C$5:$C$24,2*A75)</f>
      </c>
      <c r="D75" s="6" t="str">
        <f>B75^2+C75^2</f>
      </c>
      <c r="E75" s="6" t="str">
        <f>IF(D75&lt;=1,1,0)</f>
      </c>
    </row>
    <row r="76">
      <c r="A76" s="5">
        <v>5</v>
      </c>
      <c r="B76" s="5" t="str">
        <f>INDEX('Xorshift'!$C$5:$C$24,2*A76-1)</f>
      </c>
      <c r="C76" s="5" t="str">
        <f>INDEX('Xorshift'!$C$5:$C$24,2*A76)</f>
      </c>
      <c r="D76" s="5" t="str">
        <f>B76^2+C76^2</f>
      </c>
      <c r="E76" s="5" t="str">
        <f>IF(D76&lt;=1,1,0)</f>
      </c>
    </row>
    <row r="77">
      <c r="A77" s="6">
        <v>6</v>
      </c>
      <c r="B77" s="6" t="str">
        <f>INDEX('Xorshift'!$C$5:$C$24,2*A77-1)</f>
      </c>
      <c r="C77" s="6" t="str">
        <f>INDEX('Xorshift'!$C$5:$C$24,2*A77)</f>
      </c>
      <c r="D77" s="6" t="str">
        <f>B77^2+C77^2</f>
      </c>
      <c r="E77" s="6" t="str">
        <f>IF(D77&lt;=1,1,0)</f>
      </c>
    </row>
    <row r="78">
      <c r="A78" s="5">
        <v>7</v>
      </c>
      <c r="B78" s="5" t="str">
        <f>INDEX('Xorshift'!$C$5:$C$24,2*A78-1)</f>
      </c>
      <c r="C78" s="5" t="str">
        <f>INDEX('Xorshift'!$C$5:$C$24,2*A78)</f>
      </c>
      <c r="D78" s="5" t="str">
        <f>B78^2+C78^2</f>
      </c>
      <c r="E78" s="5" t="str">
        <f>IF(D78&lt;=1,1,0)</f>
      </c>
    </row>
    <row r="79">
      <c r="A79" s="6">
        <v>8</v>
      </c>
      <c r="B79" s="6" t="str">
        <f>INDEX('Xorshift'!$C$5:$C$24,2*A79-1)</f>
      </c>
      <c r="C79" s="6" t="str">
        <f>INDEX('Xorshift'!$C$5:$C$24,2*A79)</f>
      </c>
      <c r="D79" s="6" t="str">
        <f>B79^2+C79^2</f>
      </c>
      <c r="E79" s="6" t="str">
        <f>IF(D79&lt;=1,1,0)</f>
      </c>
    </row>
    <row r="80">
      <c r="A80" s="5">
        <v>9</v>
      </c>
      <c r="B80" s="5" t="str">
        <f>INDEX('Xorshift'!$C$5:$C$24,2*A80-1)</f>
      </c>
      <c r="C80" s="5" t="str">
        <f>INDEX('Xorshift'!$C$5:$C$24,2*A80)</f>
      </c>
      <c r="D80" s="5" t="str">
        <f>B80^2+C80^2</f>
      </c>
      <c r="E80" s="5" t="str">
        <f>IF(D80&lt;=1,1,0)</f>
      </c>
    </row>
    <row r="81">
      <c r="A81" s="6">
        <v>10</v>
      </c>
      <c r="B81" s="6" t="str">
        <f>INDEX('Xorshift'!$C$5:$C$24,2*A81-1)</f>
      </c>
      <c r="C81" s="6" t="str">
        <f>INDEX('Xorshift'!$C$5:$C$24,2*A81)</f>
      </c>
      <c r="D81" s="6" t="str">
        <f>B81^2+C81^2</f>
      </c>
      <c r="E81" s="6" t="str">
        <f>IF(D81&lt;=1,1,0)</f>
      </c>
    </row>
    <row r="82">
      <c r="A82" t="s">
        <v>34</v>
      </c>
      <c r="B82" t="str">
        <f>INT(COUNT('Xorshift'!$C$5:$C$24)/2)</f>
      </c>
    </row>
    <row r="83">
      <c r="A83" t="s">
        <v>35</v>
      </c>
      <c r="B83" t="str">
        <f>SUM($E$72:$E$81)</f>
      </c>
    </row>
    <row r="84">
      <c r="A84" t="s">
        <v>36</v>
      </c>
      <c r="B84" t="str">
        <f>IF(B82=0,0,4*B83/B82)</f>
      </c>
    </row>
    <row r="85">
      <c r="A85" t="s">
        <v>37</v>
      </c>
      <c r="B85" t="str">
        <f>IF(B82=0,0,ABS(B84-PI()))</f>
      </c>
    </row>
    <row r="87" ht="22" customHeight="true">
      <c r="A87" s="3" t="s">
        <v>38</v>
      </c>
      <c r="B87" s="3"/>
      <c r="C87" s="3"/>
      <c r="D87" s="3"/>
      <c r="E87" s="3"/>
      <c r="F87" s="3"/>
      <c r="G87" s="3"/>
      <c r="H87" s="3"/>
    </row>
    <row r="88">
      <c r="A88" s="7" t="s">
        <v>39</v>
      </c>
      <c r="B88" s="7">
        <v>0.3</v>
      </c>
    </row>
    <row r="89">
      <c r="A89" s="7" t="s">
        <v>40</v>
      </c>
      <c r="B89" s="7">
        <v>0.7</v>
      </c>
    </row>
    <row r="90">
      <c r="A90" s="7" t="s">
        <v>41</v>
      </c>
      <c r="B90" s="7" t="str">
        <f>$B$89-$B$88</f>
      </c>
    </row>
    <row r="92">
      <c r="A92" s="4" t="s">
        <v>3</v>
      </c>
      <c r="B92" s="4" t="s">
        <v>42</v>
      </c>
      <c r="C92" s="4" t="s">
        <v>43</v>
      </c>
      <c r="D92" s="4" t="s">
        <v>44</v>
      </c>
      <c r="E92" s="4" t="s">
        <v>45</v>
      </c>
      <c r="F92" s="4" t="s">
        <v>46</v>
      </c>
    </row>
    <row r="93">
      <c r="A93" s="5">
        <v>1</v>
      </c>
      <c r="B93" s="5" t="str">
        <f>'Xorshift'!$C$5</f>
      </c>
      <c r="C93" s="5" t="str">
        <f>IF(AND(B93&gt;=$B$88,B93&lt;=$B$89),1,0)</f>
      </c>
      <c r="D93" s="5" t="str">
        <f>C93</f>
      </c>
      <c r="E93" s="5">
        <v>0</v>
      </c>
      <c r="F93" s="5" t="s">
        <v>47</v>
      </c>
    </row>
    <row r="94">
      <c r="A94" s="6">
        <v>2</v>
      </c>
      <c r="B94" s="6" t="str">
        <f>'Xorshift'!$C$6</f>
      </c>
      <c r="C94" s="6" t="str">
        <f>IF(AND(B94&gt;=$B$88,B94&lt;=$B$89),1,0)</f>
      </c>
      <c r="D94" s="6" t="str">
        <f>IF(OR(D93=1,C94=1),1,0)</f>
      </c>
      <c r="E94" s="6" t="str">
        <f>IF(C94=1,0,IF(D93=1,E93+1,0))</f>
      </c>
      <c r="F94" s="6" t="str">
        <f>IF(AND(C94=1,D93=1),MIN(E93,3),"")</f>
      </c>
    </row>
    <row r="95">
      <c r="A95" s="5">
        <v>3</v>
      </c>
      <c r="B95" s="5" t="str">
        <f>'Xorshift'!$C$7</f>
      </c>
      <c r="C95" s="5" t="str">
        <f>IF(AND(B95&gt;=$B$88,B95&lt;=$B$89),1,0)</f>
      </c>
      <c r="D95" s="5" t="str">
        <f>IF(OR(D94=1,C95=1),1,0)</f>
      </c>
      <c r="E95" s="5" t="str">
        <f>IF(C95=1,0,IF(D94=1,E94+1,0))</f>
      </c>
      <c r="F95" s="5" t="str">
        <f>IF(AND(C95=1,D94=1),MIN(E94,3),"")</f>
      </c>
    </row>
    <row r="96">
      <c r="A96" s="6">
        <v>4</v>
      </c>
      <c r="B96" s="6" t="str">
        <f>'Xorshift'!$C$8</f>
      </c>
      <c r="C96" s="6" t="str">
        <f>IF(AND(B96&gt;=$B$88,B96&lt;=$B$89),1,0)</f>
      </c>
      <c r="D96" s="6" t="str">
        <f>IF(OR(D95=1,C96=1),1,0)</f>
      </c>
      <c r="E96" s="6" t="str">
        <f>IF(C96=1,0,IF(D95=1,E95+1,0))</f>
      </c>
      <c r="F96" s="6" t="str">
        <f>IF(AND(C96=1,D95=1),MIN(E95,3),"")</f>
      </c>
    </row>
    <row r="97">
      <c r="A97" s="5">
        <v>5</v>
      </c>
      <c r="B97" s="5" t="str">
        <f>'Xorshift'!$C$9</f>
      </c>
      <c r="C97" s="5" t="str">
        <f>IF(AND(B97&gt;=$B$88,B97&lt;=$B$89),1,0)</f>
      </c>
      <c r="D97" s="5" t="str">
        <f>IF(OR(D96=1,C97=1),1,0)</f>
      </c>
      <c r="E97" s="5" t="str">
        <f>IF(C97=1,0,IF(D96=1,E96+1,0))</f>
      </c>
      <c r="F97" s="5" t="str">
        <f>IF(AND(C97=1,D96=1),MIN(E96,3),"")</f>
      </c>
    </row>
    <row r="98">
      <c r="A98" s="6">
        <v>6</v>
      </c>
      <c r="B98" s="6" t="str">
        <f>'Xorshift'!$C$10</f>
      </c>
      <c r="C98" s="6" t="str">
        <f>IF(AND(B98&gt;=$B$88,B98&lt;=$B$89),1,0)</f>
      </c>
      <c r="D98" s="6" t="str">
        <f>IF(OR(D97=1,C98=1),1,0)</f>
      </c>
      <c r="E98" s="6" t="str">
        <f>IF(C98=1,0,IF(D97=1,E97+1,0))</f>
      </c>
      <c r="F98" s="6" t="str">
        <f>IF(AND(C98=1,D97=1),MIN(E97,3),"")</f>
      </c>
    </row>
    <row r="99">
      <c r="A99" s="5">
        <v>7</v>
      </c>
      <c r="B99" s="5" t="str">
        <f>'Xorshift'!$C$11</f>
      </c>
      <c r="C99" s="5" t="str">
        <f>IF(AND(B99&gt;=$B$88,B99&lt;=$B$89),1,0)</f>
      </c>
      <c r="D99" s="5" t="str">
        <f>IF(OR(D98=1,C99=1),1,0)</f>
      </c>
      <c r="E99" s="5" t="str">
        <f>IF(C99=1,0,IF(D98=1,E98+1,0))</f>
      </c>
      <c r="F99" s="5" t="str">
        <f>IF(AND(C99=1,D98=1),MIN(E98,3),"")</f>
      </c>
    </row>
    <row r="100">
      <c r="A100" s="6">
        <v>8</v>
      </c>
      <c r="B100" s="6" t="str">
        <f>'Xorshift'!$C$12</f>
      </c>
      <c r="C100" s="6" t="str">
        <f>IF(AND(B100&gt;=$B$88,B100&lt;=$B$89),1,0)</f>
      </c>
      <c r="D100" s="6" t="str">
        <f>IF(OR(D99=1,C100=1),1,0)</f>
      </c>
      <c r="E100" s="6" t="str">
        <f>IF(C100=1,0,IF(D99=1,E99+1,0))</f>
      </c>
      <c r="F100" s="6" t="str">
        <f>IF(AND(C100=1,D99=1),MIN(E99,3),"")</f>
      </c>
    </row>
    <row r="101">
      <c r="A101" s="5">
        <v>9</v>
      </c>
      <c r="B101" s="5" t="str">
        <f>'Xorshift'!$C$13</f>
      </c>
      <c r="C101" s="5" t="str">
        <f>IF(AND(B101&gt;=$B$88,B101&lt;=$B$89),1,0)</f>
      </c>
      <c r="D101" s="5" t="str">
        <f>IF(OR(D100=1,C101=1),1,0)</f>
      </c>
      <c r="E101" s="5" t="str">
        <f>IF(C101=1,0,IF(D100=1,E100+1,0))</f>
      </c>
      <c r="F101" s="5" t="str">
        <f>IF(AND(C101=1,D100=1),MIN(E100,3),"")</f>
      </c>
    </row>
    <row r="102">
      <c r="A102" s="6">
        <v>10</v>
      </c>
      <c r="B102" s="6" t="str">
        <f>'Xorshift'!$C$14</f>
      </c>
      <c r="C102" s="6" t="str">
        <f>IF(AND(B102&gt;=$B$88,B102&lt;=$B$89),1,0)</f>
      </c>
      <c r="D102" s="6" t="str">
        <f>IF(OR(D101=1,C102=1),1,0)</f>
      </c>
      <c r="E102" s="6" t="str">
        <f>IF(C102=1,0,IF(D101=1,E101+1,0))</f>
      </c>
      <c r="F102" s="6" t="str">
        <f>IF(AND(C102=1,D101=1),MIN(E101,3),"")</f>
      </c>
    </row>
    <row r="103">
      <c r="A103" s="5">
        <v>11</v>
      </c>
      <c r="B103" s="5" t="str">
        <f>'Xorshift'!$C$15</f>
      </c>
      <c r="C103" s="5" t="str">
        <f>IF(AND(B103&gt;=$B$88,B103&lt;=$B$89),1,0)</f>
      </c>
      <c r="D103" s="5" t="str">
        <f>IF(OR(D102=1,C103=1),1,0)</f>
      </c>
      <c r="E103" s="5" t="str">
        <f>IF(C103=1,0,IF(D102=1,E102+1,0))</f>
      </c>
      <c r="F103" s="5" t="str">
        <f>IF(AND(C103=1,D102=1),MIN(E102,3),"")</f>
      </c>
    </row>
    <row r="104">
      <c r="A104" s="6">
        <v>12</v>
      </c>
      <c r="B104" s="6" t="str">
        <f>'Xorshift'!$C$16</f>
      </c>
      <c r="C104" s="6" t="str">
        <f>IF(AND(B104&gt;=$B$88,B104&lt;=$B$89),1,0)</f>
      </c>
      <c r="D104" s="6" t="str">
        <f>IF(OR(D103=1,C104=1),1,0)</f>
      </c>
      <c r="E104" s="6" t="str">
        <f>IF(C104=1,0,IF(D103=1,E103+1,0))</f>
      </c>
      <c r="F104" s="6" t="str">
        <f>IF(AND(C104=1,D103=1),MIN(E103,3),"")</f>
      </c>
    </row>
    <row r="105">
      <c r="A105" s="5">
        <v>13</v>
      </c>
      <c r="B105" s="5" t="str">
        <f>'Xorshift'!$C$17</f>
      </c>
      <c r="C105" s="5" t="str">
        <f>IF(AND(B105&gt;=$B$88,B105&lt;=$B$89),1,0)</f>
      </c>
      <c r="D105" s="5" t="str">
        <f>IF(OR(D104=1,C105=1),1,0)</f>
      </c>
      <c r="E105" s="5" t="str">
        <f>IF(C105=1,0,IF(D104=1,E104+1,0))</f>
      </c>
      <c r="F105" s="5" t="str">
        <f>IF(AND(C105=1,D104=1),MIN(E104,3),"")</f>
      </c>
    </row>
    <row r="106">
      <c r="A106" s="6">
        <v>14</v>
      </c>
      <c r="B106" s="6" t="str">
        <f>'Xorshift'!$C$18</f>
      </c>
      <c r="C106" s="6" t="str">
        <f>IF(AND(B106&gt;=$B$88,B106&lt;=$B$89),1,0)</f>
      </c>
      <c r="D106" s="6" t="str">
        <f>IF(OR(D105=1,C106=1),1,0)</f>
      </c>
      <c r="E106" s="6" t="str">
        <f>IF(C106=1,0,IF(D105=1,E105+1,0))</f>
      </c>
      <c r="F106" s="6" t="str">
        <f>IF(AND(C106=1,D105=1),MIN(E105,3),"")</f>
      </c>
    </row>
    <row r="107">
      <c r="A107" s="5">
        <v>15</v>
      </c>
      <c r="B107" s="5" t="str">
        <f>'Xorshift'!$C$19</f>
      </c>
      <c r="C107" s="5" t="str">
        <f>IF(AND(B107&gt;=$B$88,B107&lt;=$B$89),1,0)</f>
      </c>
      <c r="D107" s="5" t="str">
        <f>IF(OR(D106=1,C107=1),1,0)</f>
      </c>
      <c r="E107" s="5" t="str">
        <f>IF(C107=1,0,IF(D106=1,E106+1,0))</f>
      </c>
      <c r="F107" s="5" t="str">
        <f>IF(AND(C107=1,D106=1),MIN(E106,3),"")</f>
      </c>
    </row>
    <row r="108">
      <c r="A108" s="6">
        <v>16</v>
      </c>
      <c r="B108" s="6" t="str">
        <f>'Xorshift'!$C$20</f>
      </c>
      <c r="C108" s="6" t="str">
        <f>IF(AND(B108&gt;=$B$88,B108&lt;=$B$89),1,0)</f>
      </c>
      <c r="D108" s="6" t="str">
        <f>IF(OR(D107=1,C108=1),1,0)</f>
      </c>
      <c r="E108" s="6" t="str">
        <f>IF(C108=1,0,IF(D107=1,E107+1,0))</f>
      </c>
      <c r="F108" s="6" t="str">
        <f>IF(AND(C108=1,D107=1),MIN(E107,3),"")</f>
      </c>
    </row>
    <row r="109">
      <c r="A109" s="5">
        <v>17</v>
      </c>
      <c r="B109" s="5" t="str">
        <f>'Xorshift'!$C$21</f>
      </c>
      <c r="C109" s="5" t="str">
        <f>IF(AND(B109&gt;=$B$88,B109&lt;=$B$89),1,0)</f>
      </c>
      <c r="D109" s="5" t="str">
        <f>IF(OR(D108=1,C109=1),1,0)</f>
      </c>
      <c r="E109" s="5" t="str">
        <f>IF(C109=1,0,IF(D108=1,E108+1,0))</f>
      </c>
      <c r="F109" s="5" t="str">
        <f>IF(AND(C109=1,D108=1),MIN(E108,3),"")</f>
      </c>
    </row>
    <row r="110">
      <c r="A110" s="6">
        <v>18</v>
      </c>
      <c r="B110" s="6" t="str">
        <f>'Xorshift'!$C$22</f>
      </c>
      <c r="C110" s="6" t="str">
        <f>IF(AND(B110&gt;=$B$88,B110&lt;=$B$89),1,0)</f>
      </c>
      <c r="D110" s="6" t="str">
        <f>IF(OR(D109=1,C110=1),1,0)</f>
      </c>
      <c r="E110" s="6" t="str">
        <f>IF(C110=1,0,IF(D109=1,E109+1,0))</f>
      </c>
      <c r="F110" s="6" t="str">
        <f>IF(AND(C110=1,D109=1),MIN(E109,3),"")</f>
      </c>
    </row>
    <row r="111">
      <c r="A111" s="5">
        <v>19</v>
      </c>
      <c r="B111" s="5" t="str">
        <f>'Xorshift'!$C$23</f>
      </c>
      <c r="C111" s="5" t="str">
        <f>IF(AND(B111&gt;=$B$88,B111&lt;=$B$89),1,0)</f>
      </c>
      <c r="D111" s="5" t="str">
        <f>IF(OR(D110=1,C111=1),1,0)</f>
      </c>
      <c r="E111" s="5" t="str">
        <f>IF(C111=1,0,IF(D110=1,E110+1,0))</f>
      </c>
      <c r="F111" s="5" t="str">
        <f>IF(AND(C111=1,D110=1),MIN(E110,3),"")</f>
      </c>
    </row>
    <row r="112">
      <c r="A112" s="6">
        <v>20</v>
      </c>
      <c r="B112" s="6" t="str">
        <f>'Xorshift'!$C$24</f>
      </c>
      <c r="C112" s="6" t="str">
        <f>IF(AND(B112&gt;=$B$88,B112&lt;=$B$89),1,0)</f>
      </c>
      <c r="D112" s="6" t="str">
        <f>IF(OR(D111=1,C112=1),1,0)</f>
      </c>
      <c r="E112" s="6" t="str">
        <f>IF(C112=1,0,IF(D111=1,E111+1,0))</f>
      </c>
      <c r="F112" s="6" t="str">
        <f>IF(AND(C112=1,D111=1),MIN(E111,3),"")</f>
      </c>
    </row>
    <row r="114">
      <c r="A114" s="4" t="s">
        <v>48</v>
      </c>
      <c r="B114" s="4" t="s">
        <v>18</v>
      </c>
      <c r="C114" s="4" t="s">
        <v>49</v>
      </c>
      <c r="D114" s="4" t="s">
        <v>50</v>
      </c>
      <c r="E114" s="4" t="s">
        <v>20</v>
      </c>
    </row>
    <row r="115">
      <c r="A115" s="5">
        <v>0</v>
      </c>
      <c r="B115" s="5" t="str">
        <f>COUNTIFS($F$93:$F$112,0)</f>
      </c>
      <c r="C115" s="5" t="str">
        <f>$B$90</f>
      </c>
      <c r="D115" s="5" t="str">
        <f>SUM($B$115:$B$118)*C115</f>
      </c>
      <c r="E115" s="5" t="str">
        <f>IF(D115&gt;0,(B115-D115)^2/D115,0)</f>
      </c>
    </row>
    <row r="116">
      <c r="A116" s="6">
        <v>1</v>
      </c>
      <c r="B116" s="6" t="str">
        <f>COUNTIFS($F$93:$F$112,1)</f>
      </c>
      <c r="C116" s="6" t="str">
        <f>$B$90*(1-$B$90)</f>
      </c>
      <c r="D116" s="6" t="str">
        <f>SUM($B$115:$B$118)*C116</f>
      </c>
      <c r="E116" s="6" t="str">
        <f>IF(D116&gt;0,(B116-D116)^2/D116,0)</f>
      </c>
    </row>
    <row r="117">
      <c r="A117" s="5">
        <v>2</v>
      </c>
      <c r="B117" s="5" t="str">
        <f>COUNTIFS($F$93:$F$112,2)</f>
      </c>
      <c r="C117" s="5" t="str">
        <f>$B$90*(1-$B$90)^2</f>
      </c>
      <c r="D117" s="5" t="str">
        <f>SUM($B$115:$B$118)*C117</f>
      </c>
      <c r="E117" s="5" t="str">
        <f>IF(D117&gt;0,(B117-D117)^2/D117,0)</f>
      </c>
    </row>
    <row r="118">
      <c r="A118" s="6" t="s">
        <v>51</v>
      </c>
      <c r="B118" s="6" t="str">
        <f>COUNTIFS($F$93:$F$112,3)</f>
      </c>
      <c r="C118" s="6" t="str">
        <f>(1-$B$90)^3</f>
      </c>
      <c r="D118" s="6" t="str">
        <f>SUM($B$115:$B$118)*C118</f>
      </c>
      <c r="E118" s="6" t="str">
        <f>IF(D118&gt;0,(B118-D118)^2/D118,0)</f>
      </c>
    </row>
    <row r="121" ht="22" customHeight="true">
      <c r="A121" s="3" t="s">
        <v>52</v>
      </c>
      <c r="B121" s="3"/>
      <c r="C121" s="3"/>
      <c r="D121" s="3"/>
      <c r="E121" s="3"/>
      <c r="F121" s="3"/>
      <c r="G121" s="3"/>
      <c r="H121" s="3"/>
    </row>
    <row r="122">
      <c r="A122" s="4" t="s">
        <v>3</v>
      </c>
      <c r="B122" s="4" t="s">
        <v>53</v>
      </c>
      <c r="C122" s="4" t="s">
        <v>54</v>
      </c>
      <c r="D122" s="4" t="s">
        <v>55</v>
      </c>
      <c r="E122" s="4" t="s">
        <v>56</v>
      </c>
      <c r="F122" s="4" t="s">
        <v>57</v>
      </c>
    </row>
    <row r="123">
      <c r="A123" s="5">
        <v>1</v>
      </c>
      <c r="B123" s="5" t="str">
        <f>'Xorshift'!$C$5</f>
      </c>
      <c r="C123" s="5" t="str">
        <f>'Xorshift'!$C$6</f>
      </c>
      <c r="D123" s="5" t="str">
        <f>MIN(INT(B123*5),4)</f>
      </c>
      <c r="E123" s="5" t="str">
        <f>MIN(INT(C123*5),4)</f>
      </c>
      <c r="F123" s="5" t="str">
        <f>D123*5+E123</f>
      </c>
    </row>
    <row r="124">
      <c r="A124" s="6">
        <v>2</v>
      </c>
      <c r="B124" s="6" t="str">
        <f>'Xorshift'!$C$6</f>
      </c>
      <c r="C124" s="6" t="str">
        <f>'Xorshift'!$C$7</f>
      </c>
      <c r="D124" s="6" t="str">
        <f>MIN(INT(B124*5),4)</f>
      </c>
      <c r="E124" s="6" t="str">
        <f>MIN(INT(C124*5),4)</f>
      </c>
      <c r="F124" s="6" t="str">
        <f>D124*5+E124</f>
      </c>
    </row>
    <row r="125">
      <c r="A125" s="5">
        <v>3</v>
      </c>
      <c r="B125" s="5" t="str">
        <f>'Xorshift'!$C$7</f>
      </c>
      <c r="C125" s="5" t="str">
        <f>'Xorshift'!$C$8</f>
      </c>
      <c r="D125" s="5" t="str">
        <f>MIN(INT(B125*5),4)</f>
      </c>
      <c r="E125" s="5" t="str">
        <f>MIN(INT(C125*5),4)</f>
      </c>
      <c r="F125" s="5" t="str">
        <f>D125*5+E125</f>
      </c>
    </row>
    <row r="126">
      <c r="A126" s="6">
        <v>4</v>
      </c>
      <c r="B126" s="6" t="str">
        <f>'Xorshift'!$C$8</f>
      </c>
      <c r="C126" s="6" t="str">
        <f>'Xorshift'!$C$9</f>
      </c>
      <c r="D126" s="6" t="str">
        <f>MIN(INT(B126*5),4)</f>
      </c>
      <c r="E126" s="6" t="str">
        <f>MIN(INT(C126*5),4)</f>
      </c>
      <c r="F126" s="6" t="str">
        <f>D126*5+E126</f>
      </c>
    </row>
    <row r="127">
      <c r="A127" s="5">
        <v>5</v>
      </c>
      <c r="B127" s="5" t="str">
        <f>'Xorshift'!$C$9</f>
      </c>
      <c r="C127" s="5" t="str">
        <f>'Xorshift'!$C$10</f>
      </c>
      <c r="D127" s="5" t="str">
        <f>MIN(INT(B127*5),4)</f>
      </c>
      <c r="E127" s="5" t="str">
        <f>MIN(INT(C127*5),4)</f>
      </c>
      <c r="F127" s="5" t="str">
        <f>D127*5+E127</f>
      </c>
    </row>
    <row r="128">
      <c r="A128" s="6">
        <v>6</v>
      </c>
      <c r="B128" s="6" t="str">
        <f>'Xorshift'!$C$10</f>
      </c>
      <c r="C128" s="6" t="str">
        <f>'Xorshift'!$C$11</f>
      </c>
      <c r="D128" s="6" t="str">
        <f>MIN(INT(B128*5),4)</f>
      </c>
      <c r="E128" s="6" t="str">
        <f>MIN(INT(C128*5),4)</f>
      </c>
      <c r="F128" s="6" t="str">
        <f>D128*5+E128</f>
      </c>
    </row>
    <row r="129">
      <c r="A129" s="5">
        <v>7</v>
      </c>
      <c r="B129" s="5" t="str">
        <f>'Xorshift'!$C$11</f>
      </c>
      <c r="C129" s="5" t="str">
        <f>'Xorshift'!$C$12</f>
      </c>
      <c r="D129" s="5" t="str">
        <f>MIN(INT(B129*5),4)</f>
      </c>
      <c r="E129" s="5" t="str">
        <f>MIN(INT(C129*5),4)</f>
      </c>
      <c r="F129" s="5" t="str">
        <f>D129*5+E129</f>
      </c>
    </row>
    <row r="130">
      <c r="A130" s="6">
        <v>8</v>
      </c>
      <c r="B130" s="6" t="str">
        <f>'Xorshift'!$C$12</f>
      </c>
      <c r="C130" s="6" t="str">
        <f>'Xorshift'!$C$13</f>
      </c>
      <c r="D130" s="6" t="str">
        <f>MIN(INT(B130*5),4)</f>
      </c>
      <c r="E130" s="6" t="str">
        <f>MIN(INT(C130*5),4)</f>
      </c>
      <c r="F130" s="6" t="str">
        <f>D130*5+E130</f>
      </c>
    </row>
    <row r="131">
      <c r="A131" s="5">
        <v>9</v>
      </c>
      <c r="B131" s="5" t="str">
        <f>'Xorshift'!$C$13</f>
      </c>
      <c r="C131" s="5" t="str">
        <f>'Xorshift'!$C$14</f>
      </c>
      <c r="D131" s="5" t="str">
        <f>MIN(INT(B131*5),4)</f>
      </c>
      <c r="E131" s="5" t="str">
        <f>MIN(INT(C131*5),4)</f>
      </c>
      <c r="F131" s="5" t="str">
        <f>D131*5+E131</f>
      </c>
    </row>
    <row r="132">
      <c r="A132" s="6">
        <v>10</v>
      </c>
      <c r="B132" s="6" t="str">
        <f>'Xorshift'!$C$14</f>
      </c>
      <c r="C132" s="6" t="str">
        <f>'Xorshift'!$C$15</f>
      </c>
      <c r="D132" s="6" t="str">
        <f>MIN(INT(B132*5),4)</f>
      </c>
      <c r="E132" s="6" t="str">
        <f>MIN(INT(C132*5),4)</f>
      </c>
      <c r="F132" s="6" t="str">
        <f>D132*5+E132</f>
      </c>
    </row>
    <row r="133">
      <c r="A133" s="5">
        <v>11</v>
      </c>
      <c r="B133" s="5" t="str">
        <f>'Xorshift'!$C$15</f>
      </c>
      <c r="C133" s="5" t="str">
        <f>'Xorshift'!$C$16</f>
      </c>
      <c r="D133" s="5" t="str">
        <f>MIN(INT(B133*5),4)</f>
      </c>
      <c r="E133" s="5" t="str">
        <f>MIN(INT(C133*5),4)</f>
      </c>
      <c r="F133" s="5" t="str">
        <f>D133*5+E133</f>
      </c>
    </row>
    <row r="134">
      <c r="A134" s="6">
        <v>12</v>
      </c>
      <c r="B134" s="6" t="str">
        <f>'Xorshift'!$C$16</f>
      </c>
      <c r="C134" s="6" t="str">
        <f>'Xorshift'!$C$17</f>
      </c>
      <c r="D134" s="6" t="str">
        <f>MIN(INT(B134*5),4)</f>
      </c>
      <c r="E134" s="6" t="str">
        <f>MIN(INT(C134*5),4)</f>
      </c>
      <c r="F134" s="6" t="str">
        <f>D134*5+E134</f>
      </c>
    </row>
    <row r="135">
      <c r="A135" s="5">
        <v>13</v>
      </c>
      <c r="B135" s="5" t="str">
        <f>'Xorshift'!$C$17</f>
      </c>
      <c r="C135" s="5" t="str">
        <f>'Xorshift'!$C$18</f>
      </c>
      <c r="D135" s="5" t="str">
        <f>MIN(INT(B135*5),4)</f>
      </c>
      <c r="E135" s="5" t="str">
        <f>MIN(INT(C135*5),4)</f>
      </c>
      <c r="F135" s="5" t="str">
        <f>D135*5+E135</f>
      </c>
    </row>
    <row r="136">
      <c r="A136" s="6">
        <v>14</v>
      </c>
      <c r="B136" s="6" t="str">
        <f>'Xorshift'!$C$18</f>
      </c>
      <c r="C136" s="6" t="str">
        <f>'Xorshift'!$C$19</f>
      </c>
      <c r="D136" s="6" t="str">
        <f>MIN(INT(B136*5),4)</f>
      </c>
      <c r="E136" s="6" t="str">
        <f>MIN(INT(C136*5),4)</f>
      </c>
      <c r="F136" s="6" t="str">
        <f>D136*5+E136</f>
      </c>
    </row>
    <row r="137">
      <c r="A137" s="5">
        <v>15</v>
      </c>
      <c r="B137" s="5" t="str">
        <f>'Xorshift'!$C$19</f>
      </c>
      <c r="C137" s="5" t="str">
        <f>'Xorshift'!$C$20</f>
      </c>
      <c r="D137" s="5" t="str">
        <f>MIN(INT(B137*5),4)</f>
      </c>
      <c r="E137" s="5" t="str">
        <f>MIN(INT(C137*5),4)</f>
      </c>
      <c r="F137" s="5" t="str">
        <f>D137*5+E137</f>
      </c>
    </row>
    <row r="138">
      <c r="A138" s="6">
        <v>16</v>
      </c>
      <c r="B138" s="6" t="str">
        <f>'Xorshift'!$C$20</f>
      </c>
      <c r="C138" s="6" t="str">
        <f>'Xorshift'!$C$21</f>
      </c>
      <c r="D138" s="6" t="str">
        <f>MIN(INT(B138*5),4)</f>
      </c>
      <c r="E138" s="6" t="str">
        <f>MIN(INT(C138*5),4)</f>
      </c>
      <c r="F138" s="6" t="str">
        <f>D138*5+E138</f>
      </c>
    </row>
    <row r="139">
      <c r="A139" s="5">
        <v>17</v>
      </c>
      <c r="B139" s="5" t="str">
        <f>'Xorshift'!$C$21</f>
      </c>
      <c r="C139" s="5" t="str">
        <f>'Xorshift'!$C$22</f>
      </c>
      <c r="D139" s="5" t="str">
        <f>MIN(INT(B139*5),4)</f>
      </c>
      <c r="E139" s="5" t="str">
        <f>MIN(INT(C139*5),4)</f>
      </c>
      <c r="F139" s="5" t="str">
        <f>D139*5+E139</f>
      </c>
    </row>
    <row r="140">
      <c r="A140" s="6">
        <v>18</v>
      </c>
      <c r="B140" s="6" t="str">
        <f>'Xorshift'!$C$22</f>
      </c>
      <c r="C140" s="6" t="str">
        <f>'Xorshift'!$C$23</f>
      </c>
      <c r="D140" s="6" t="str">
        <f>MIN(INT(B140*5),4)</f>
      </c>
      <c r="E140" s="6" t="str">
        <f>MIN(INT(C140*5),4)</f>
      </c>
      <c r="F140" s="6" t="str">
        <f>D140*5+E140</f>
      </c>
    </row>
    <row r="141">
      <c r="A141" s="5">
        <v>19</v>
      </c>
      <c r="B141" s="5" t="str">
        <f>'Xorshift'!$C$23</f>
      </c>
      <c r="C141" s="5" t="str">
        <f>'Xorshift'!$C$24</f>
      </c>
      <c r="D141" s="5" t="str">
        <f>MIN(INT(B141*5),4)</f>
      </c>
      <c r="E141" s="5" t="str">
        <f>MIN(INT(C141*5),4)</f>
      </c>
      <c r="F141" s="5" t="str">
        <f>D141*5+E141</f>
      </c>
    </row>
    <row r="143">
      <c r="A143" s="4" t="s">
        <v>58</v>
      </c>
      <c r="B143" s="4" t="s">
        <v>18</v>
      </c>
      <c r="C143" s="4" t="s">
        <v>59</v>
      </c>
      <c r="D143" s="4" t="s">
        <v>60</v>
      </c>
    </row>
    <row r="144">
      <c r="A144" s="5">
        <v>0</v>
      </c>
      <c r="B144" s="5" t="str">
        <f>COUNTIFS($F$123:$F$141,0)</f>
      </c>
      <c r="C144" s="5" t="str">
        <f>(COUNT('Xorshift'!$C$5:$C$24)-1)/25</f>
      </c>
      <c r="D144" s="5" t="str">
        <f>(B144-C144)^2</f>
      </c>
    </row>
    <row r="145">
      <c r="A145" s="6">
        <v>1</v>
      </c>
      <c r="B145" s="6" t="str">
        <f>COUNTIFS($F$123:$F$141,1)</f>
      </c>
      <c r="C145" s="6" t="str">
        <f>(COUNT('Xorshift'!$C$5:$C$24)-1)/25</f>
      </c>
      <c r="D145" s="6" t="str">
        <f>(B145-C145)^2</f>
      </c>
    </row>
    <row r="146">
      <c r="A146" s="5">
        <v>2</v>
      </c>
      <c r="B146" s="5" t="str">
        <f>COUNTIFS($F$123:$F$141,2)</f>
      </c>
      <c r="C146" s="5" t="str">
        <f>(COUNT('Xorshift'!$C$5:$C$24)-1)/25</f>
      </c>
      <c r="D146" s="5" t="str">
        <f>(B146-C146)^2</f>
      </c>
    </row>
    <row r="147">
      <c r="A147" s="6">
        <v>3</v>
      </c>
      <c r="B147" s="6" t="str">
        <f>COUNTIFS($F$123:$F$141,3)</f>
      </c>
      <c r="C147" s="6" t="str">
        <f>(COUNT('Xorshift'!$C$5:$C$24)-1)/25</f>
      </c>
      <c r="D147" s="6" t="str">
        <f>(B147-C147)^2</f>
      </c>
    </row>
    <row r="148">
      <c r="A148" s="5">
        <v>4</v>
      </c>
      <c r="B148" s="5" t="str">
        <f>COUNTIFS($F$123:$F$141,4)</f>
      </c>
      <c r="C148" s="5" t="str">
        <f>(COUNT('Xorshift'!$C$5:$C$24)-1)/25</f>
      </c>
      <c r="D148" s="5" t="str">
        <f>(B148-C148)^2</f>
      </c>
    </row>
    <row r="149">
      <c r="A149" s="6">
        <v>5</v>
      </c>
      <c r="B149" s="6" t="str">
        <f>COUNTIFS($F$123:$F$141,5)</f>
      </c>
      <c r="C149" s="6" t="str">
        <f>(COUNT('Xorshift'!$C$5:$C$24)-1)/25</f>
      </c>
      <c r="D149" s="6" t="str">
        <f>(B149-C149)^2</f>
      </c>
    </row>
    <row r="150">
      <c r="A150" s="5">
        <v>6</v>
      </c>
      <c r="B150" s="5" t="str">
        <f>COUNTIFS($F$123:$F$141,6)</f>
      </c>
      <c r="C150" s="5" t="str">
        <f>(COUNT('Xorshift'!$C$5:$C$24)-1)/25</f>
      </c>
      <c r="D150" s="5" t="str">
        <f>(B150-C150)^2</f>
      </c>
    </row>
    <row r="151">
      <c r="A151" s="6">
        <v>7</v>
      </c>
      <c r="B151" s="6" t="str">
        <f>COUNTIFS($F$123:$F$141,7)</f>
      </c>
      <c r="C151" s="6" t="str">
        <f>(COUNT('Xorshift'!$C$5:$C$24)-1)/25</f>
      </c>
      <c r="D151" s="6" t="str">
        <f>(B151-C151)^2</f>
      </c>
    </row>
    <row r="152">
      <c r="A152" s="5">
        <v>8</v>
      </c>
      <c r="B152" s="5" t="str">
        <f>COUNTIFS($F$123:$F$141,8)</f>
      </c>
      <c r="C152" s="5" t="str">
        <f>(COUNT('Xorshift'!$C$5:$C$24)-1)/25</f>
      </c>
      <c r="D152" s="5" t="str">
        <f>(B152-C152)^2</f>
      </c>
    </row>
    <row r="153">
      <c r="A153" s="6">
        <v>9</v>
      </c>
      <c r="B153" s="6" t="str">
        <f>COUNTIFS($F$123:$F$141,9)</f>
      </c>
      <c r="C153" s="6" t="str">
        <f>(COUNT('Xorshift'!$C$5:$C$24)-1)/25</f>
      </c>
      <c r="D153" s="6" t="str">
        <f>(B153-C153)^2</f>
      </c>
    </row>
    <row r="154">
      <c r="A154" s="5">
        <v>10</v>
      </c>
      <c r="B154" s="5" t="str">
        <f>COUNTIFS($F$123:$F$141,10)</f>
      </c>
      <c r="C154" s="5" t="str">
        <f>(COUNT('Xorshift'!$C$5:$C$24)-1)/25</f>
      </c>
      <c r="D154" s="5" t="str">
        <f>(B154-C154)^2</f>
      </c>
    </row>
    <row r="155">
      <c r="A155" s="6">
        <v>11</v>
      </c>
      <c r="B155" s="6" t="str">
        <f>COUNTIFS($F$123:$F$141,11)</f>
      </c>
      <c r="C155" s="6" t="str">
        <f>(COUNT('Xorshift'!$C$5:$C$24)-1)/25</f>
      </c>
      <c r="D155" s="6" t="str">
        <f>(B155-C155)^2</f>
      </c>
    </row>
    <row r="156">
      <c r="A156" s="5">
        <v>12</v>
      </c>
      <c r="B156" s="5" t="str">
        <f>COUNTIFS($F$123:$F$141,12)</f>
      </c>
      <c r="C156" s="5" t="str">
        <f>(COUNT('Xorshift'!$C$5:$C$24)-1)/25</f>
      </c>
      <c r="D156" s="5" t="str">
        <f>(B156-C156)^2</f>
      </c>
    </row>
    <row r="157">
      <c r="A157" s="6">
        <v>13</v>
      </c>
      <c r="B157" s="6" t="str">
        <f>COUNTIFS($F$123:$F$141,13)</f>
      </c>
      <c r="C157" s="6" t="str">
        <f>(COUNT('Xorshift'!$C$5:$C$24)-1)/25</f>
      </c>
      <c r="D157" s="6" t="str">
        <f>(B157-C157)^2</f>
      </c>
    </row>
    <row r="158">
      <c r="A158" s="5">
        <v>14</v>
      </c>
      <c r="B158" s="5" t="str">
        <f>COUNTIFS($F$123:$F$141,14)</f>
      </c>
      <c r="C158" s="5" t="str">
        <f>(COUNT('Xorshift'!$C$5:$C$24)-1)/25</f>
      </c>
      <c r="D158" s="5" t="str">
        <f>(B158-C158)^2</f>
      </c>
    </row>
    <row r="159">
      <c r="A159" s="6">
        <v>15</v>
      </c>
      <c r="B159" s="6" t="str">
        <f>COUNTIFS($F$123:$F$141,15)</f>
      </c>
      <c r="C159" s="6" t="str">
        <f>(COUNT('Xorshift'!$C$5:$C$24)-1)/25</f>
      </c>
      <c r="D159" s="6" t="str">
        <f>(B159-C159)^2</f>
      </c>
    </row>
    <row r="160">
      <c r="A160" s="5">
        <v>16</v>
      </c>
      <c r="B160" s="5" t="str">
        <f>COUNTIFS($F$123:$F$141,16)</f>
      </c>
      <c r="C160" s="5" t="str">
        <f>(COUNT('Xorshift'!$C$5:$C$24)-1)/25</f>
      </c>
      <c r="D160" s="5" t="str">
        <f>(B160-C160)^2</f>
      </c>
    </row>
    <row r="161">
      <c r="A161" s="6">
        <v>17</v>
      </c>
      <c r="B161" s="6" t="str">
        <f>COUNTIFS($F$123:$F$141,17)</f>
      </c>
      <c r="C161" s="6" t="str">
        <f>(COUNT('Xorshift'!$C$5:$C$24)-1)/25</f>
      </c>
      <c r="D161" s="6" t="str">
        <f>(B161-C161)^2</f>
      </c>
    </row>
    <row r="162">
      <c r="A162" s="5">
        <v>18</v>
      </c>
      <c r="B162" s="5" t="str">
        <f>COUNTIFS($F$123:$F$141,18)</f>
      </c>
      <c r="C162" s="5" t="str">
        <f>(COUNT('Xorshift'!$C$5:$C$24)-1)/25</f>
      </c>
      <c r="D162" s="5" t="str">
        <f>(B162-C162)^2</f>
      </c>
    </row>
    <row r="163">
      <c r="A163" s="6">
        <v>19</v>
      </c>
      <c r="B163" s="6" t="str">
        <f>COUNTIFS($F$123:$F$141,19)</f>
      </c>
      <c r="C163" s="6" t="str">
        <f>(COUNT('Xorshift'!$C$5:$C$24)-1)/25</f>
      </c>
      <c r="D163" s="6" t="str">
        <f>(B163-C163)^2</f>
      </c>
    </row>
    <row r="164">
      <c r="A164" s="5">
        <v>20</v>
      </c>
      <c r="B164" s="5" t="str">
        <f>COUNTIFS($F$123:$F$141,20)</f>
      </c>
      <c r="C164" s="5" t="str">
        <f>(COUNT('Xorshift'!$C$5:$C$24)-1)/25</f>
      </c>
      <c r="D164" s="5" t="str">
        <f>(B164-C164)^2</f>
      </c>
    </row>
    <row r="165">
      <c r="A165" s="6">
        <v>21</v>
      </c>
      <c r="B165" s="6" t="str">
        <f>COUNTIFS($F$123:$F$141,21)</f>
      </c>
      <c r="C165" s="6" t="str">
        <f>(COUNT('Xorshift'!$C$5:$C$24)-1)/25</f>
      </c>
      <c r="D165" s="6" t="str">
        <f>(B165-C165)^2</f>
      </c>
    </row>
    <row r="166">
      <c r="A166" s="5">
        <v>22</v>
      </c>
      <c r="B166" s="5" t="str">
        <f>COUNTIFS($F$123:$F$141,22)</f>
      </c>
      <c r="C166" s="5" t="str">
        <f>(COUNT('Xorshift'!$C$5:$C$24)-1)/25</f>
      </c>
      <c r="D166" s="5" t="str">
        <f>(B166-C166)^2</f>
      </c>
    </row>
    <row r="167">
      <c r="A167" s="6">
        <v>23</v>
      </c>
      <c r="B167" s="6" t="str">
        <f>COUNTIFS($F$123:$F$141,23)</f>
      </c>
      <c r="C167" s="6" t="str">
        <f>(COUNT('Xorshift'!$C$5:$C$24)-1)/25</f>
      </c>
      <c r="D167" s="6" t="str">
        <f>(B167-C167)^2</f>
      </c>
    </row>
    <row r="168">
      <c r="A168" s="5">
        <v>24</v>
      </c>
      <c r="B168" s="5" t="str">
        <f>COUNTIFS($F$123:$F$141,24)</f>
      </c>
      <c r="C168" s="5" t="str">
        <f>(COUNT('Xorshift'!$C$5:$C$24)-1)/25</f>
      </c>
      <c r="D168" s="5" t="str">
        <f>(B168-C168)^2</f>
      </c>
    </row>
    <row r="170">
      <c r="A170" t="s">
        <v>61</v>
      </c>
      <c r="B170" t="str">
        <f>(COUNT('Xorshift'!$C$5:$C$24)-1)</f>
      </c>
    </row>
    <row r="171">
      <c r="A171" t="s">
        <v>62</v>
      </c>
      <c r="B171" t="str">
        <f>(25/MAX(B170,1))*SUM($D$144:$D$168)</f>
      </c>
    </row>
  </sheetData>
  <mergeCells count="9">
    <mergeCell ref="A1:H1"/>
    <mergeCell ref="A2:H2"/>
    <mergeCell ref="A4:H4"/>
    <mergeCell ref="A28:H28"/>
    <mergeCell ref="A34:H34"/>
    <mergeCell ref="A47:H47"/>
    <mergeCell ref="A70:H70"/>
    <mergeCell ref="A87:H87"/>
    <mergeCell ref="A121:H12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