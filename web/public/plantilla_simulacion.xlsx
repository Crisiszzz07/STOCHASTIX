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eal Mixto" sheetId="1" r:id="rId1"/>
    <sheet name="Auxiliares" sheetId="2" r:id="rId4"/>
  </sheets>
  <calcPr calcId="122211"/>
</workbook>
</file>

<file path=xl/sharedStrings.xml><?xml version="1.0" encoding="utf-8"?>
<sst xmlns="http://schemas.openxmlformats.org/spreadsheetml/2006/main" count="83" uniqueCount="83">
  <si>
    <t>🧮  Auxiliares — Trazabilidad de Fórmulas</t>
  </si>
  <si>
    <t>Cada celda de esta hoja es una fórmula real. El panel de auditoría de "Lineal Mixto" referencia estos cálculos, así que todo se recalcula si cambian los parámetros.</t>
  </si>
  <si>
    <t>📐  Prueba de Promedios — Z_0</t>
  </si>
  <si>
    <t>Cantidad</t>
  </si>
  <si>
    <t>Valor</t>
  </si>
  <si>
    <t>Media (R̄) = AVERAGE(R_i)</t>
  </si>
  <si>
    <t>N = COUNT(R_i)</t>
  </si>
  <si>
    <t>Z_0 = (R̄-0.5)·√N / √(1/12)  [sin valor absoluto]</t>
  </si>
  <si>
    <t>📊  Prueba de Frecuencias / Entropía — Tabla de 10 clases</t>
  </si>
  <si>
    <t>Clase (k)</t>
  </si>
  <si>
    <t>Límite inf.</t>
  </si>
  <si>
    <t>Límite sup.</t>
  </si>
  <si>
    <t>Oi (observado)</t>
  </si>
  <si>
    <t>Ei (esperado)</t>
  </si>
  <si>
    <t>(Oi-Ei)²/Ei</t>
  </si>
  <si>
    <t>pi = Oi/N</t>
  </si>
  <si>
    <t>Aporte entropía -piㆍlog2(pi)</t>
  </si>
  <si>
    <t>📈  Kolmogorov-Smirnov — R_i ordenados ascendentemente</t>
  </si>
  <si>
    <t>k</t>
  </si>
  <si>
    <t>R(k) [k-ésimo menor]</t>
  </si>
  <si>
    <t>k/N</t>
  </si>
  <si>
    <t>|k/N - R(k)|</t>
  </si>
  <si>
    <t>🎯  Monte Carlo para Pi — Pares (R_2j-1, R_2j)</t>
  </si>
  <si>
    <t>Par (j)</t>
  </si>
  <si>
    <t>X = R(2j-1)</t>
  </si>
  <si>
    <t>Y = R(2j)</t>
  </si>
  <si>
    <t>X²+Y²</t>
  </si>
  <si>
    <t>¿Dentro del círculo? (1/0)</t>
  </si>
  <si>
    <t>Pares totales</t>
  </si>
  <si>
    <t>Aciertos (dentro del círculo)</t>
  </si>
  <si>
    <t>π estimado = 4 × Aciertos / Pares</t>
  </si>
  <si>
    <t>Error = |π estimado - π|  (0 si no hay pares)</t>
  </si>
  <si>
    <t>📏  Distancia (Coss Bu) — Longitud de racha entre aciertos en [α, β]</t>
  </si>
  <si>
    <t>α (constante del método)</t>
  </si>
  <si>
    <t>β (constante del método)</t>
  </si>
  <si>
    <t>θ = β - α</t>
  </si>
  <si>
    <t>i</t>
  </si>
  <si>
    <t>r_i</t>
  </si>
  <si>
    <t>¿En [α, β]? (1/0)</t>
  </si>
  <si>
    <t>Racha activa (acumulado)</t>
  </si>
  <si>
    <t>Contador de racha</t>
  </si>
  <si>
    <t>Racha registrada (bucket)</t>
  </si>
  <si>
    <t/>
  </si>
  <si>
    <t>Bucket (long. de racha)</t>
  </si>
  <si>
    <t>Probabilidad teórica</t>
  </si>
  <si>
    <t>Ei = ΣOi × p</t>
  </si>
  <si>
    <t>≥3</t>
  </si>
  <si>
    <t>🔳  Series (Coss Bu) — Pares consecutivos solapados en cuadrícula 5×5</t>
  </si>
  <si>
    <t>X = r_i</t>
  </si>
  <si>
    <t>Y = r_(i+1)</t>
  </si>
  <si>
    <t>BinX (0-4)</t>
  </si>
  <si>
    <t>BinY (0-4)</t>
  </si>
  <si>
    <t>Bin combinado (0-24)</t>
  </si>
  <si>
    <t>Bin (0-24)</t>
  </si>
  <si>
    <t>Ei = (N-1)/25</t>
  </si>
  <si>
    <t>(Oi-Ei)²</t>
  </si>
  <si>
    <t>Pares de la serie = N - 1</t>
  </si>
  <si>
    <t>Chi-cuadrada Series = (25/Pares) × Σ(Oi-Ei)²  (Pares se protege con MAX(·,1); Σ ya es 0 sin pares)</t>
  </si>
  <si>
    <t>📊  SIMULACIÓN — Lineal Mixto</t>
  </si>
  <si>
    <t>Motor de Validación Multiteoría  •  Exportado automáticamente</t>
  </si>
  <si>
    <t>X_i</t>
  </si>
  <si>
    <t>R_i</t>
  </si>
  <si>
    <t>Estado</t>
  </si>
  <si>
    <t>⚙️  Parámetros</t>
  </si>
  <si>
    <t>🛡️ AUDITORÍA ESTADÍSTICA</t>
  </si>
  <si>
    <t>Prueba</t>
  </si>
  <si>
    <t>Estadístico</t>
  </si>
  <si>
    <t>Valor Crítico</t>
  </si>
  <si>
    <t>Semilla (X0)</t>
  </si>
  <si>
    <t>a</t>
  </si>
  <si>
    <t>c</t>
  </si>
  <si>
    <t>m</t>
  </si>
  <si>
    <t>N</t>
  </si>
  <si>
    <t>Promedios (Z_0)</t>
  </si>
  <si>
    <t>Frecuencias (Chi-cuadrada)</t>
  </si>
  <si>
    <t>Kolmogorov-Smirnov (D_n)</t>
  </si>
  <si>
    <t>Entropía de Shannon (Bits)</t>
  </si>
  <si>
    <t>Monte Carlo para Pi (Error Absoluto)</t>
  </si>
  <si>
    <t>Distancia (Coss Bu)</t>
  </si>
  <si>
    <t>Series (Coss Bu)</t>
  </si>
  <si>
    <t>✓</t>
  </si>
  <si>
    <t>Total generados:</t>
  </si>
  <si>
    <t>Ciclos detectados: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</si>
</sst>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Calibri"/>
      <family val="2"/>
    </font>
    <font>
      <b val="1"/>
      <sz val="14"/>
      <color rgb="FFFFFFFF"/>
      <name val="Calibri"/>
      <family val="2"/>
    </font>
    <font>
      <i val="1"/>
      <sz val="10"/>
      <color rgb="FF5B21B6"/>
      <name val="Calibri"/>
      <family val="2"/>
    </font>
    <font>
      <b val="1"/>
      <sz val="11"/>
      <color rgb="FFFFFFFF"/>
      <name val="Calibri"/>
      <family val="2"/>
    </font>
    <font>
      <b val="1"/>
      <sz val="9"/>
      <color rgb="FFFFFFFF"/>
      <name val="Calibri"/>
      <family val="2"/>
    </font>
    <font>
      <sz val="9"/>
      <color/>
      <name val="Calibri"/>
      <family val="2"/>
    </font>
    <font>
      <b val="1"/>
      <sz val="9"/>
      <color rgb="FF3B0764"/>
      <name val="Calibri"/>
      <family val="2"/>
    </font>
    <font>
      <i val="1"/>
      <sz val="10"/>
      <color rgb="FFA78BFA"/>
      <name val="Calibri"/>
      <family val="2"/>
    </font>
    <font>
      <sz val="10"/>
      <color/>
      <name val="Calibri"/>
      <family val="2"/>
    </font>
    <font>
      <b val="1"/>
      <sz val="10"/>
      <color rgb="FF92400E"/>
      <name val="Calibri"/>
      <family val="2"/>
    </font>
    <font>
      <b val="1"/>
      <sz val="11"/>
      <color rgb="FF5B21B6"/>
      <name val="Calibri"/>
      <family val="2"/>
    </font>
    <font>
      <b val="1"/>
      <sz val="10"/>
      <color rgb="FF3B0764"/>
      <name val="Calibri"/>
      <family val="2"/>
    </font>
    <font>
      <b val="1"/>
      <sz val="10"/>
      <color rgb="FF111827"/>
      <name val="Calibri"/>
      <family val="2"/>
    </font>
  </fonts>
  <fills count="9">
    <fill>
      <patternFill patternType="none"/>
    </fill>
    <fill>
      <patternFill patternType="gray125"/>
    </fill>
    <fill>
      <patternFill patternType="solid">
        <fgColor rgb="FF2E1065"/>
      </patternFill>
    </fill>
    <fill>
      <patternFill patternType="solid">
        <fgColor rgb="FF7C3AED"/>
      </patternFill>
    </fill>
    <fill>
      <patternFill patternType="solid">
        <fgColor rgb="FF0F172A"/>
      </patternFill>
    </fill>
    <fill>
      <patternFill patternType="solid">
        <fgColor rgb="FFFAF5FF"/>
      </patternFill>
    </fill>
    <fill>
      <patternFill patternType="solid">
        <fgColor rgb="FFF3F4F6"/>
      </patternFill>
    </fill>
    <fill>
      <patternFill patternType="solid">
        <fgColor rgb="FFFEF9C3"/>
      </patternFill>
    </fill>
    <fill>
      <patternFill patternType="solid">
        <fgColor rgb="FFEDE9FE"/>
      </patternFill>
    </fill>
  </fills>
  <borders count="2">
    <border>
      <left/>
      <right/>
      <top/>
      <bottom/>
      <diagonal/>
    </border>
    <border>
      <left style="thin">
        <color rgb="FFC4B5FD"/>
      </left>
      <right style="thin">
        <color rgb="FFC4B5FD"/>
      </right>
      <top style="thin">
        <color rgb="FFC4B5FD"/>
      </top>
      <bottom style="thin">
        <color rgb="FFC4B5FD"/>
      </bottom>
      <diagonal/>
    </border>
  </borders>
  <cellStyleXfs count="1">
    <xf numFmtId="0" fontId="0" fillId="0" borderId="0"/>
  </cellStyleXfs>
  <cellXfs count="18">
    <xf numFmtId="0" fontId="0" fillId="0" borderId="0" xfId="0"/>
    <xf numFmtId="0" fontId="1" fillId="2" borderId="0" xfId="0" applyFont="true" applyFill="true" applyAlignment="true">
      <alignment horizontal="left" indent="1" vertical="center"/>
    </xf>
    <xf numFmtId="0" fontId="2" fillId="0" borderId="0" xfId="0" applyFont="true" applyAlignment="true">
      <alignment horizontal="left" indent="1" vertical="center" wrapText="true"/>
    </xf>
    <xf numFmtId="0" fontId="3" fillId="3" borderId="0" xfId="0" applyFont="true" applyFill="true" applyAlignment="true">
      <alignment horizontal="left" indent="1" vertical="center"/>
    </xf>
    <xf numFmtId="0" fontId="4" fillId="4" borderId="1" xfId="0" applyFont="true" applyFill="true" applyBorder="true" applyAlignment="true">
      <alignment horizontal="center" vertical="center" wrapText="true"/>
    </xf>
    <xf numFmtId="0" fontId="5" fillId="0" borderId="1" xfId="0" applyFont="true" applyBorder="true" applyAlignment="true">
      <alignment horizontal="center" vertical="center"/>
    </xf>
    <xf numFmtId="0" fontId="5" fillId="5" borderId="1" xfId="0" applyFont="true" applyFill="true" applyBorder="true" applyAlignment="true">
      <alignment horizontal="center" vertical="center"/>
    </xf>
    <xf numFmtId="0" fontId="6" fillId="6" borderId="1" xfId="0" applyFont="true" applyFill="true" applyBorder="true" applyAlignment="true">
      <alignment horizontal="center" vertical="center"/>
    </xf>
    <xf numFmtId="0" fontId="1" fillId="2" borderId="0" xfId="0" applyFont="true" applyFill="true" applyAlignment="true">
      <alignment horizontal="center" vertical="center"/>
    </xf>
    <xf numFmtId="0" fontId="7" fillId="2" borderId="0" xfId="0" applyFont="true" applyFill="true" applyAlignment="true">
      <alignment horizontal="center" vertical="center"/>
    </xf>
    <xf numFmtId="0" fontId="3" fillId="3" borderId="1" xfId="0" applyFont="true" applyFill="true" applyBorder="true" applyAlignment="true">
      <alignment horizontal="center" vertical="center"/>
    </xf>
    <xf numFmtId="0" fontId="8" fillId="0" borderId="1" xfId="0" applyFont="true" applyBorder="true" applyAlignment="true">
      <alignment horizontal="center" vertical="center"/>
    </xf>
    <xf numFmtId="0" fontId="8" fillId="5" borderId="1" xfId="0" applyFont="true" applyFill="true" applyBorder="true" applyAlignment="true">
      <alignment horizontal="center" vertical="center"/>
    </xf>
    <xf numFmtId="0" fontId="9" fillId="7" borderId="1" xfId="0" applyFont="true" applyFill="true" applyBorder="true" applyAlignment="true">
      <alignment horizontal="center" vertical="center"/>
    </xf>
    <xf numFmtId="0" fontId="10" fillId="8" borderId="1" xfId="0" applyFont="true" applyFill="true" applyBorder="true" applyAlignment="true">
      <alignment horizontal="center" vertical="center"/>
    </xf>
    <xf numFmtId="0" fontId="11" fillId="0" borderId="1" xfId="0" applyFont="true" applyBorder="true" applyAlignment="true">
      <alignment horizontal="left" vertical="center"/>
    </xf>
    <xf numFmtId="0" fontId="12" fillId="6" borderId="1" xfId="0" applyFont="true" applyFill="true" applyBorder="true" applyAlignment="true">
      <alignment horizontal="center" vertical="center"/>
    </xf>
    <xf numFmtId="0" fontId="3" fillId="4" borderId="1" xfId="0" applyFont="true" applyFill="true" applyBorder="true" applyAlignment="true">
      <alignment horizontal="center" vertical="center"/>
    </xf>
  </cellXfs>
  <cellStyles count="1">
    <cellStyle name="Normal" xfId="0" builtinId="0"/>
  </cellStyles>
  <dxfs count="2">
    <dxf>
      <font>
        <b val="1"/>
        <sz val="11"/>
        <color rgb="FF15803D"/>
        <name val="Calibri"/>
        <family val="2"/>
      </font>
      <fill>
        <patternFill patternType="solid">
          <bgColor rgb="FFDCFCE7"/>
        </patternFill>
      </fill>
    </dxf>
    <dxf>
      <font>
        <b val="1"/>
        <sz val="11"/>
        <color rgb="FFB91C1C"/>
        <name val="Calibri"/>
        <family val="2"/>
      </font>
      <fill>
        <patternFill patternType="solid">
          <bgColor rgb="FFFEE2E2"/>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heetView>
  </sheetViews>
  <sheetFormatPr defaultRowHeight="15"/>
  <cols>
    <col customWidth="true" max="1" min="1" width="10"/>
    <col customWidth="true" max="2" min="2" width="18"/>
    <col customWidth="true" max="3" min="3" width="22"/>
    <col customWidth="true" max="4" min="4" width="18"/>
    <col customWidth="true" max="5" min="5" width="3"/>
    <col customWidth="true" max="6" min="6" width="22"/>
    <col customWidth="true" max="7" min="7" width="18"/>
    <col customWidth="true" max="8" min="8" width="30"/>
    <col customWidth="true" max="10" min="9" width="15"/>
    <col customWidth="true" max="11" min="11" width="20"/>
  </cols>
  <sheetData>
    <row r="1" ht="36" customHeight="true">
      <c r="A1" s="8" t="s">
        <v>58</v>
      </c>
      <c r="B1" s="8"/>
      <c r="C1" s="8"/>
      <c r="D1" s="8"/>
      <c r="E1" s="8"/>
      <c r="F1" s="8"/>
      <c r="G1" s="8"/>
      <c r="H1" s="8"/>
      <c r="I1" s="8"/>
      <c r="J1" s="8"/>
      <c r="K1" s="8"/>
    </row>
    <row r="2" ht="22" customHeight="true">
      <c r="A2" s="9" t="s">
        <v>59</v>
      </c>
      <c r="B2" s="9"/>
      <c r="C2" s="9"/>
      <c r="D2" s="9"/>
      <c r="E2" s="9"/>
      <c r="F2" s="9"/>
      <c r="G2" s="9"/>
      <c r="H2" s="9"/>
      <c r="I2" s="9"/>
      <c r="J2" s="9"/>
      <c r="K2" s="9"/>
    </row>
    <row r="3" ht="8" customHeight="true"/>
    <row r="4">
      <c r="A4" s="10" t="s">
        <v>36</v>
      </c>
      <c r="B4" s="10" t="s">
        <v>60</v>
      </c>
      <c r="C4" s="10" t="s">
        <v>61</v>
      </c>
      <c r="D4" s="10" t="s">
        <v>62</v>
      </c>
      <c r="F4" s="14" t="s">
        <v>63</v>
      </c>
      <c r="G4" s="14"/>
      <c r="H4" s="14" t="s">
        <v>64</v>
      </c>
      <c r="I4" s="14"/>
      <c r="J4" s="14"/>
      <c r="K4" s="14"/>
    </row>
    <row r="5">
      <c r="A5" s="11">
        <v>1</v>
      </c>
      <c r="B5" s="11" t="str">
        <f>MOD($G$6*$G$5 + $G$7, $G$8)</f>
      </c>
      <c r="C5" s="11" t="str">
        <f>B5/$G$8</f>
      </c>
      <c r="D5" s="11" t="s">
        <v>80</v>
      </c>
      <c r="F5" s="15" t="s">
        <v>68</v>
      </c>
      <c r="G5" s="16">
        <v>4</v>
      </c>
      <c r="H5" s="17" t="s">
        <v>65</v>
      </c>
      <c r="I5" s="17" t="s">
        <v>66</v>
      </c>
      <c r="J5" s="17" t="s">
        <v>67</v>
      </c>
      <c r="K5" s="17" t="s">
        <v>62</v>
      </c>
    </row>
    <row r="6">
      <c r="A6" s="12">
        <v>2</v>
      </c>
      <c r="B6" s="12" t="str">
        <f>MOD($G$6*B5 + $G$7, $G$8)</f>
      </c>
      <c r="C6" s="12" t="str">
        <f>B6/$G$8</f>
      </c>
      <c r="D6" s="12" t="s">
        <v>80</v>
      </c>
      <c r="F6" s="15" t="s">
        <v>69</v>
      </c>
      <c r="G6" s="16">
        <v>21</v>
      </c>
      <c r="H6" s="11" t="s">
        <v>73</v>
      </c>
      <c r="I6" s="11" t="str">
        <f>ABS('Auxiliares'!$B$8)</f>
      </c>
      <c r="J6" s="11">
        <v>1.96</v>
      </c>
      <c r="K6" s="11" t="str">
        <f>IF(I6&lt;J6,"✅ APROBADO","❌ RECHAZADO")</f>
      </c>
    </row>
    <row r="7">
      <c r="A7" s="11">
        <v>3</v>
      </c>
      <c r="B7" s="11" t="str">
        <f>MOD($G$6*B6 + $G$7, $G$8)</f>
      </c>
      <c r="C7" s="11" t="str">
        <f>B7/$G$8</f>
      </c>
      <c r="D7" s="11" t="s">
        <v>80</v>
      </c>
      <c r="F7" s="15" t="s">
        <v>70</v>
      </c>
      <c r="G7" s="16">
        <v>7</v>
      </c>
      <c r="H7" s="11" t="s">
        <v>74</v>
      </c>
      <c r="I7" s="11" t="str">
        <f>SUM('Auxiliares'!$F$12:$F$21)</f>
      </c>
      <c r="J7" s="11">
        <v>16.919</v>
      </c>
      <c r="K7" s="11" t="str">
        <f>IF(I7&lt;J7,"✅ APROBADO","❌ RECHAZADO")</f>
      </c>
    </row>
    <row r="8">
      <c r="A8" s="12">
        <v>4</v>
      </c>
      <c r="B8" s="12" t="str">
        <f>MOD($G$6*B7 + $G$7, $G$8)</f>
      </c>
      <c r="C8" s="12" t="str">
        <f>B8/$G$8</f>
      </c>
      <c r="D8" s="12" t="s">
        <v>80</v>
      </c>
      <c r="F8" s="15" t="s">
        <v>71</v>
      </c>
      <c r="G8" s="16">
        <v>2000</v>
      </c>
      <c r="H8" s="11" t="s">
        <v>75</v>
      </c>
      <c r="I8" s="11" t="str">
        <f>MAX('Auxiliares'!$D$25:$D$2024)</f>
      </c>
      <c r="J8" s="11" t="str">
        <f>1.36/SQRT(COUNT($C$5:$C$2004))</f>
      </c>
      <c r="K8" s="11" t="str">
        <f>IF(I8&lt;J8,"✅ APROBADO","❌ RECHAZADO")</f>
      </c>
    </row>
    <row r="9">
      <c r="A9" s="11">
        <v>5</v>
      </c>
      <c r="B9" s="11" t="str">
        <f>MOD($G$6*B8 + $G$7, $G$8)</f>
      </c>
      <c r="C9" s="11" t="str">
        <f>B9/$G$8</f>
      </c>
      <c r="D9" s="11" t="s">
        <v>80</v>
      </c>
      <c r="F9" s="15" t="s">
        <v>72</v>
      </c>
      <c r="G9" s="16">
        <v>2000</v>
      </c>
      <c r="H9" s="11" t="s">
        <v>76</v>
      </c>
      <c r="I9" s="11" t="str">
        <f>SUM('Auxiliares'!$H$12:$H$21)</f>
      </c>
      <c r="J9" s="11">
        <v>3.2</v>
      </c>
      <c r="K9" s="11" t="str">
        <f>IF(I9&gt;J9,"✅ APROBADO","❌ RECHAZADO")</f>
      </c>
    </row>
    <row r="10">
      <c r="A10" s="12">
        <v>6</v>
      </c>
      <c r="B10" s="12" t="str">
        <f>MOD($G$6*B9 + $G$7, $G$8)</f>
      </c>
      <c r="C10" s="12" t="str">
        <f>B10/$G$8</f>
      </c>
      <c r="D10" s="12" t="s">
        <v>80</v>
      </c>
      <c r="H10" s="11" t="s">
        <v>77</v>
      </c>
      <c r="I10" s="11" t="str">
        <f>'Auxiliares'!$B$3031</f>
      </c>
      <c r="J10" s="11">
        <v>0.15</v>
      </c>
      <c r="K10" s="11" t="str">
        <f>IF(I10&lt;J10,"✅ APROBADO","❌ RECHAZADO")</f>
      </c>
    </row>
    <row r="11">
      <c r="A11" s="11">
        <v>7</v>
      </c>
      <c r="B11" s="11" t="str">
        <f>MOD($G$6*B10 + $G$7, $G$8)</f>
      </c>
      <c r="C11" s="11" t="str">
        <f>B11/$G$8</f>
      </c>
      <c r="D11" s="11" t="s">
        <v>80</v>
      </c>
      <c r="H11" s="11" t="s">
        <v>78</v>
      </c>
      <c r="I11" s="11" t="str">
        <f>SUM('Auxiliares'!$E$5041:$E$5044)</f>
      </c>
      <c r="J11" s="11">
        <v>7.81</v>
      </c>
      <c r="K11" s="11" t="str">
        <f>IF(I11&lt;J11,"✅ APROBADO","❌ RECHAZADO")</f>
      </c>
    </row>
    <row r="12">
      <c r="A12" s="12">
        <v>8</v>
      </c>
      <c r="B12" s="12" t="str">
        <f>MOD($G$6*B11 + $G$7, $G$8)</f>
      </c>
      <c r="C12" s="12" t="str">
        <f>B12/$G$8</f>
      </c>
      <c r="D12" s="12" t="s">
        <v>80</v>
      </c>
      <c r="H12" s="11" t="s">
        <v>79</v>
      </c>
      <c r="I12" s="11" t="str">
        <f>'Auxiliares'!$B$7077</f>
      </c>
      <c r="J12" s="11">
        <v>36.41</v>
      </c>
      <c r="K12" s="11" t="str">
        <f>IF(I12&lt;J12,"✅ APROBADO","❌ RECHAZADO")</f>
      </c>
    </row>
    <row r="13">
      <c r="A13" s="11">
        <v>9</v>
      </c>
      <c r="B13" s="11" t="str">
        <f>MOD($G$6*B12 + $G$7, $G$8)</f>
      </c>
      <c r="C13" s="11" t="str">
        <f>B13/$G$8</f>
      </c>
      <c r="D13" s="11" t="s">
        <v>80</v>
      </c>
    </row>
    <row r="14">
      <c r="A14" s="12">
        <v>10</v>
      </c>
      <c r="B14" s="12" t="str">
        <f>MOD($G$6*B13 + $G$7, $G$8)</f>
      </c>
      <c r="C14" s="12" t="str">
        <f>B14/$G$8</f>
      </c>
      <c r="D14" s="12" t="s">
        <v>80</v>
      </c>
    </row>
    <row r="15">
      <c r="A15" s="11">
        <v>11</v>
      </c>
      <c r="B15" s="11" t="str">
        <f>MOD($G$6*B14 + $G$7, $G$8)</f>
      </c>
      <c r="C15" s="11" t="str">
        <f>B15/$G$8</f>
      </c>
      <c r="D15" s="11" t="s">
        <v>80</v>
      </c>
    </row>
    <row r="16">
      <c r="A16" s="12">
        <v>12</v>
      </c>
      <c r="B16" s="12" t="str">
        <f>MOD($G$6*B15 + $G$7, $G$8)</f>
      </c>
      <c r="C16" s="12" t="str">
        <f>B16/$G$8</f>
      </c>
      <c r="D16" s="12" t="s">
        <v>80</v>
      </c>
    </row>
    <row r="17">
      <c r="A17" s="11">
        <v>13</v>
      </c>
      <c r="B17" s="11" t="str">
        <f>MOD($G$6*B16 + $G$7, $G$8)</f>
      </c>
      <c r="C17" s="11" t="str">
        <f>B17/$G$8</f>
      </c>
      <c r="D17" s="11" t="s">
        <v>80</v>
      </c>
    </row>
    <row r="18">
      <c r="A18" s="12">
        <v>14</v>
      </c>
      <c r="B18" s="12" t="str">
        <f>MOD($G$6*B17 + $G$7, $G$8)</f>
      </c>
      <c r="C18" s="12" t="str">
        <f>B18/$G$8</f>
      </c>
      <c r="D18" s="12" t="s">
        <v>80</v>
      </c>
    </row>
    <row r="19">
      <c r="A19" s="11">
        <v>15</v>
      </c>
      <c r="B19" s="11" t="str">
        <f>MOD($G$6*B18 + $G$7, $G$8)</f>
      </c>
      <c r="C19" s="11" t="str">
        <f>B19/$G$8</f>
      </c>
      <c r="D19" s="11" t="s">
        <v>80</v>
      </c>
    </row>
    <row r="20">
      <c r="A20" s="12">
        <v>16</v>
      </c>
      <c r="B20" s="12" t="str">
        <f>MOD($G$6*B19 + $G$7, $G$8)</f>
      </c>
      <c r="C20" s="12" t="str">
        <f>B20/$G$8</f>
      </c>
      <c r="D20" s="12" t="s">
        <v>80</v>
      </c>
    </row>
    <row r="21">
      <c r="A21" s="11">
        <v>17</v>
      </c>
      <c r="B21" s="11" t="str">
        <f>MOD($G$6*B20 + $G$7, $G$8)</f>
      </c>
      <c r="C21" s="11" t="str">
        <f>B21/$G$8</f>
      </c>
      <c r="D21" s="11" t="s">
        <v>80</v>
      </c>
    </row>
    <row r="22">
      <c r="A22" s="12">
        <v>18</v>
      </c>
      <c r="B22" s="12" t="str">
        <f>MOD($G$6*B21 + $G$7, $G$8)</f>
      </c>
      <c r="C22" s="12" t="str">
        <f>B22/$G$8</f>
      </c>
      <c r="D22" s="12" t="s">
        <v>80</v>
      </c>
    </row>
    <row r="23">
      <c r="A23" s="11">
        <v>19</v>
      </c>
      <c r="B23" s="11" t="str">
        <f>MOD($G$6*B22 + $G$7, $G$8)</f>
      </c>
      <c r="C23" s="11" t="str">
        <f>B23/$G$8</f>
      </c>
      <c r="D23" s="11" t="s">
        <v>80</v>
      </c>
    </row>
    <row r="24">
      <c r="A24" s="12">
        <v>20</v>
      </c>
      <c r="B24" s="12" t="str">
        <f>MOD($G$6*B23 + $G$7, $G$8)</f>
      </c>
      <c r="C24" s="12" t="str">
        <f>B24/$G$8</f>
      </c>
      <c r="D24" s="12" t="s">
        <v>80</v>
      </c>
    </row>
    <row r="25">
      <c r="A25" s="11">
        <v>21</v>
      </c>
      <c r="B25" s="11" t="str">
        <f>MOD($G$6*B24 + $G$7, $G$8)</f>
      </c>
      <c r="C25" s="11" t="str">
        <f>B25/$G$8</f>
      </c>
      <c r="D25" s="11" t="s">
        <v>80</v>
      </c>
    </row>
    <row r="26">
      <c r="A26" s="12">
        <v>22</v>
      </c>
      <c r="B26" s="12" t="str">
        <f>MOD($G$6*B25 + $G$7, $G$8)</f>
      </c>
      <c r="C26" s="12" t="str">
        <f>B26/$G$8</f>
      </c>
      <c r="D26" s="12" t="s">
        <v>80</v>
      </c>
    </row>
    <row r="27">
      <c r="A27" s="11">
        <v>23</v>
      </c>
      <c r="B27" s="11" t="str">
        <f>MOD($G$6*B26 + $G$7, $G$8)</f>
      </c>
      <c r="C27" s="11" t="str">
        <f>B27/$G$8</f>
      </c>
      <c r="D27" s="11" t="s">
        <v>80</v>
      </c>
    </row>
    <row r="28">
      <c r="A28" s="12">
        <v>24</v>
      </c>
      <c r="B28" s="12" t="str">
        <f>MOD($G$6*B27 + $G$7, $G$8)</f>
      </c>
      <c r="C28" s="12" t="str">
        <f>B28/$G$8</f>
      </c>
      <c r="D28" s="12" t="s">
        <v>80</v>
      </c>
    </row>
    <row r="29">
      <c r="A29" s="11">
        <v>25</v>
      </c>
      <c r="B29" s="11" t="str">
        <f>MOD($G$6*B28 + $G$7, $G$8)</f>
      </c>
      <c r="C29" s="11" t="str">
        <f>B29/$G$8</f>
      </c>
      <c r="D29" s="11" t="s">
        <v>80</v>
      </c>
    </row>
    <row r="30">
      <c r="A30" s="12">
        <v>26</v>
      </c>
      <c r="B30" s="12" t="str">
        <f>MOD($G$6*B29 + $G$7, $G$8)</f>
      </c>
      <c r="C30" s="12" t="str">
        <f>B30/$G$8</f>
      </c>
      <c r="D30" s="12" t="s">
        <v>80</v>
      </c>
    </row>
    <row r="31">
      <c r="A31" s="11">
        <v>27</v>
      </c>
      <c r="B31" s="11" t="str">
        <f>MOD($G$6*B30 + $G$7, $G$8)</f>
      </c>
      <c r="C31" s="11" t="str">
        <f>B31/$G$8</f>
      </c>
      <c r="D31" s="11" t="s">
        <v>80</v>
      </c>
    </row>
    <row r="32">
      <c r="A32" s="12">
        <v>28</v>
      </c>
      <c r="B32" s="12" t="str">
        <f>MOD($G$6*B31 + $G$7, $G$8)</f>
      </c>
      <c r="C32" s="12" t="str">
        <f>B32/$G$8</f>
      </c>
      <c r="D32" s="12" t="s">
        <v>80</v>
      </c>
    </row>
    <row r="33">
      <c r="A33" s="11">
        <v>29</v>
      </c>
      <c r="B33" s="11" t="str">
        <f>MOD($G$6*B32 + $G$7, $G$8)</f>
      </c>
      <c r="C33" s="11" t="str">
        <f>B33/$G$8</f>
      </c>
      <c r="D33" s="11" t="s">
        <v>80</v>
      </c>
    </row>
    <row r="34">
      <c r="A34" s="12">
        <v>30</v>
      </c>
      <c r="B34" s="12" t="str">
        <f>MOD($G$6*B33 + $G$7, $G$8)</f>
      </c>
      <c r="C34" s="12" t="str">
        <f>B34/$G$8</f>
      </c>
      <c r="D34" s="12" t="s">
        <v>80</v>
      </c>
    </row>
    <row r="35">
      <c r="A35" s="11">
        <v>31</v>
      </c>
      <c r="B35" s="11" t="str">
        <f>MOD($G$6*B34 + $G$7, $G$8)</f>
      </c>
      <c r="C35" s="11" t="str">
        <f>B35/$G$8</f>
      </c>
      <c r="D35" s="11" t="s">
        <v>80</v>
      </c>
    </row>
    <row r="36">
      <c r="A36" s="12">
        <v>32</v>
      </c>
      <c r="B36" s="12" t="str">
        <f>MOD($G$6*B35 + $G$7, $G$8)</f>
      </c>
      <c r="C36" s="12" t="str">
        <f>B36/$G$8</f>
      </c>
      <c r="D36" s="12" t="s">
        <v>80</v>
      </c>
    </row>
    <row r="37">
      <c r="A37" s="11">
        <v>33</v>
      </c>
      <c r="B37" s="11" t="str">
        <f>MOD($G$6*B36 + $G$7, $G$8)</f>
      </c>
      <c r="C37" s="11" t="str">
        <f>B37/$G$8</f>
      </c>
      <c r="D37" s="11" t="s">
        <v>80</v>
      </c>
    </row>
    <row r="38">
      <c r="A38" s="12">
        <v>34</v>
      </c>
      <c r="B38" s="12" t="str">
        <f>MOD($G$6*B37 + $G$7, $G$8)</f>
      </c>
      <c r="C38" s="12" t="str">
        <f>B38/$G$8</f>
      </c>
      <c r="D38" s="12" t="s">
        <v>80</v>
      </c>
    </row>
    <row r="39">
      <c r="A39" s="11">
        <v>35</v>
      </c>
      <c r="B39" s="11" t="str">
        <f>MOD($G$6*B38 + $G$7, $G$8)</f>
      </c>
      <c r="C39" s="11" t="str">
        <f>B39/$G$8</f>
      </c>
      <c r="D39" s="11" t="s">
        <v>80</v>
      </c>
    </row>
    <row r="40">
      <c r="A40" s="12">
        <v>36</v>
      </c>
      <c r="B40" s="12" t="str">
        <f>MOD($G$6*B39 + $G$7, $G$8)</f>
      </c>
      <c r="C40" s="12" t="str">
        <f>B40/$G$8</f>
      </c>
      <c r="D40" s="12" t="s">
        <v>80</v>
      </c>
    </row>
    <row r="41">
      <c r="A41" s="11">
        <v>37</v>
      </c>
      <c r="B41" s="11" t="str">
        <f>MOD($G$6*B40 + $G$7, $G$8)</f>
      </c>
      <c r="C41" s="11" t="str">
        <f>B41/$G$8</f>
      </c>
      <c r="D41" s="11" t="s">
        <v>80</v>
      </c>
    </row>
    <row r="42">
      <c r="A42" s="12">
        <v>38</v>
      </c>
      <c r="B42" s="12" t="str">
        <f>MOD($G$6*B41 + $G$7, $G$8)</f>
      </c>
      <c r="C42" s="12" t="str">
        <f>B42/$G$8</f>
      </c>
      <c r="D42" s="12" t="s">
        <v>80</v>
      </c>
    </row>
    <row r="43">
      <c r="A43" s="11">
        <v>39</v>
      </c>
      <c r="B43" s="11" t="str">
        <f>MOD($G$6*B42 + $G$7, $G$8)</f>
      </c>
      <c r="C43" s="11" t="str">
        <f>B43/$G$8</f>
      </c>
      <c r="D43" s="11" t="s">
        <v>80</v>
      </c>
    </row>
    <row r="44">
      <c r="A44" s="12">
        <v>40</v>
      </c>
      <c r="B44" s="12" t="str">
        <f>MOD($G$6*B43 + $G$7, $G$8)</f>
      </c>
      <c r="C44" s="12" t="str">
        <f>B44/$G$8</f>
      </c>
      <c r="D44" s="12" t="s">
        <v>80</v>
      </c>
    </row>
    <row r="45">
      <c r="A45" s="11">
        <v>41</v>
      </c>
      <c r="B45" s="11" t="str">
        <f>MOD($G$6*B44 + $G$7, $G$8)</f>
      </c>
      <c r="C45" s="11" t="str">
        <f>B45/$G$8</f>
      </c>
      <c r="D45" s="11" t="s">
        <v>80</v>
      </c>
    </row>
    <row r="46">
      <c r="A46" s="12">
        <v>42</v>
      </c>
      <c r="B46" s="12" t="str">
        <f>MOD($G$6*B45 + $G$7, $G$8)</f>
      </c>
      <c r="C46" s="12" t="str">
        <f>B46/$G$8</f>
      </c>
      <c r="D46" s="12" t="s">
        <v>80</v>
      </c>
    </row>
    <row r="47">
      <c r="A47" s="11">
        <v>43</v>
      </c>
      <c r="B47" s="11" t="str">
        <f>MOD($G$6*B46 + $G$7, $G$8)</f>
      </c>
      <c r="C47" s="11" t="str">
        <f>B47/$G$8</f>
      </c>
      <c r="D47" s="11" t="s">
        <v>80</v>
      </c>
    </row>
    <row r="48">
      <c r="A48" s="12">
        <v>44</v>
      </c>
      <c r="B48" s="12" t="str">
        <f>MOD($G$6*B47 + $G$7, $G$8)</f>
      </c>
      <c r="C48" s="12" t="str">
        <f>B48/$G$8</f>
      </c>
      <c r="D48" s="12" t="s">
        <v>80</v>
      </c>
    </row>
    <row r="49">
      <c r="A49" s="11">
        <v>45</v>
      </c>
      <c r="B49" s="11" t="str">
        <f>MOD($G$6*B48 + $G$7, $G$8)</f>
      </c>
      <c r="C49" s="11" t="str">
        <f>B49/$G$8</f>
      </c>
      <c r="D49" s="11" t="s">
        <v>80</v>
      </c>
    </row>
    <row r="50">
      <c r="A50" s="12">
        <v>46</v>
      </c>
      <c r="B50" s="12" t="str">
        <f>MOD($G$6*B49 + $G$7, $G$8)</f>
      </c>
      <c r="C50" s="12" t="str">
        <f>B50/$G$8</f>
      </c>
      <c r="D50" s="12" t="s">
        <v>80</v>
      </c>
    </row>
    <row r="51">
      <c r="A51" s="11">
        <v>47</v>
      </c>
      <c r="B51" s="11" t="str">
        <f>MOD($G$6*B50 + $G$7, $G$8)</f>
      </c>
      <c r="C51" s="11" t="str">
        <f>B51/$G$8</f>
      </c>
      <c r="D51" s="11" t="s">
        <v>80</v>
      </c>
    </row>
    <row r="52">
      <c r="A52" s="12">
        <v>48</v>
      </c>
      <c r="B52" s="12" t="str">
        <f>MOD($G$6*B51 + $G$7, $G$8)</f>
      </c>
      <c r="C52" s="12" t="str">
        <f>B52/$G$8</f>
      </c>
      <c r="D52" s="12" t="s">
        <v>80</v>
      </c>
    </row>
    <row r="53">
      <c r="A53" s="11">
        <v>49</v>
      </c>
      <c r="B53" s="11" t="str">
        <f>MOD($G$6*B52 + $G$7, $G$8)</f>
      </c>
      <c r="C53" s="11" t="str">
        <f>B53/$G$8</f>
      </c>
      <c r="D53" s="11" t="s">
        <v>80</v>
      </c>
    </row>
    <row r="54">
      <c r="A54" s="12">
        <v>50</v>
      </c>
      <c r="B54" s="12" t="str">
        <f>MOD($G$6*B53 + $G$7, $G$8)</f>
      </c>
      <c r="C54" s="12" t="str">
        <f>B54/$G$8</f>
      </c>
      <c r="D54" s="12" t="s">
        <v>80</v>
      </c>
    </row>
    <row r="55">
      <c r="A55" s="11">
        <v>51</v>
      </c>
      <c r="B55" s="11" t="str">
        <f>MOD($G$6*B54 + $G$7, $G$8)</f>
      </c>
      <c r="C55" s="11" t="str">
        <f>B55/$G$8</f>
      </c>
      <c r="D55" s="11" t="s">
        <v>80</v>
      </c>
    </row>
    <row r="56">
      <c r="A56" s="12">
        <v>52</v>
      </c>
      <c r="B56" s="12" t="str">
        <f>MOD($G$6*B55 + $G$7, $G$8)</f>
      </c>
      <c r="C56" s="12" t="str">
        <f>B56/$G$8</f>
      </c>
      <c r="D56" s="12" t="s">
        <v>80</v>
      </c>
    </row>
    <row r="57">
      <c r="A57" s="11">
        <v>53</v>
      </c>
      <c r="B57" s="11" t="str">
        <f>MOD($G$6*B56 + $G$7, $G$8)</f>
      </c>
      <c r="C57" s="11" t="str">
        <f>B57/$G$8</f>
      </c>
      <c r="D57" s="11" t="s">
        <v>80</v>
      </c>
    </row>
    <row r="58">
      <c r="A58" s="12">
        <v>54</v>
      </c>
      <c r="B58" s="12" t="str">
        <f>MOD($G$6*B57 + $G$7, $G$8)</f>
      </c>
      <c r="C58" s="12" t="str">
        <f>B58/$G$8</f>
      </c>
      <c r="D58" s="12" t="s">
        <v>80</v>
      </c>
    </row>
    <row r="59">
      <c r="A59" s="11">
        <v>55</v>
      </c>
      <c r="B59" s="11" t="str">
        <f>MOD($G$6*B58 + $G$7, $G$8)</f>
      </c>
      <c r="C59" s="11" t="str">
        <f>B59/$G$8</f>
      </c>
      <c r="D59" s="11" t="s">
        <v>80</v>
      </c>
    </row>
    <row r="60">
      <c r="A60" s="12">
        <v>56</v>
      </c>
      <c r="B60" s="12" t="str">
        <f>MOD($G$6*B59 + $G$7, $G$8)</f>
      </c>
      <c r="C60" s="12" t="str">
        <f>B60/$G$8</f>
      </c>
      <c r="D60" s="12" t="s">
        <v>80</v>
      </c>
    </row>
    <row r="61">
      <c r="A61" s="11">
        <v>57</v>
      </c>
      <c r="B61" s="11" t="str">
        <f>MOD($G$6*B60 + $G$7, $G$8)</f>
      </c>
      <c r="C61" s="11" t="str">
        <f>B61/$G$8</f>
      </c>
      <c r="D61" s="11" t="s">
        <v>80</v>
      </c>
    </row>
    <row r="62">
      <c r="A62" s="12">
        <v>58</v>
      </c>
      <c r="B62" s="12" t="str">
        <f>MOD($G$6*B61 + $G$7, $G$8)</f>
      </c>
      <c r="C62" s="12" t="str">
        <f>B62/$G$8</f>
      </c>
      <c r="D62" s="12" t="s">
        <v>80</v>
      </c>
    </row>
    <row r="63">
      <c r="A63" s="11">
        <v>59</v>
      </c>
      <c r="B63" s="11" t="str">
        <f>MOD($G$6*B62 + $G$7, $G$8)</f>
      </c>
      <c r="C63" s="11" t="str">
        <f>B63/$G$8</f>
      </c>
      <c r="D63" s="11" t="s">
        <v>80</v>
      </c>
    </row>
    <row r="64">
      <c r="A64" s="12">
        <v>60</v>
      </c>
      <c r="B64" s="12" t="str">
        <f>MOD($G$6*B63 + $G$7, $G$8)</f>
      </c>
      <c r="C64" s="12" t="str">
        <f>B64/$G$8</f>
      </c>
      <c r="D64" s="12" t="s">
        <v>80</v>
      </c>
    </row>
    <row r="65">
      <c r="A65" s="11">
        <v>61</v>
      </c>
      <c r="B65" s="11" t="str">
        <f>MOD($G$6*B64 + $G$7, $G$8)</f>
      </c>
      <c r="C65" s="11" t="str">
        <f>B65/$G$8</f>
      </c>
      <c r="D65" s="11" t="s">
        <v>80</v>
      </c>
    </row>
    <row r="66">
      <c r="A66" s="12">
        <v>62</v>
      </c>
      <c r="B66" s="12" t="str">
        <f>MOD($G$6*B65 + $G$7, $G$8)</f>
      </c>
      <c r="C66" s="12" t="str">
        <f>B66/$G$8</f>
      </c>
      <c r="D66" s="12" t="s">
        <v>80</v>
      </c>
    </row>
    <row r="67">
      <c r="A67" s="11">
        <v>63</v>
      </c>
      <c r="B67" s="11" t="str">
        <f>MOD($G$6*B66 + $G$7, $G$8)</f>
      </c>
      <c r="C67" s="11" t="str">
        <f>B67/$G$8</f>
      </c>
      <c r="D67" s="11" t="s">
        <v>80</v>
      </c>
    </row>
    <row r="68">
      <c r="A68" s="12">
        <v>64</v>
      </c>
      <c r="B68" s="12" t="str">
        <f>MOD($G$6*B67 + $G$7, $G$8)</f>
      </c>
      <c r="C68" s="12" t="str">
        <f>B68/$G$8</f>
      </c>
      <c r="D68" s="12" t="s">
        <v>80</v>
      </c>
    </row>
    <row r="69">
      <c r="A69" s="11">
        <v>65</v>
      </c>
      <c r="B69" s="11" t="str">
        <f>MOD($G$6*B68 + $G$7, $G$8)</f>
      </c>
      <c r="C69" s="11" t="str">
        <f>B69/$G$8</f>
      </c>
      <c r="D69" s="11" t="s">
        <v>80</v>
      </c>
    </row>
    <row r="70">
      <c r="A70" s="12">
        <v>66</v>
      </c>
      <c r="B70" s="12" t="str">
        <f>MOD($G$6*B69 + $G$7, $G$8)</f>
      </c>
      <c r="C70" s="12" t="str">
        <f>B70/$G$8</f>
      </c>
      <c r="D70" s="12" t="s">
        <v>80</v>
      </c>
    </row>
    <row r="71">
      <c r="A71" s="11">
        <v>67</v>
      </c>
      <c r="B71" s="11" t="str">
        <f>MOD($G$6*B70 + $G$7, $G$8)</f>
      </c>
      <c r="C71" s="11" t="str">
        <f>B71/$G$8</f>
      </c>
      <c r="D71" s="11" t="s">
        <v>80</v>
      </c>
    </row>
    <row r="72">
      <c r="A72" s="12">
        <v>68</v>
      </c>
      <c r="B72" s="12" t="str">
        <f>MOD($G$6*B71 + $G$7, $G$8)</f>
      </c>
      <c r="C72" s="12" t="str">
        <f>B72/$G$8</f>
      </c>
      <c r="D72" s="12" t="s">
        <v>80</v>
      </c>
    </row>
    <row r="73">
      <c r="A73" s="11">
        <v>69</v>
      </c>
      <c r="B73" s="11" t="str">
        <f>MOD($G$6*B72 + $G$7, $G$8)</f>
      </c>
      <c r="C73" s="11" t="str">
        <f>B73/$G$8</f>
      </c>
      <c r="D73" s="11" t="s">
        <v>80</v>
      </c>
    </row>
    <row r="74">
      <c r="A74" s="12">
        <v>70</v>
      </c>
      <c r="B74" s="12" t="str">
        <f>MOD($G$6*B73 + $G$7, $G$8)</f>
      </c>
      <c r="C74" s="12" t="str">
        <f>B74/$G$8</f>
      </c>
      <c r="D74" s="12" t="s">
        <v>80</v>
      </c>
    </row>
    <row r="75">
      <c r="A75" s="11">
        <v>71</v>
      </c>
      <c r="B75" s="11" t="str">
        <f>MOD($G$6*B74 + $G$7, $G$8)</f>
      </c>
      <c r="C75" s="11" t="str">
        <f>B75/$G$8</f>
      </c>
      <c r="D75" s="11" t="s">
        <v>80</v>
      </c>
    </row>
    <row r="76">
      <c r="A76" s="12">
        <v>72</v>
      </c>
      <c r="B76" s="12" t="str">
        <f>MOD($G$6*B75 + $G$7, $G$8)</f>
      </c>
      <c r="C76" s="12" t="str">
        <f>B76/$G$8</f>
      </c>
      <c r="D76" s="12" t="s">
        <v>80</v>
      </c>
    </row>
    <row r="77">
      <c r="A77" s="11">
        <v>73</v>
      </c>
      <c r="B77" s="11" t="str">
        <f>MOD($G$6*B76 + $G$7, $G$8)</f>
      </c>
      <c r="C77" s="11" t="str">
        <f>B77/$G$8</f>
      </c>
      <c r="D77" s="11" t="s">
        <v>80</v>
      </c>
    </row>
    <row r="78">
      <c r="A78" s="12">
        <v>74</v>
      </c>
      <c r="B78" s="12" t="str">
        <f>MOD($G$6*B77 + $G$7, $G$8)</f>
      </c>
      <c r="C78" s="12" t="str">
        <f>B78/$G$8</f>
      </c>
      <c r="D78" s="12" t="s">
        <v>80</v>
      </c>
    </row>
    <row r="79">
      <c r="A79" s="11">
        <v>75</v>
      </c>
      <c r="B79" s="11" t="str">
        <f>MOD($G$6*B78 + $G$7, $G$8)</f>
      </c>
      <c r="C79" s="11" t="str">
        <f>B79/$G$8</f>
      </c>
      <c r="D79" s="11" t="s">
        <v>80</v>
      </c>
    </row>
    <row r="80">
      <c r="A80" s="12">
        <v>76</v>
      </c>
      <c r="B80" s="12" t="str">
        <f>MOD($G$6*B79 + $G$7, $G$8)</f>
      </c>
      <c r="C80" s="12" t="str">
        <f>B80/$G$8</f>
      </c>
      <c r="D80" s="12" t="s">
        <v>80</v>
      </c>
    </row>
    <row r="81">
      <c r="A81" s="11">
        <v>77</v>
      </c>
      <c r="B81" s="11" t="str">
        <f>MOD($G$6*B80 + $G$7, $G$8)</f>
      </c>
      <c r="C81" s="11" t="str">
        <f>B81/$G$8</f>
      </c>
      <c r="D81" s="11" t="s">
        <v>80</v>
      </c>
    </row>
    <row r="82">
      <c r="A82" s="12">
        <v>78</v>
      </c>
      <c r="B82" s="12" t="str">
        <f>MOD($G$6*B81 + $G$7, $G$8)</f>
      </c>
      <c r="C82" s="12" t="str">
        <f>B82/$G$8</f>
      </c>
      <c r="D82" s="12" t="s">
        <v>80</v>
      </c>
    </row>
    <row r="83">
      <c r="A83" s="11">
        <v>79</v>
      </c>
      <c r="B83" s="11" t="str">
        <f>MOD($G$6*B82 + $G$7, $G$8)</f>
      </c>
      <c r="C83" s="11" t="str">
        <f>B83/$G$8</f>
      </c>
      <c r="D83" s="11" t="s">
        <v>80</v>
      </c>
    </row>
    <row r="84">
      <c r="A84" s="12">
        <v>80</v>
      </c>
      <c r="B84" s="12" t="str">
        <f>MOD($G$6*B83 + $G$7, $G$8)</f>
      </c>
      <c r="C84" s="12" t="str">
        <f>B84/$G$8</f>
      </c>
      <c r="D84" s="12" t="s">
        <v>80</v>
      </c>
    </row>
    <row r="85">
      <c r="A85" s="11">
        <v>81</v>
      </c>
      <c r="B85" s="11" t="str">
        <f>MOD($G$6*B84 + $G$7, $G$8)</f>
      </c>
      <c r="C85" s="11" t="str">
        <f>B85/$G$8</f>
      </c>
      <c r="D85" s="11" t="s">
        <v>80</v>
      </c>
    </row>
    <row r="86">
      <c r="A86" s="12">
        <v>82</v>
      </c>
      <c r="B86" s="12" t="str">
        <f>MOD($G$6*B85 + $G$7, $G$8)</f>
      </c>
      <c r="C86" s="12" t="str">
        <f>B86/$G$8</f>
      </c>
      <c r="D86" s="12" t="s">
        <v>80</v>
      </c>
    </row>
    <row r="87">
      <c r="A87" s="11">
        <v>83</v>
      </c>
      <c r="B87" s="11" t="str">
        <f>MOD($G$6*B86 + $G$7, $G$8)</f>
      </c>
      <c r="C87" s="11" t="str">
        <f>B87/$G$8</f>
      </c>
      <c r="D87" s="11" t="s">
        <v>80</v>
      </c>
    </row>
    <row r="88">
      <c r="A88" s="12">
        <v>84</v>
      </c>
      <c r="B88" s="12" t="str">
        <f>MOD($G$6*B87 + $G$7, $G$8)</f>
      </c>
      <c r="C88" s="12" t="str">
        <f>B88/$G$8</f>
      </c>
      <c r="D88" s="12" t="s">
        <v>80</v>
      </c>
    </row>
    <row r="89">
      <c r="A89" s="11">
        <v>85</v>
      </c>
      <c r="B89" s="11" t="str">
        <f>MOD($G$6*B88 + $G$7, $G$8)</f>
      </c>
      <c r="C89" s="11" t="str">
        <f>B89/$G$8</f>
      </c>
      <c r="D89" s="11" t="s">
        <v>80</v>
      </c>
    </row>
    <row r="90">
      <c r="A90" s="12">
        <v>86</v>
      </c>
      <c r="B90" s="12" t="str">
        <f>MOD($G$6*B89 + $G$7, $G$8)</f>
      </c>
      <c r="C90" s="12" t="str">
        <f>B90/$G$8</f>
      </c>
      <c r="D90" s="12" t="s">
        <v>80</v>
      </c>
    </row>
    <row r="91">
      <c r="A91" s="11">
        <v>87</v>
      </c>
      <c r="B91" s="11" t="str">
        <f>MOD($G$6*B90 + $G$7, $G$8)</f>
      </c>
      <c r="C91" s="11" t="str">
        <f>B91/$G$8</f>
      </c>
      <c r="D91" s="11" t="s">
        <v>80</v>
      </c>
    </row>
    <row r="92">
      <c r="A92" s="12">
        <v>88</v>
      </c>
      <c r="B92" s="12" t="str">
        <f>MOD($G$6*B91 + $G$7, $G$8)</f>
      </c>
      <c r="C92" s="12" t="str">
        <f>B92/$G$8</f>
      </c>
      <c r="D92" s="12" t="s">
        <v>80</v>
      </c>
    </row>
    <row r="93">
      <c r="A93" s="11">
        <v>89</v>
      </c>
      <c r="B93" s="11" t="str">
        <f>MOD($G$6*B92 + $G$7, $G$8)</f>
      </c>
      <c r="C93" s="11" t="str">
        <f>B93/$G$8</f>
      </c>
      <c r="D93" s="11" t="s">
        <v>80</v>
      </c>
    </row>
    <row r="94">
      <c r="A94" s="12">
        <v>90</v>
      </c>
      <c r="B94" s="12" t="str">
        <f>MOD($G$6*B93 + $G$7, $G$8)</f>
      </c>
      <c r="C94" s="12" t="str">
        <f>B94/$G$8</f>
      </c>
      <c r="D94" s="12" t="s">
        <v>80</v>
      </c>
    </row>
    <row r="95">
      <c r="A95" s="11">
        <v>91</v>
      </c>
      <c r="B95" s="11" t="str">
        <f>MOD($G$6*B94 + $G$7, $G$8)</f>
      </c>
      <c r="C95" s="11" t="str">
        <f>B95/$G$8</f>
      </c>
      <c r="D95" s="11" t="s">
        <v>80</v>
      </c>
    </row>
    <row r="96">
      <c r="A96" s="12">
        <v>92</v>
      </c>
      <c r="B96" s="12" t="str">
        <f>MOD($G$6*B95 + $G$7, $G$8)</f>
      </c>
      <c r="C96" s="12" t="str">
        <f>B96/$G$8</f>
      </c>
      <c r="D96" s="12" t="s">
        <v>80</v>
      </c>
    </row>
    <row r="97">
      <c r="A97" s="11">
        <v>93</v>
      </c>
      <c r="B97" s="11" t="str">
        <f>MOD($G$6*B96 + $G$7, $G$8)</f>
      </c>
      <c r="C97" s="11" t="str">
        <f>B97/$G$8</f>
      </c>
      <c r="D97" s="11" t="s">
        <v>80</v>
      </c>
    </row>
    <row r="98">
      <c r="A98" s="12">
        <v>94</v>
      </c>
      <c r="B98" s="12" t="str">
        <f>MOD($G$6*B97 + $G$7, $G$8)</f>
      </c>
      <c r="C98" s="12" t="str">
        <f>B98/$G$8</f>
      </c>
      <c r="D98" s="12" t="s">
        <v>80</v>
      </c>
    </row>
    <row r="99">
      <c r="A99" s="11">
        <v>95</v>
      </c>
      <c r="B99" s="11" t="str">
        <f>MOD($G$6*B98 + $G$7, $G$8)</f>
      </c>
      <c r="C99" s="11" t="str">
        <f>B99/$G$8</f>
      </c>
      <c r="D99" s="11" t="s">
        <v>80</v>
      </c>
    </row>
    <row r="100">
      <c r="A100" s="12">
        <v>96</v>
      </c>
      <c r="B100" s="12" t="str">
        <f>MOD($G$6*B99 + $G$7, $G$8)</f>
      </c>
      <c r="C100" s="12" t="str">
        <f>B100/$G$8</f>
      </c>
      <c r="D100" s="12" t="s">
        <v>80</v>
      </c>
    </row>
    <row r="101">
      <c r="A101" s="11">
        <v>97</v>
      </c>
      <c r="B101" s="11" t="str">
        <f>MOD($G$6*B100 + $G$7, $G$8)</f>
      </c>
      <c r="C101" s="11" t="str">
        <f>B101/$G$8</f>
      </c>
      <c r="D101" s="11" t="s">
        <v>80</v>
      </c>
    </row>
    <row r="102">
      <c r="A102" s="12">
        <v>98</v>
      </c>
      <c r="B102" s="12" t="str">
        <f>MOD($G$6*B101 + $G$7, $G$8)</f>
      </c>
      <c r="C102" s="12" t="str">
        <f>B102/$G$8</f>
      </c>
      <c r="D102" s="12" t="s">
        <v>80</v>
      </c>
    </row>
    <row r="103">
      <c r="A103" s="11">
        <v>99</v>
      </c>
      <c r="B103" s="11" t="str">
        <f>MOD($G$6*B102 + $G$7, $G$8)</f>
      </c>
      <c r="C103" s="11" t="str">
        <f>B103/$G$8</f>
      </c>
      <c r="D103" s="11" t="s">
        <v>80</v>
      </c>
    </row>
    <row r="104">
      <c r="A104" s="12">
        <v>100</v>
      </c>
      <c r="B104" s="12" t="str">
        <f>MOD($G$6*B103 + $G$7, $G$8)</f>
      </c>
      <c r="C104" s="12" t="str">
        <f>B104/$G$8</f>
      </c>
      <c r="D104" s="12" t="s">
        <v>80</v>
      </c>
    </row>
    <row r="105">
      <c r="A105" s="11">
        <v>101</v>
      </c>
      <c r="B105" s="11" t="str">
        <f>MOD($G$6*B104 + $G$7, $G$8)</f>
      </c>
      <c r="C105" s="11" t="str">
        <f>B105/$G$8</f>
      </c>
      <c r="D105" s="11" t="s">
        <v>80</v>
      </c>
    </row>
    <row r="106">
      <c r="A106" s="12">
        <v>102</v>
      </c>
      <c r="B106" s="12" t="str">
        <f>MOD($G$6*B105 + $G$7, $G$8)</f>
      </c>
      <c r="C106" s="12" t="str">
        <f>B106/$G$8</f>
      </c>
      <c r="D106" s="12" t="s">
        <v>80</v>
      </c>
    </row>
    <row r="107">
      <c r="A107" s="11">
        <v>103</v>
      </c>
      <c r="B107" s="11" t="str">
        <f>MOD($G$6*B106 + $G$7, $G$8)</f>
      </c>
      <c r="C107" s="11" t="str">
        <f>B107/$G$8</f>
      </c>
      <c r="D107" s="11" t="s">
        <v>80</v>
      </c>
    </row>
    <row r="108">
      <c r="A108" s="12">
        <v>104</v>
      </c>
      <c r="B108" s="12" t="str">
        <f>MOD($G$6*B107 + $G$7, $G$8)</f>
      </c>
      <c r="C108" s="12" t="str">
        <f>B108/$G$8</f>
      </c>
      <c r="D108" s="12" t="s">
        <v>80</v>
      </c>
    </row>
    <row r="109">
      <c r="A109" s="11">
        <v>105</v>
      </c>
      <c r="B109" s="11" t="str">
        <f>MOD($G$6*B108 + $G$7, $G$8)</f>
      </c>
      <c r="C109" s="11" t="str">
        <f>B109/$G$8</f>
      </c>
      <c r="D109" s="11" t="s">
        <v>80</v>
      </c>
    </row>
    <row r="110">
      <c r="A110" s="12">
        <v>106</v>
      </c>
      <c r="B110" s="12" t="str">
        <f>MOD($G$6*B109 + $G$7, $G$8)</f>
      </c>
      <c r="C110" s="12" t="str">
        <f>B110/$G$8</f>
      </c>
      <c r="D110" s="12" t="s">
        <v>80</v>
      </c>
    </row>
    <row r="111">
      <c r="A111" s="11">
        <v>107</v>
      </c>
      <c r="B111" s="11" t="str">
        <f>MOD($G$6*B110 + $G$7, $G$8)</f>
      </c>
      <c r="C111" s="11" t="str">
        <f>B111/$G$8</f>
      </c>
      <c r="D111" s="11" t="s">
        <v>80</v>
      </c>
    </row>
    <row r="112">
      <c r="A112" s="12">
        <v>108</v>
      </c>
      <c r="B112" s="12" t="str">
        <f>MOD($G$6*B111 + $G$7, $G$8)</f>
      </c>
      <c r="C112" s="12" t="str">
        <f>B112/$G$8</f>
      </c>
      <c r="D112" s="12" t="s">
        <v>80</v>
      </c>
    </row>
    <row r="113">
      <c r="A113" s="11">
        <v>109</v>
      </c>
      <c r="B113" s="11" t="str">
        <f>MOD($G$6*B112 + $G$7, $G$8)</f>
      </c>
      <c r="C113" s="11" t="str">
        <f>B113/$G$8</f>
      </c>
      <c r="D113" s="11" t="s">
        <v>80</v>
      </c>
    </row>
    <row r="114">
      <c r="A114" s="12">
        <v>110</v>
      </c>
      <c r="B114" s="12" t="str">
        <f>MOD($G$6*B113 + $G$7, $G$8)</f>
      </c>
      <c r="C114" s="12" t="str">
        <f>B114/$G$8</f>
      </c>
      <c r="D114" s="12" t="s">
        <v>80</v>
      </c>
    </row>
    <row r="115">
      <c r="A115" s="11">
        <v>111</v>
      </c>
      <c r="B115" s="11" t="str">
        <f>MOD($G$6*B114 + $G$7, $G$8)</f>
      </c>
      <c r="C115" s="11" t="str">
        <f>B115/$G$8</f>
      </c>
      <c r="D115" s="11" t="s">
        <v>80</v>
      </c>
    </row>
    <row r="116">
      <c r="A116" s="12">
        <v>112</v>
      </c>
      <c r="B116" s="12" t="str">
        <f>MOD($G$6*B115 + $G$7, $G$8)</f>
      </c>
      <c r="C116" s="12" t="str">
        <f>B116/$G$8</f>
      </c>
      <c r="D116" s="12" t="s">
        <v>80</v>
      </c>
    </row>
    <row r="117">
      <c r="A117" s="11">
        <v>113</v>
      </c>
      <c r="B117" s="11" t="str">
        <f>MOD($G$6*B116 + $G$7, $G$8)</f>
      </c>
      <c r="C117" s="11" t="str">
        <f>B117/$G$8</f>
      </c>
      <c r="D117" s="11" t="s">
        <v>80</v>
      </c>
    </row>
    <row r="118">
      <c r="A118" s="12">
        <v>114</v>
      </c>
      <c r="B118" s="12" t="str">
        <f>MOD($G$6*B117 + $G$7, $G$8)</f>
      </c>
      <c r="C118" s="12" t="str">
        <f>B118/$G$8</f>
      </c>
      <c r="D118" s="12" t="s">
        <v>80</v>
      </c>
    </row>
    <row r="119">
      <c r="A119" s="11">
        <v>115</v>
      </c>
      <c r="B119" s="11" t="str">
        <f>MOD($G$6*B118 + $G$7, $G$8)</f>
      </c>
      <c r="C119" s="11" t="str">
        <f>B119/$G$8</f>
      </c>
      <c r="D119" s="11" t="s">
        <v>80</v>
      </c>
    </row>
    <row r="120">
      <c r="A120" s="12">
        <v>116</v>
      </c>
      <c r="B120" s="12" t="str">
        <f>MOD($G$6*B119 + $G$7, $G$8)</f>
      </c>
      <c r="C120" s="12" t="str">
        <f>B120/$G$8</f>
      </c>
      <c r="D120" s="12" t="s">
        <v>80</v>
      </c>
    </row>
    <row r="121">
      <c r="A121" s="11">
        <v>117</v>
      </c>
      <c r="B121" s="11" t="str">
        <f>MOD($G$6*B120 + $G$7, $G$8)</f>
      </c>
      <c r="C121" s="11" t="str">
        <f>B121/$G$8</f>
      </c>
      <c r="D121" s="11" t="s">
        <v>80</v>
      </c>
    </row>
    <row r="122">
      <c r="A122" s="12">
        <v>118</v>
      </c>
      <c r="B122" s="12" t="str">
        <f>MOD($G$6*B121 + $G$7, $G$8)</f>
      </c>
      <c r="C122" s="12" t="str">
        <f>B122/$G$8</f>
      </c>
      <c r="D122" s="12" t="s">
        <v>80</v>
      </c>
    </row>
    <row r="123">
      <c r="A123" s="11">
        <v>119</v>
      </c>
      <c r="B123" s="11" t="str">
        <f>MOD($G$6*B122 + $G$7, $G$8)</f>
      </c>
      <c r="C123" s="11" t="str">
        <f>B123/$G$8</f>
      </c>
      <c r="D123" s="11" t="s">
        <v>80</v>
      </c>
    </row>
    <row r="124">
      <c r="A124" s="12">
        <v>120</v>
      </c>
      <c r="B124" s="12" t="str">
        <f>MOD($G$6*B123 + $G$7, $G$8)</f>
      </c>
      <c r="C124" s="12" t="str">
        <f>B124/$G$8</f>
      </c>
      <c r="D124" s="12" t="s">
        <v>80</v>
      </c>
    </row>
    <row r="125">
      <c r="A125" s="11">
        <v>121</v>
      </c>
      <c r="B125" s="11" t="str">
        <f>MOD($G$6*B124 + $G$7, $G$8)</f>
      </c>
      <c r="C125" s="11" t="str">
        <f>B125/$G$8</f>
      </c>
      <c r="D125" s="11" t="s">
        <v>80</v>
      </c>
    </row>
    <row r="126">
      <c r="A126" s="12">
        <v>122</v>
      </c>
      <c r="B126" s="12" t="str">
        <f>MOD($G$6*B125 + $G$7, $G$8)</f>
      </c>
      <c r="C126" s="12" t="str">
        <f>B126/$G$8</f>
      </c>
      <c r="D126" s="12" t="s">
        <v>80</v>
      </c>
    </row>
    <row r="127">
      <c r="A127" s="11">
        <v>123</v>
      </c>
      <c r="B127" s="11" t="str">
        <f>MOD($G$6*B126 + $G$7, $G$8)</f>
      </c>
      <c r="C127" s="11" t="str">
        <f>B127/$G$8</f>
      </c>
      <c r="D127" s="11" t="s">
        <v>80</v>
      </c>
    </row>
    <row r="128">
      <c r="A128" s="12">
        <v>124</v>
      </c>
      <c r="B128" s="12" t="str">
        <f>MOD($G$6*B127 + $G$7, $G$8)</f>
      </c>
      <c r="C128" s="12" t="str">
        <f>B128/$G$8</f>
      </c>
      <c r="D128" s="12" t="s">
        <v>80</v>
      </c>
    </row>
    <row r="129">
      <c r="A129" s="11">
        <v>125</v>
      </c>
      <c r="B129" s="11" t="str">
        <f>MOD($G$6*B128 + $G$7, $G$8)</f>
      </c>
      <c r="C129" s="11" t="str">
        <f>B129/$G$8</f>
      </c>
      <c r="D129" s="11" t="s">
        <v>80</v>
      </c>
    </row>
    <row r="130">
      <c r="A130" s="12">
        <v>126</v>
      </c>
      <c r="B130" s="12" t="str">
        <f>MOD($G$6*B129 + $G$7, $G$8)</f>
      </c>
      <c r="C130" s="12" t="str">
        <f>B130/$G$8</f>
      </c>
      <c r="D130" s="12" t="s">
        <v>80</v>
      </c>
    </row>
    <row r="131">
      <c r="A131" s="11">
        <v>127</v>
      </c>
      <c r="B131" s="11" t="str">
        <f>MOD($G$6*B130 + $G$7, $G$8)</f>
      </c>
      <c r="C131" s="11" t="str">
        <f>B131/$G$8</f>
      </c>
      <c r="D131" s="11" t="s">
        <v>80</v>
      </c>
    </row>
    <row r="132">
      <c r="A132" s="12">
        <v>128</v>
      </c>
      <c r="B132" s="12" t="str">
        <f>MOD($G$6*B131 + $G$7, $G$8)</f>
      </c>
      <c r="C132" s="12" t="str">
        <f>B132/$G$8</f>
      </c>
      <c r="D132" s="12" t="s">
        <v>80</v>
      </c>
    </row>
    <row r="133">
      <c r="A133" s="11">
        <v>129</v>
      </c>
      <c r="B133" s="11" t="str">
        <f>MOD($G$6*B132 + $G$7, $G$8)</f>
      </c>
      <c r="C133" s="11" t="str">
        <f>B133/$G$8</f>
      </c>
      <c r="D133" s="11" t="s">
        <v>80</v>
      </c>
    </row>
    <row r="134">
      <c r="A134" s="12">
        <v>130</v>
      </c>
      <c r="B134" s="12" t="str">
        <f>MOD($G$6*B133 + $G$7, $G$8)</f>
      </c>
      <c r="C134" s="12" t="str">
        <f>B134/$G$8</f>
      </c>
      <c r="D134" s="12" t="s">
        <v>80</v>
      </c>
    </row>
    <row r="135">
      <c r="A135" s="11">
        <v>131</v>
      </c>
      <c r="B135" s="11" t="str">
        <f>MOD($G$6*B134 + $G$7, $G$8)</f>
      </c>
      <c r="C135" s="11" t="str">
        <f>B135/$G$8</f>
      </c>
      <c r="D135" s="11" t="s">
        <v>80</v>
      </c>
    </row>
    <row r="136">
      <c r="A136" s="12">
        <v>132</v>
      </c>
      <c r="B136" s="12" t="str">
        <f>MOD($G$6*B135 + $G$7, $G$8)</f>
      </c>
      <c r="C136" s="12" t="str">
        <f>B136/$G$8</f>
      </c>
      <c r="D136" s="12" t="s">
        <v>80</v>
      </c>
    </row>
    <row r="137">
      <c r="A137" s="11">
        <v>133</v>
      </c>
      <c r="B137" s="11" t="str">
        <f>MOD($G$6*B136 + $G$7, $G$8)</f>
      </c>
      <c r="C137" s="11" t="str">
        <f>B137/$G$8</f>
      </c>
      <c r="D137" s="11" t="s">
        <v>80</v>
      </c>
    </row>
    <row r="138">
      <c r="A138" s="12">
        <v>134</v>
      </c>
      <c r="B138" s="12" t="str">
        <f>MOD($G$6*B137 + $G$7, $G$8)</f>
      </c>
      <c r="C138" s="12" t="str">
        <f>B138/$G$8</f>
      </c>
      <c r="D138" s="12" t="s">
        <v>80</v>
      </c>
    </row>
    <row r="139">
      <c r="A139" s="11">
        <v>135</v>
      </c>
      <c r="B139" s="11" t="str">
        <f>MOD($G$6*B138 + $G$7, $G$8)</f>
      </c>
      <c r="C139" s="11" t="str">
        <f>B139/$G$8</f>
      </c>
      <c r="D139" s="11" t="s">
        <v>80</v>
      </c>
    </row>
    <row r="140">
      <c r="A140" s="12">
        <v>136</v>
      </c>
      <c r="B140" s="12" t="str">
        <f>MOD($G$6*B139 + $G$7, $G$8)</f>
      </c>
      <c r="C140" s="12" t="str">
        <f>B140/$G$8</f>
      </c>
      <c r="D140" s="12" t="s">
        <v>80</v>
      </c>
    </row>
    <row r="141">
      <c r="A141" s="11">
        <v>137</v>
      </c>
      <c r="B141" s="11" t="str">
        <f>MOD($G$6*B140 + $G$7, $G$8)</f>
      </c>
      <c r="C141" s="11" t="str">
        <f>B141/$G$8</f>
      </c>
      <c r="D141" s="11" t="s">
        <v>80</v>
      </c>
    </row>
    <row r="142">
      <c r="A142" s="12">
        <v>138</v>
      </c>
      <c r="B142" s="12" t="str">
        <f>MOD($G$6*B141 + $G$7, $G$8)</f>
      </c>
      <c r="C142" s="12" t="str">
        <f>B142/$G$8</f>
      </c>
      <c r="D142" s="12" t="s">
        <v>80</v>
      </c>
    </row>
    <row r="143">
      <c r="A143" s="11">
        <v>139</v>
      </c>
      <c r="B143" s="11" t="str">
        <f>MOD($G$6*B142 + $G$7, $G$8)</f>
      </c>
      <c r="C143" s="11" t="str">
        <f>B143/$G$8</f>
      </c>
      <c r="D143" s="11" t="s">
        <v>80</v>
      </c>
    </row>
    <row r="144">
      <c r="A144" s="12">
        <v>140</v>
      </c>
      <c r="B144" s="12" t="str">
        <f>MOD($G$6*B143 + $G$7, $G$8)</f>
      </c>
      <c r="C144" s="12" t="str">
        <f>B144/$G$8</f>
      </c>
      <c r="D144" s="12" t="s">
        <v>80</v>
      </c>
    </row>
    <row r="145">
      <c r="A145" s="11">
        <v>141</v>
      </c>
      <c r="B145" s="11" t="str">
        <f>MOD($G$6*B144 + $G$7, $G$8)</f>
      </c>
      <c r="C145" s="11" t="str">
        <f>B145/$G$8</f>
      </c>
      <c r="D145" s="11" t="s">
        <v>80</v>
      </c>
    </row>
    <row r="146">
      <c r="A146" s="12">
        <v>142</v>
      </c>
      <c r="B146" s="12" t="str">
        <f>MOD($G$6*B145 + $G$7, $G$8)</f>
      </c>
      <c r="C146" s="12" t="str">
        <f>B146/$G$8</f>
      </c>
      <c r="D146" s="12" t="s">
        <v>80</v>
      </c>
    </row>
    <row r="147">
      <c r="A147" s="11">
        <v>143</v>
      </c>
      <c r="B147" s="11" t="str">
        <f>MOD($G$6*B146 + $G$7, $G$8)</f>
      </c>
      <c r="C147" s="11" t="str">
        <f>B147/$G$8</f>
      </c>
      <c r="D147" s="11" t="s">
        <v>80</v>
      </c>
    </row>
    <row r="148">
      <c r="A148" s="12">
        <v>144</v>
      </c>
      <c r="B148" s="12" t="str">
        <f>MOD($G$6*B147 + $G$7, $G$8)</f>
      </c>
      <c r="C148" s="12" t="str">
        <f>B148/$G$8</f>
      </c>
      <c r="D148" s="12" t="s">
        <v>80</v>
      </c>
    </row>
    <row r="149">
      <c r="A149" s="11">
        <v>145</v>
      </c>
      <c r="B149" s="11" t="str">
        <f>MOD($G$6*B148 + $G$7, $G$8)</f>
      </c>
      <c r="C149" s="11" t="str">
        <f>B149/$G$8</f>
      </c>
      <c r="D149" s="11" t="s">
        <v>80</v>
      </c>
    </row>
    <row r="150">
      <c r="A150" s="12">
        <v>146</v>
      </c>
      <c r="B150" s="12" t="str">
        <f>MOD($G$6*B149 + $G$7, $G$8)</f>
      </c>
      <c r="C150" s="12" t="str">
        <f>B150/$G$8</f>
      </c>
      <c r="D150" s="12" t="s">
        <v>80</v>
      </c>
    </row>
    <row r="151">
      <c r="A151" s="11">
        <v>147</v>
      </c>
      <c r="B151" s="11" t="str">
        <f>MOD($G$6*B150 + $G$7, $G$8)</f>
      </c>
      <c r="C151" s="11" t="str">
        <f>B151/$G$8</f>
      </c>
      <c r="D151" s="11" t="s">
        <v>80</v>
      </c>
    </row>
    <row r="152">
      <c r="A152" s="12">
        <v>148</v>
      </c>
      <c r="B152" s="12" t="str">
        <f>MOD($G$6*B151 + $G$7, $G$8)</f>
      </c>
      <c r="C152" s="12" t="str">
        <f>B152/$G$8</f>
      </c>
      <c r="D152" s="12" t="s">
        <v>80</v>
      </c>
    </row>
    <row r="153">
      <c r="A153" s="11">
        <v>149</v>
      </c>
      <c r="B153" s="11" t="str">
        <f>MOD($G$6*B152 + $G$7, $G$8)</f>
      </c>
      <c r="C153" s="11" t="str">
        <f>B153/$G$8</f>
      </c>
      <c r="D153" s="11" t="s">
        <v>80</v>
      </c>
    </row>
    <row r="154">
      <c r="A154" s="12">
        <v>150</v>
      </c>
      <c r="B154" s="12" t="str">
        <f>MOD($G$6*B153 + $G$7, $G$8)</f>
      </c>
      <c r="C154" s="12" t="str">
        <f>B154/$G$8</f>
      </c>
      <c r="D154" s="12" t="s">
        <v>80</v>
      </c>
    </row>
    <row r="155">
      <c r="A155" s="11">
        <v>151</v>
      </c>
      <c r="B155" s="11" t="str">
        <f>MOD($G$6*B154 + $G$7, $G$8)</f>
      </c>
      <c r="C155" s="11" t="str">
        <f>B155/$G$8</f>
      </c>
      <c r="D155" s="11" t="s">
        <v>80</v>
      </c>
    </row>
    <row r="156">
      <c r="A156" s="12">
        <v>152</v>
      </c>
      <c r="B156" s="12" t="str">
        <f>MOD($G$6*B155 + $G$7, $G$8)</f>
      </c>
      <c r="C156" s="12" t="str">
        <f>B156/$G$8</f>
      </c>
      <c r="D156" s="12" t="s">
        <v>80</v>
      </c>
    </row>
    <row r="157">
      <c r="A157" s="11">
        <v>153</v>
      </c>
      <c r="B157" s="11" t="str">
        <f>MOD($G$6*B156 + $G$7, $G$8)</f>
      </c>
      <c r="C157" s="11" t="str">
        <f>B157/$G$8</f>
      </c>
      <c r="D157" s="11" t="s">
        <v>80</v>
      </c>
    </row>
    <row r="158">
      <c r="A158" s="12">
        <v>154</v>
      </c>
      <c r="B158" s="12" t="str">
        <f>MOD($G$6*B157 + $G$7, $G$8)</f>
      </c>
      <c r="C158" s="12" t="str">
        <f>B158/$G$8</f>
      </c>
      <c r="D158" s="12" t="s">
        <v>80</v>
      </c>
    </row>
    <row r="159">
      <c r="A159" s="11">
        <v>155</v>
      </c>
      <c r="B159" s="11" t="str">
        <f>MOD($G$6*B158 + $G$7, $G$8)</f>
      </c>
      <c r="C159" s="11" t="str">
        <f>B159/$G$8</f>
      </c>
      <c r="D159" s="11" t="s">
        <v>80</v>
      </c>
    </row>
    <row r="160">
      <c r="A160" s="12">
        <v>156</v>
      </c>
      <c r="B160" s="12" t="str">
        <f>MOD($G$6*B159 + $G$7, $G$8)</f>
      </c>
      <c r="C160" s="12" t="str">
        <f>B160/$G$8</f>
      </c>
      <c r="D160" s="12" t="s">
        <v>80</v>
      </c>
    </row>
    <row r="161">
      <c r="A161" s="11">
        <v>157</v>
      </c>
      <c r="B161" s="11" t="str">
        <f>MOD($G$6*B160 + $G$7, $G$8)</f>
      </c>
      <c r="C161" s="11" t="str">
        <f>B161/$G$8</f>
      </c>
      <c r="D161" s="11" t="s">
        <v>80</v>
      </c>
    </row>
    <row r="162">
      <c r="A162" s="12">
        <v>158</v>
      </c>
      <c r="B162" s="12" t="str">
        <f>MOD($G$6*B161 + $G$7, $G$8)</f>
      </c>
      <c r="C162" s="12" t="str">
        <f>B162/$G$8</f>
      </c>
      <c r="D162" s="12" t="s">
        <v>80</v>
      </c>
    </row>
    <row r="163">
      <c r="A163" s="11">
        <v>159</v>
      </c>
      <c r="B163" s="11" t="str">
        <f>MOD($G$6*B162 + $G$7, $G$8)</f>
      </c>
      <c r="C163" s="11" t="str">
        <f>B163/$G$8</f>
      </c>
      <c r="D163" s="11" t="s">
        <v>80</v>
      </c>
    </row>
    <row r="164">
      <c r="A164" s="12">
        <v>160</v>
      </c>
      <c r="B164" s="12" t="str">
        <f>MOD($G$6*B163 + $G$7, $G$8)</f>
      </c>
      <c r="C164" s="12" t="str">
        <f>B164/$G$8</f>
      </c>
      <c r="D164" s="12" t="s">
        <v>80</v>
      </c>
    </row>
    <row r="165">
      <c r="A165" s="11">
        <v>161</v>
      </c>
      <c r="B165" s="11" t="str">
        <f>MOD($G$6*B164 + $G$7, $G$8)</f>
      </c>
      <c r="C165" s="11" t="str">
        <f>B165/$G$8</f>
      </c>
      <c r="D165" s="11" t="s">
        <v>80</v>
      </c>
    </row>
    <row r="166">
      <c r="A166" s="12">
        <v>162</v>
      </c>
      <c r="B166" s="12" t="str">
        <f>MOD($G$6*B165 + $G$7, $G$8)</f>
      </c>
      <c r="C166" s="12" t="str">
        <f>B166/$G$8</f>
      </c>
      <c r="D166" s="12" t="s">
        <v>80</v>
      </c>
    </row>
    <row r="167">
      <c r="A167" s="11">
        <v>163</v>
      </c>
      <c r="B167" s="11" t="str">
        <f>MOD($G$6*B166 + $G$7, $G$8)</f>
      </c>
      <c r="C167" s="11" t="str">
        <f>B167/$G$8</f>
      </c>
      <c r="D167" s="11" t="s">
        <v>80</v>
      </c>
    </row>
    <row r="168">
      <c r="A168" s="12">
        <v>164</v>
      </c>
      <c r="B168" s="12" t="str">
        <f>MOD($G$6*B167 + $G$7, $G$8)</f>
      </c>
      <c r="C168" s="12" t="str">
        <f>B168/$G$8</f>
      </c>
      <c r="D168" s="12" t="s">
        <v>80</v>
      </c>
    </row>
    <row r="169">
      <c r="A169" s="11">
        <v>165</v>
      </c>
      <c r="B169" s="11" t="str">
        <f>MOD($G$6*B168 + $G$7, $G$8)</f>
      </c>
      <c r="C169" s="11" t="str">
        <f>B169/$G$8</f>
      </c>
      <c r="D169" s="11" t="s">
        <v>80</v>
      </c>
    </row>
    <row r="170">
      <c r="A170" s="12">
        <v>166</v>
      </c>
      <c r="B170" s="12" t="str">
        <f>MOD($G$6*B169 + $G$7, $G$8)</f>
      </c>
      <c r="C170" s="12" t="str">
        <f>B170/$G$8</f>
      </c>
      <c r="D170" s="12" t="s">
        <v>80</v>
      </c>
    </row>
    <row r="171">
      <c r="A171" s="11">
        <v>167</v>
      </c>
      <c r="B171" s="11" t="str">
        <f>MOD($G$6*B170 + $G$7, $G$8)</f>
      </c>
      <c r="C171" s="11" t="str">
        <f>B171/$G$8</f>
      </c>
      <c r="D171" s="11" t="s">
        <v>80</v>
      </c>
    </row>
    <row r="172">
      <c r="A172" s="12">
        <v>168</v>
      </c>
      <c r="B172" s="12" t="str">
        <f>MOD($G$6*B171 + $G$7, $G$8)</f>
      </c>
      <c r="C172" s="12" t="str">
        <f>B172/$G$8</f>
      </c>
      <c r="D172" s="12" t="s">
        <v>80</v>
      </c>
    </row>
    <row r="173">
      <c r="A173" s="11">
        <v>169</v>
      </c>
      <c r="B173" s="11" t="str">
        <f>MOD($G$6*B172 + $G$7, $G$8)</f>
      </c>
      <c r="C173" s="11" t="str">
        <f>B173/$G$8</f>
      </c>
      <c r="D173" s="11" t="s">
        <v>80</v>
      </c>
    </row>
    <row r="174">
      <c r="A174" s="12">
        <v>170</v>
      </c>
      <c r="B174" s="12" t="str">
        <f>MOD($G$6*B173 + $G$7, $G$8)</f>
      </c>
      <c r="C174" s="12" t="str">
        <f>B174/$G$8</f>
      </c>
      <c r="D174" s="12" t="s">
        <v>80</v>
      </c>
    </row>
    <row r="175">
      <c r="A175" s="11">
        <v>171</v>
      </c>
      <c r="B175" s="11" t="str">
        <f>MOD($G$6*B174 + $G$7, $G$8)</f>
      </c>
      <c r="C175" s="11" t="str">
        <f>B175/$G$8</f>
      </c>
      <c r="D175" s="11" t="s">
        <v>80</v>
      </c>
    </row>
    <row r="176">
      <c r="A176" s="12">
        <v>172</v>
      </c>
      <c r="B176" s="12" t="str">
        <f>MOD($G$6*B175 + $G$7, $G$8)</f>
      </c>
      <c r="C176" s="12" t="str">
        <f>B176/$G$8</f>
      </c>
      <c r="D176" s="12" t="s">
        <v>80</v>
      </c>
    </row>
    <row r="177">
      <c r="A177" s="11">
        <v>173</v>
      </c>
      <c r="B177" s="11" t="str">
        <f>MOD($G$6*B176 + $G$7, $G$8)</f>
      </c>
      <c r="C177" s="11" t="str">
        <f>B177/$G$8</f>
      </c>
      <c r="D177" s="11" t="s">
        <v>80</v>
      </c>
    </row>
    <row r="178">
      <c r="A178" s="12">
        <v>174</v>
      </c>
      <c r="B178" s="12" t="str">
        <f>MOD($G$6*B177 + $G$7, $G$8)</f>
      </c>
      <c r="C178" s="12" t="str">
        <f>B178/$G$8</f>
      </c>
      <c r="D178" s="12" t="s">
        <v>80</v>
      </c>
    </row>
    <row r="179">
      <c r="A179" s="11">
        <v>175</v>
      </c>
      <c r="B179" s="11" t="str">
        <f>MOD($G$6*B178 + $G$7, $G$8)</f>
      </c>
      <c r="C179" s="11" t="str">
        <f>B179/$G$8</f>
      </c>
      <c r="D179" s="11" t="s">
        <v>80</v>
      </c>
    </row>
    <row r="180">
      <c r="A180" s="12">
        <v>176</v>
      </c>
      <c r="B180" s="12" t="str">
        <f>MOD($G$6*B179 + $G$7, $G$8)</f>
      </c>
      <c r="C180" s="12" t="str">
        <f>B180/$G$8</f>
      </c>
      <c r="D180" s="12" t="s">
        <v>80</v>
      </c>
    </row>
    <row r="181">
      <c r="A181" s="11">
        <v>177</v>
      </c>
      <c r="B181" s="11" t="str">
        <f>MOD($G$6*B180 + $G$7, $G$8)</f>
      </c>
      <c r="C181" s="11" t="str">
        <f>B181/$G$8</f>
      </c>
      <c r="D181" s="11" t="s">
        <v>80</v>
      </c>
    </row>
    <row r="182">
      <c r="A182" s="12">
        <v>178</v>
      </c>
      <c r="B182" s="12" t="str">
        <f>MOD($G$6*B181 + $G$7, $G$8)</f>
      </c>
      <c r="C182" s="12" t="str">
        <f>B182/$G$8</f>
      </c>
      <c r="D182" s="12" t="s">
        <v>80</v>
      </c>
    </row>
    <row r="183">
      <c r="A183" s="11">
        <v>179</v>
      </c>
      <c r="B183" s="11" t="str">
        <f>MOD($G$6*B182 + $G$7, $G$8)</f>
      </c>
      <c r="C183" s="11" t="str">
        <f>B183/$G$8</f>
      </c>
      <c r="D183" s="11" t="s">
        <v>80</v>
      </c>
    </row>
    <row r="184">
      <c r="A184" s="12">
        <v>180</v>
      </c>
      <c r="B184" s="12" t="str">
        <f>MOD($G$6*B183 + $G$7, $G$8)</f>
      </c>
      <c r="C184" s="12" t="str">
        <f>B184/$G$8</f>
      </c>
      <c r="D184" s="12" t="s">
        <v>80</v>
      </c>
    </row>
    <row r="185">
      <c r="A185" s="11">
        <v>181</v>
      </c>
      <c r="B185" s="11" t="str">
        <f>MOD($G$6*B184 + $G$7, $G$8)</f>
      </c>
      <c r="C185" s="11" t="str">
        <f>B185/$G$8</f>
      </c>
      <c r="D185" s="11" t="s">
        <v>80</v>
      </c>
    </row>
    <row r="186">
      <c r="A186" s="12">
        <v>182</v>
      </c>
      <c r="B186" s="12" t="str">
        <f>MOD($G$6*B185 + $G$7, $G$8)</f>
      </c>
      <c r="C186" s="12" t="str">
        <f>B186/$G$8</f>
      </c>
      <c r="D186" s="12" t="s">
        <v>80</v>
      </c>
    </row>
    <row r="187">
      <c r="A187" s="11">
        <v>183</v>
      </c>
      <c r="B187" s="11" t="str">
        <f>MOD($G$6*B186 + $G$7, $G$8)</f>
      </c>
      <c r="C187" s="11" t="str">
        <f>B187/$G$8</f>
      </c>
      <c r="D187" s="11" t="s">
        <v>80</v>
      </c>
    </row>
    <row r="188">
      <c r="A188" s="12">
        <v>184</v>
      </c>
      <c r="B188" s="12" t="str">
        <f>MOD($G$6*B187 + $G$7, $G$8)</f>
      </c>
      <c r="C188" s="12" t="str">
        <f>B188/$G$8</f>
      </c>
      <c r="D188" s="12" t="s">
        <v>80</v>
      </c>
    </row>
    <row r="189">
      <c r="A189" s="11">
        <v>185</v>
      </c>
      <c r="B189" s="11" t="str">
        <f>MOD($G$6*B188 + $G$7, $G$8)</f>
      </c>
      <c r="C189" s="11" t="str">
        <f>B189/$G$8</f>
      </c>
      <c r="D189" s="11" t="s">
        <v>80</v>
      </c>
    </row>
    <row r="190">
      <c r="A190" s="12">
        <v>186</v>
      </c>
      <c r="B190" s="12" t="str">
        <f>MOD($G$6*B189 + $G$7, $G$8)</f>
      </c>
      <c r="C190" s="12" t="str">
        <f>B190/$G$8</f>
      </c>
      <c r="D190" s="12" t="s">
        <v>80</v>
      </c>
    </row>
    <row r="191">
      <c r="A191" s="11">
        <v>187</v>
      </c>
      <c r="B191" s="11" t="str">
        <f>MOD($G$6*B190 + $G$7, $G$8)</f>
      </c>
      <c r="C191" s="11" t="str">
        <f>B191/$G$8</f>
      </c>
      <c r="D191" s="11" t="s">
        <v>80</v>
      </c>
    </row>
    <row r="192">
      <c r="A192" s="12">
        <v>188</v>
      </c>
      <c r="B192" s="12" t="str">
        <f>MOD($G$6*B191 + $G$7, $G$8)</f>
      </c>
      <c r="C192" s="12" t="str">
        <f>B192/$G$8</f>
      </c>
      <c r="D192" s="12" t="s">
        <v>80</v>
      </c>
    </row>
    <row r="193">
      <c r="A193" s="11">
        <v>189</v>
      </c>
      <c r="B193" s="11" t="str">
        <f>MOD($G$6*B192 + $G$7, $G$8)</f>
      </c>
      <c r="C193" s="11" t="str">
        <f>B193/$G$8</f>
      </c>
      <c r="D193" s="11" t="s">
        <v>80</v>
      </c>
    </row>
    <row r="194">
      <c r="A194" s="12">
        <v>190</v>
      </c>
      <c r="B194" s="12" t="str">
        <f>MOD($G$6*B193 + $G$7, $G$8)</f>
      </c>
      <c r="C194" s="12" t="str">
        <f>B194/$G$8</f>
      </c>
      <c r="D194" s="12" t="s">
        <v>80</v>
      </c>
    </row>
    <row r="195">
      <c r="A195" s="11">
        <v>191</v>
      </c>
      <c r="B195" s="11" t="str">
        <f>MOD($G$6*B194 + $G$7, $G$8)</f>
      </c>
      <c r="C195" s="11" t="str">
        <f>B195/$G$8</f>
      </c>
      <c r="D195" s="11" t="s">
        <v>80</v>
      </c>
    </row>
    <row r="196">
      <c r="A196" s="12">
        <v>192</v>
      </c>
      <c r="B196" s="12" t="str">
        <f>MOD($G$6*B195 + $G$7, $G$8)</f>
      </c>
      <c r="C196" s="12" t="str">
        <f>B196/$G$8</f>
      </c>
      <c r="D196" s="12" t="s">
        <v>80</v>
      </c>
    </row>
    <row r="197">
      <c r="A197" s="11">
        <v>193</v>
      </c>
      <c r="B197" s="11" t="str">
        <f>MOD($G$6*B196 + $G$7, $G$8)</f>
      </c>
      <c r="C197" s="11" t="str">
        <f>B197/$G$8</f>
      </c>
      <c r="D197" s="11" t="s">
        <v>80</v>
      </c>
    </row>
    <row r="198">
      <c r="A198" s="12">
        <v>194</v>
      </c>
      <c r="B198" s="12" t="str">
        <f>MOD($G$6*B197 + $G$7, $G$8)</f>
      </c>
      <c r="C198" s="12" t="str">
        <f>B198/$G$8</f>
      </c>
      <c r="D198" s="12" t="s">
        <v>80</v>
      </c>
    </row>
    <row r="199">
      <c r="A199" s="11">
        <v>195</v>
      </c>
      <c r="B199" s="11" t="str">
        <f>MOD($G$6*B198 + $G$7, $G$8)</f>
      </c>
      <c r="C199" s="11" t="str">
        <f>B199/$G$8</f>
      </c>
      <c r="D199" s="11" t="s">
        <v>80</v>
      </c>
    </row>
    <row r="200">
      <c r="A200" s="12">
        <v>196</v>
      </c>
      <c r="B200" s="12" t="str">
        <f>MOD($G$6*B199 + $G$7, $G$8)</f>
      </c>
      <c r="C200" s="12" t="str">
        <f>B200/$G$8</f>
      </c>
      <c r="D200" s="12" t="s">
        <v>80</v>
      </c>
    </row>
    <row r="201">
      <c r="A201" s="11">
        <v>197</v>
      </c>
      <c r="B201" s="11" t="str">
        <f>MOD($G$6*B200 + $G$7, $G$8)</f>
      </c>
      <c r="C201" s="11" t="str">
        <f>B201/$G$8</f>
      </c>
      <c r="D201" s="11" t="s">
        <v>80</v>
      </c>
    </row>
    <row r="202">
      <c r="A202" s="12">
        <v>198</v>
      </c>
      <c r="B202" s="12" t="str">
        <f>MOD($G$6*B201 + $G$7, $G$8)</f>
      </c>
      <c r="C202" s="12" t="str">
        <f>B202/$G$8</f>
      </c>
      <c r="D202" s="12" t="s">
        <v>80</v>
      </c>
    </row>
    <row r="203">
      <c r="A203" s="11">
        <v>199</v>
      </c>
      <c r="B203" s="11" t="str">
        <f>MOD($G$6*B202 + $G$7, $G$8)</f>
      </c>
      <c r="C203" s="11" t="str">
        <f>B203/$G$8</f>
      </c>
      <c r="D203" s="11" t="s">
        <v>80</v>
      </c>
    </row>
    <row r="204">
      <c r="A204" s="12">
        <v>200</v>
      </c>
      <c r="B204" s="12" t="str">
        <f>MOD($G$6*B203 + $G$7, $G$8)</f>
      </c>
      <c r="C204" s="12" t="str">
        <f>B204/$G$8</f>
      </c>
      <c r="D204" s="12" t="s">
        <v>80</v>
      </c>
    </row>
    <row r="205">
      <c r="A205" s="11">
        <v>201</v>
      </c>
      <c r="B205" s="11" t="str">
        <f>MOD($G$6*B204 + $G$7, $G$8)</f>
      </c>
      <c r="C205" s="11" t="str">
        <f>B205/$G$8</f>
      </c>
      <c r="D205" s="11" t="s">
        <v>80</v>
      </c>
    </row>
    <row r="206">
      <c r="A206" s="12">
        <v>202</v>
      </c>
      <c r="B206" s="12" t="str">
        <f>MOD($G$6*B205 + $G$7, $G$8)</f>
      </c>
      <c r="C206" s="12" t="str">
        <f>B206/$G$8</f>
      </c>
      <c r="D206" s="12" t="s">
        <v>80</v>
      </c>
    </row>
    <row r="207">
      <c r="A207" s="11">
        <v>203</v>
      </c>
      <c r="B207" s="11" t="str">
        <f>MOD($G$6*B206 + $G$7, $G$8)</f>
      </c>
      <c r="C207" s="11" t="str">
        <f>B207/$G$8</f>
      </c>
      <c r="D207" s="11" t="s">
        <v>80</v>
      </c>
    </row>
    <row r="208">
      <c r="A208" s="12">
        <v>204</v>
      </c>
      <c r="B208" s="12" t="str">
        <f>MOD($G$6*B207 + $G$7, $G$8)</f>
      </c>
      <c r="C208" s="12" t="str">
        <f>B208/$G$8</f>
      </c>
      <c r="D208" s="12" t="s">
        <v>80</v>
      </c>
    </row>
    <row r="209">
      <c r="A209" s="11">
        <v>205</v>
      </c>
      <c r="B209" s="11" t="str">
        <f>MOD($G$6*B208 + $G$7, $G$8)</f>
      </c>
      <c r="C209" s="11" t="str">
        <f>B209/$G$8</f>
      </c>
      <c r="D209" s="11" t="s">
        <v>80</v>
      </c>
    </row>
    <row r="210">
      <c r="A210" s="12">
        <v>206</v>
      </c>
      <c r="B210" s="12" t="str">
        <f>MOD($G$6*B209 + $G$7, $G$8)</f>
      </c>
      <c r="C210" s="12" t="str">
        <f>B210/$G$8</f>
      </c>
      <c r="D210" s="12" t="s">
        <v>80</v>
      </c>
    </row>
    <row r="211">
      <c r="A211" s="11">
        <v>207</v>
      </c>
      <c r="B211" s="11" t="str">
        <f>MOD($G$6*B210 + $G$7, $G$8)</f>
      </c>
      <c r="C211" s="11" t="str">
        <f>B211/$G$8</f>
      </c>
      <c r="D211" s="11" t="s">
        <v>80</v>
      </c>
    </row>
    <row r="212">
      <c r="A212" s="12">
        <v>208</v>
      </c>
      <c r="B212" s="12" t="str">
        <f>MOD($G$6*B211 + $G$7, $G$8)</f>
      </c>
      <c r="C212" s="12" t="str">
        <f>B212/$G$8</f>
      </c>
      <c r="D212" s="12" t="s">
        <v>80</v>
      </c>
    </row>
    <row r="213">
      <c r="A213" s="11">
        <v>209</v>
      </c>
      <c r="B213" s="11" t="str">
        <f>MOD($G$6*B212 + $G$7, $G$8)</f>
      </c>
      <c r="C213" s="11" t="str">
        <f>B213/$G$8</f>
      </c>
      <c r="D213" s="11" t="s">
        <v>80</v>
      </c>
    </row>
    <row r="214">
      <c r="A214" s="12">
        <v>210</v>
      </c>
      <c r="B214" s="12" t="str">
        <f>MOD($G$6*B213 + $G$7, $G$8)</f>
      </c>
      <c r="C214" s="12" t="str">
        <f>B214/$G$8</f>
      </c>
      <c r="D214" s="12" t="s">
        <v>80</v>
      </c>
    </row>
    <row r="215">
      <c r="A215" s="11">
        <v>211</v>
      </c>
      <c r="B215" s="11" t="str">
        <f>MOD($G$6*B214 + $G$7, $G$8)</f>
      </c>
      <c r="C215" s="11" t="str">
        <f>B215/$G$8</f>
      </c>
      <c r="D215" s="11" t="s">
        <v>80</v>
      </c>
    </row>
    <row r="216">
      <c r="A216" s="12">
        <v>212</v>
      </c>
      <c r="B216" s="12" t="str">
        <f>MOD($G$6*B215 + $G$7, $G$8)</f>
      </c>
      <c r="C216" s="12" t="str">
        <f>B216/$G$8</f>
      </c>
      <c r="D216" s="12" t="s">
        <v>80</v>
      </c>
    </row>
    <row r="217">
      <c r="A217" s="11">
        <v>213</v>
      </c>
      <c r="B217" s="11" t="str">
        <f>MOD($G$6*B216 + $G$7, $G$8)</f>
      </c>
      <c r="C217" s="11" t="str">
        <f>B217/$G$8</f>
      </c>
      <c r="D217" s="11" t="s">
        <v>80</v>
      </c>
    </row>
    <row r="218">
      <c r="A218" s="12">
        <v>214</v>
      </c>
      <c r="B218" s="12" t="str">
        <f>MOD($G$6*B217 + $G$7, $G$8)</f>
      </c>
      <c r="C218" s="12" t="str">
        <f>B218/$G$8</f>
      </c>
      <c r="D218" s="12" t="s">
        <v>80</v>
      </c>
    </row>
    <row r="219">
      <c r="A219" s="11">
        <v>215</v>
      </c>
      <c r="B219" s="11" t="str">
        <f>MOD($G$6*B218 + $G$7, $G$8)</f>
      </c>
      <c r="C219" s="11" t="str">
        <f>B219/$G$8</f>
      </c>
      <c r="D219" s="11" t="s">
        <v>80</v>
      </c>
    </row>
    <row r="220">
      <c r="A220" s="12">
        <v>216</v>
      </c>
      <c r="B220" s="12" t="str">
        <f>MOD($G$6*B219 + $G$7, $G$8)</f>
      </c>
      <c r="C220" s="12" t="str">
        <f>B220/$G$8</f>
      </c>
      <c r="D220" s="12" t="s">
        <v>80</v>
      </c>
    </row>
    <row r="221">
      <c r="A221" s="11">
        <v>217</v>
      </c>
      <c r="B221" s="11" t="str">
        <f>MOD($G$6*B220 + $G$7, $G$8)</f>
      </c>
      <c r="C221" s="11" t="str">
        <f>B221/$G$8</f>
      </c>
      <c r="D221" s="11" t="s">
        <v>80</v>
      </c>
    </row>
    <row r="222">
      <c r="A222" s="12">
        <v>218</v>
      </c>
      <c r="B222" s="12" t="str">
        <f>MOD($G$6*B221 + $G$7, $G$8)</f>
      </c>
      <c r="C222" s="12" t="str">
        <f>B222/$G$8</f>
      </c>
      <c r="D222" s="12" t="s">
        <v>80</v>
      </c>
    </row>
    <row r="223">
      <c r="A223" s="11">
        <v>219</v>
      </c>
      <c r="B223" s="11" t="str">
        <f>MOD($G$6*B222 + $G$7, $G$8)</f>
      </c>
      <c r="C223" s="11" t="str">
        <f>B223/$G$8</f>
      </c>
      <c r="D223" s="11" t="s">
        <v>80</v>
      </c>
    </row>
    <row r="224">
      <c r="A224" s="12">
        <v>220</v>
      </c>
      <c r="B224" s="12" t="str">
        <f>MOD($G$6*B223 + $G$7, $G$8)</f>
      </c>
      <c r="C224" s="12" t="str">
        <f>B224/$G$8</f>
      </c>
      <c r="D224" s="12" t="s">
        <v>80</v>
      </c>
    </row>
    <row r="225">
      <c r="A225" s="11">
        <v>221</v>
      </c>
      <c r="B225" s="11" t="str">
        <f>MOD($G$6*B224 + $G$7, $G$8)</f>
      </c>
      <c r="C225" s="11" t="str">
        <f>B225/$G$8</f>
      </c>
      <c r="D225" s="11" t="s">
        <v>80</v>
      </c>
    </row>
    <row r="226">
      <c r="A226" s="12">
        <v>222</v>
      </c>
      <c r="B226" s="12" t="str">
        <f>MOD($G$6*B225 + $G$7, $G$8)</f>
      </c>
      <c r="C226" s="12" t="str">
        <f>B226/$G$8</f>
      </c>
      <c r="D226" s="12" t="s">
        <v>80</v>
      </c>
    </row>
    <row r="227">
      <c r="A227" s="11">
        <v>223</v>
      </c>
      <c r="B227" s="11" t="str">
        <f>MOD($G$6*B226 + $G$7, $G$8)</f>
      </c>
      <c r="C227" s="11" t="str">
        <f>B227/$G$8</f>
      </c>
      <c r="D227" s="11" t="s">
        <v>80</v>
      </c>
    </row>
    <row r="228">
      <c r="A228" s="12">
        <v>224</v>
      </c>
      <c r="B228" s="12" t="str">
        <f>MOD($G$6*B227 + $G$7, $G$8)</f>
      </c>
      <c r="C228" s="12" t="str">
        <f>B228/$G$8</f>
      </c>
      <c r="D228" s="12" t="s">
        <v>80</v>
      </c>
    </row>
    <row r="229">
      <c r="A229" s="11">
        <v>225</v>
      </c>
      <c r="B229" s="11" t="str">
        <f>MOD($G$6*B228 + $G$7, $G$8)</f>
      </c>
      <c r="C229" s="11" t="str">
        <f>B229/$G$8</f>
      </c>
      <c r="D229" s="11" t="s">
        <v>80</v>
      </c>
    </row>
    <row r="230">
      <c r="A230" s="12">
        <v>226</v>
      </c>
      <c r="B230" s="12" t="str">
        <f>MOD($G$6*B229 + $G$7, $G$8)</f>
      </c>
      <c r="C230" s="12" t="str">
        <f>B230/$G$8</f>
      </c>
      <c r="D230" s="12" t="s">
        <v>80</v>
      </c>
    </row>
    <row r="231">
      <c r="A231" s="11">
        <v>227</v>
      </c>
      <c r="B231" s="11" t="str">
        <f>MOD($G$6*B230 + $G$7, $G$8)</f>
      </c>
      <c r="C231" s="11" t="str">
        <f>B231/$G$8</f>
      </c>
      <c r="D231" s="11" t="s">
        <v>80</v>
      </c>
    </row>
    <row r="232">
      <c r="A232" s="12">
        <v>228</v>
      </c>
      <c r="B232" s="12" t="str">
        <f>MOD($G$6*B231 + $G$7, $G$8)</f>
      </c>
      <c r="C232" s="12" t="str">
        <f>B232/$G$8</f>
      </c>
      <c r="D232" s="12" t="s">
        <v>80</v>
      </c>
    </row>
    <row r="233">
      <c r="A233" s="11">
        <v>229</v>
      </c>
      <c r="B233" s="11" t="str">
        <f>MOD($G$6*B232 + $G$7, $G$8)</f>
      </c>
      <c r="C233" s="11" t="str">
        <f>B233/$G$8</f>
      </c>
      <c r="D233" s="11" t="s">
        <v>80</v>
      </c>
    </row>
    <row r="234">
      <c r="A234" s="12">
        <v>230</v>
      </c>
      <c r="B234" s="12" t="str">
        <f>MOD($G$6*B233 + $G$7, $G$8)</f>
      </c>
      <c r="C234" s="12" t="str">
        <f>B234/$G$8</f>
      </c>
      <c r="D234" s="12" t="s">
        <v>80</v>
      </c>
    </row>
    <row r="235">
      <c r="A235" s="11">
        <v>231</v>
      </c>
      <c r="B235" s="11" t="str">
        <f>MOD($G$6*B234 + $G$7, $G$8)</f>
      </c>
      <c r="C235" s="11" t="str">
        <f>B235/$G$8</f>
      </c>
      <c r="D235" s="11" t="s">
        <v>80</v>
      </c>
    </row>
    <row r="236">
      <c r="A236" s="12">
        <v>232</v>
      </c>
      <c r="B236" s="12" t="str">
        <f>MOD($G$6*B235 + $G$7, $G$8)</f>
      </c>
      <c r="C236" s="12" t="str">
        <f>B236/$G$8</f>
      </c>
      <c r="D236" s="12" t="s">
        <v>80</v>
      </c>
    </row>
    <row r="237">
      <c r="A237" s="11">
        <v>233</v>
      </c>
      <c r="B237" s="11" t="str">
        <f>MOD($G$6*B236 + $G$7, $G$8)</f>
      </c>
      <c r="C237" s="11" t="str">
        <f>B237/$G$8</f>
      </c>
      <c r="D237" s="11" t="s">
        <v>80</v>
      </c>
    </row>
    <row r="238">
      <c r="A238" s="12">
        <v>234</v>
      </c>
      <c r="B238" s="12" t="str">
        <f>MOD($G$6*B237 + $G$7, $G$8)</f>
      </c>
      <c r="C238" s="12" t="str">
        <f>B238/$G$8</f>
      </c>
      <c r="D238" s="12" t="s">
        <v>80</v>
      </c>
    </row>
    <row r="239">
      <c r="A239" s="11">
        <v>235</v>
      </c>
      <c r="B239" s="11" t="str">
        <f>MOD($G$6*B238 + $G$7, $G$8)</f>
      </c>
      <c r="C239" s="11" t="str">
        <f>B239/$G$8</f>
      </c>
      <c r="D239" s="11" t="s">
        <v>80</v>
      </c>
    </row>
    <row r="240">
      <c r="A240" s="12">
        <v>236</v>
      </c>
      <c r="B240" s="12" t="str">
        <f>MOD($G$6*B239 + $G$7, $G$8)</f>
      </c>
      <c r="C240" s="12" t="str">
        <f>B240/$G$8</f>
      </c>
      <c r="D240" s="12" t="s">
        <v>80</v>
      </c>
    </row>
    <row r="241">
      <c r="A241" s="11">
        <v>237</v>
      </c>
      <c r="B241" s="11" t="str">
        <f>MOD($G$6*B240 + $G$7, $G$8)</f>
      </c>
      <c r="C241" s="11" t="str">
        <f>B241/$G$8</f>
      </c>
      <c r="D241" s="11" t="s">
        <v>80</v>
      </c>
    </row>
    <row r="242">
      <c r="A242" s="12">
        <v>238</v>
      </c>
      <c r="B242" s="12" t="str">
        <f>MOD($G$6*B241 + $G$7, $G$8)</f>
      </c>
      <c r="C242" s="12" t="str">
        <f>B242/$G$8</f>
      </c>
      <c r="D242" s="12" t="s">
        <v>80</v>
      </c>
    </row>
    <row r="243">
      <c r="A243" s="11">
        <v>239</v>
      </c>
      <c r="B243" s="11" t="str">
        <f>MOD($G$6*B242 + $G$7, $G$8)</f>
      </c>
      <c r="C243" s="11" t="str">
        <f>B243/$G$8</f>
      </c>
      <c r="D243" s="11" t="s">
        <v>80</v>
      </c>
    </row>
    <row r="244">
      <c r="A244" s="12">
        <v>240</v>
      </c>
      <c r="B244" s="12" t="str">
        <f>MOD($G$6*B243 + $G$7, $G$8)</f>
      </c>
      <c r="C244" s="12" t="str">
        <f>B244/$G$8</f>
      </c>
      <c r="D244" s="12" t="s">
        <v>80</v>
      </c>
    </row>
    <row r="245">
      <c r="A245" s="11">
        <v>241</v>
      </c>
      <c r="B245" s="11" t="str">
        <f>MOD($G$6*B244 + $G$7, $G$8)</f>
      </c>
      <c r="C245" s="11" t="str">
        <f>B245/$G$8</f>
      </c>
      <c r="D245" s="11" t="s">
        <v>80</v>
      </c>
    </row>
    <row r="246">
      <c r="A246" s="12">
        <v>242</v>
      </c>
      <c r="B246" s="12" t="str">
        <f>MOD($G$6*B245 + $G$7, $G$8)</f>
      </c>
      <c r="C246" s="12" t="str">
        <f>B246/$G$8</f>
      </c>
      <c r="D246" s="12" t="s">
        <v>80</v>
      </c>
    </row>
    <row r="247">
      <c r="A247" s="11">
        <v>243</v>
      </c>
      <c r="B247" s="11" t="str">
        <f>MOD($G$6*B246 + $G$7, $G$8)</f>
      </c>
      <c r="C247" s="11" t="str">
        <f>B247/$G$8</f>
      </c>
      <c r="D247" s="11" t="s">
        <v>80</v>
      </c>
    </row>
    <row r="248">
      <c r="A248" s="12">
        <v>244</v>
      </c>
      <c r="B248" s="12" t="str">
        <f>MOD($G$6*B247 + $G$7, $G$8)</f>
      </c>
      <c r="C248" s="12" t="str">
        <f>B248/$G$8</f>
      </c>
      <c r="D248" s="12" t="s">
        <v>80</v>
      </c>
    </row>
    <row r="249">
      <c r="A249" s="11">
        <v>245</v>
      </c>
      <c r="B249" s="11" t="str">
        <f>MOD($G$6*B248 + $G$7, $G$8)</f>
      </c>
      <c r="C249" s="11" t="str">
        <f>B249/$G$8</f>
      </c>
      <c r="D249" s="11" t="s">
        <v>80</v>
      </c>
    </row>
    <row r="250">
      <c r="A250" s="12">
        <v>246</v>
      </c>
      <c r="B250" s="12" t="str">
        <f>MOD($G$6*B249 + $G$7, $G$8)</f>
      </c>
      <c r="C250" s="12" t="str">
        <f>B250/$G$8</f>
      </c>
      <c r="D250" s="12" t="s">
        <v>80</v>
      </c>
    </row>
    <row r="251">
      <c r="A251" s="11">
        <v>247</v>
      </c>
      <c r="B251" s="11" t="str">
        <f>MOD($G$6*B250 + $G$7, $G$8)</f>
      </c>
      <c r="C251" s="11" t="str">
        <f>B251/$G$8</f>
      </c>
      <c r="D251" s="11" t="s">
        <v>80</v>
      </c>
    </row>
    <row r="252">
      <c r="A252" s="12">
        <v>248</v>
      </c>
      <c r="B252" s="12" t="str">
        <f>MOD($G$6*B251 + $G$7, $G$8)</f>
      </c>
      <c r="C252" s="12" t="str">
        <f>B252/$G$8</f>
      </c>
      <c r="D252" s="12" t="s">
        <v>80</v>
      </c>
    </row>
    <row r="253">
      <c r="A253" s="11">
        <v>249</v>
      </c>
      <c r="B253" s="11" t="str">
        <f>MOD($G$6*B252 + $G$7, $G$8)</f>
      </c>
      <c r="C253" s="11" t="str">
        <f>B253/$G$8</f>
      </c>
      <c r="D253" s="11" t="s">
        <v>80</v>
      </c>
    </row>
    <row r="254">
      <c r="A254" s="12">
        <v>250</v>
      </c>
      <c r="B254" s="12" t="str">
        <f>MOD($G$6*B253 + $G$7, $G$8)</f>
      </c>
      <c r="C254" s="12" t="str">
        <f>B254/$G$8</f>
      </c>
      <c r="D254" s="12" t="s">
        <v>80</v>
      </c>
    </row>
    <row r="255">
      <c r="A255" s="11">
        <v>251</v>
      </c>
      <c r="B255" s="11" t="str">
        <f>MOD($G$6*B254 + $G$7, $G$8)</f>
      </c>
      <c r="C255" s="11" t="str">
        <f>B255/$G$8</f>
      </c>
      <c r="D255" s="11" t="s">
        <v>80</v>
      </c>
    </row>
    <row r="256">
      <c r="A256" s="12">
        <v>252</v>
      </c>
      <c r="B256" s="12" t="str">
        <f>MOD($G$6*B255 + $G$7, $G$8)</f>
      </c>
      <c r="C256" s="12" t="str">
        <f>B256/$G$8</f>
      </c>
      <c r="D256" s="12" t="s">
        <v>80</v>
      </c>
    </row>
    <row r="257">
      <c r="A257" s="11">
        <v>253</v>
      </c>
      <c r="B257" s="11" t="str">
        <f>MOD($G$6*B256 + $G$7, $G$8)</f>
      </c>
      <c r="C257" s="11" t="str">
        <f>B257/$G$8</f>
      </c>
      <c r="D257" s="11" t="s">
        <v>80</v>
      </c>
    </row>
    <row r="258">
      <c r="A258" s="12">
        <v>254</v>
      </c>
      <c r="B258" s="12" t="str">
        <f>MOD($G$6*B257 + $G$7, $G$8)</f>
      </c>
      <c r="C258" s="12" t="str">
        <f>B258/$G$8</f>
      </c>
      <c r="D258" s="12" t="s">
        <v>80</v>
      </c>
    </row>
    <row r="259">
      <c r="A259" s="11">
        <v>255</v>
      </c>
      <c r="B259" s="11" t="str">
        <f>MOD($G$6*B258 + $G$7, $G$8)</f>
      </c>
      <c r="C259" s="11" t="str">
        <f>B259/$G$8</f>
      </c>
      <c r="D259" s="11" t="s">
        <v>80</v>
      </c>
    </row>
    <row r="260">
      <c r="A260" s="12">
        <v>256</v>
      </c>
      <c r="B260" s="12" t="str">
        <f>MOD($G$6*B259 + $G$7, $G$8)</f>
      </c>
      <c r="C260" s="12" t="str">
        <f>B260/$G$8</f>
      </c>
      <c r="D260" s="12" t="s">
        <v>80</v>
      </c>
    </row>
    <row r="261">
      <c r="A261" s="11">
        <v>257</v>
      </c>
      <c r="B261" s="11" t="str">
        <f>MOD($G$6*B260 + $G$7, $G$8)</f>
      </c>
      <c r="C261" s="11" t="str">
        <f>B261/$G$8</f>
      </c>
      <c r="D261" s="11" t="s">
        <v>80</v>
      </c>
    </row>
    <row r="262">
      <c r="A262" s="12">
        <v>258</v>
      </c>
      <c r="B262" s="12" t="str">
        <f>MOD($G$6*B261 + $G$7, $G$8)</f>
      </c>
      <c r="C262" s="12" t="str">
        <f>B262/$G$8</f>
      </c>
      <c r="D262" s="12" t="s">
        <v>80</v>
      </c>
    </row>
    <row r="263">
      <c r="A263" s="11">
        <v>259</v>
      </c>
      <c r="B263" s="11" t="str">
        <f>MOD($G$6*B262 + $G$7, $G$8)</f>
      </c>
      <c r="C263" s="11" t="str">
        <f>B263/$G$8</f>
      </c>
      <c r="D263" s="11" t="s">
        <v>80</v>
      </c>
    </row>
    <row r="264">
      <c r="A264" s="12">
        <v>260</v>
      </c>
      <c r="B264" s="12" t="str">
        <f>MOD($G$6*B263 + $G$7, $G$8)</f>
      </c>
      <c r="C264" s="12" t="str">
        <f>B264/$G$8</f>
      </c>
      <c r="D264" s="12" t="s">
        <v>80</v>
      </c>
    </row>
    <row r="265">
      <c r="A265" s="11">
        <v>261</v>
      </c>
      <c r="B265" s="11" t="str">
        <f>MOD($G$6*B264 + $G$7, $G$8)</f>
      </c>
      <c r="C265" s="11" t="str">
        <f>B265/$G$8</f>
      </c>
      <c r="D265" s="11" t="s">
        <v>80</v>
      </c>
    </row>
    <row r="266">
      <c r="A266" s="12">
        <v>262</v>
      </c>
      <c r="B266" s="12" t="str">
        <f>MOD($G$6*B265 + $G$7, $G$8)</f>
      </c>
      <c r="C266" s="12" t="str">
        <f>B266/$G$8</f>
      </c>
      <c r="D266" s="12" t="s">
        <v>80</v>
      </c>
    </row>
    <row r="267">
      <c r="A267" s="11">
        <v>263</v>
      </c>
      <c r="B267" s="11" t="str">
        <f>MOD($G$6*B266 + $G$7, $G$8)</f>
      </c>
      <c r="C267" s="11" t="str">
        <f>B267/$G$8</f>
      </c>
      <c r="D267" s="11" t="s">
        <v>80</v>
      </c>
    </row>
    <row r="268">
      <c r="A268" s="12">
        <v>264</v>
      </c>
      <c r="B268" s="12" t="str">
        <f>MOD($G$6*B267 + $G$7, $G$8)</f>
      </c>
      <c r="C268" s="12" t="str">
        <f>B268/$G$8</f>
      </c>
      <c r="D268" s="12" t="s">
        <v>80</v>
      </c>
    </row>
    <row r="269">
      <c r="A269" s="11">
        <v>265</v>
      </c>
      <c r="B269" s="11" t="str">
        <f>MOD($G$6*B268 + $G$7, $G$8)</f>
      </c>
      <c r="C269" s="11" t="str">
        <f>B269/$G$8</f>
      </c>
      <c r="D269" s="11" t="s">
        <v>80</v>
      </c>
    </row>
    <row r="270">
      <c r="A270" s="12">
        <v>266</v>
      </c>
      <c r="B270" s="12" t="str">
        <f>MOD($G$6*B269 + $G$7, $G$8)</f>
      </c>
      <c r="C270" s="12" t="str">
        <f>B270/$G$8</f>
      </c>
      <c r="D270" s="12" t="s">
        <v>80</v>
      </c>
    </row>
    <row r="271">
      <c r="A271" s="11">
        <v>267</v>
      </c>
      <c r="B271" s="11" t="str">
        <f>MOD($G$6*B270 + $G$7, $G$8)</f>
      </c>
      <c r="C271" s="11" t="str">
        <f>B271/$G$8</f>
      </c>
      <c r="D271" s="11" t="s">
        <v>80</v>
      </c>
    </row>
    <row r="272">
      <c r="A272" s="12">
        <v>268</v>
      </c>
      <c r="B272" s="12" t="str">
        <f>MOD($G$6*B271 + $G$7, $G$8)</f>
      </c>
      <c r="C272" s="12" t="str">
        <f>B272/$G$8</f>
      </c>
      <c r="D272" s="12" t="s">
        <v>80</v>
      </c>
    </row>
    <row r="273">
      <c r="A273" s="11">
        <v>269</v>
      </c>
      <c r="B273" s="11" t="str">
        <f>MOD($G$6*B272 + $G$7, $G$8)</f>
      </c>
      <c r="C273" s="11" t="str">
        <f>B273/$G$8</f>
      </c>
      <c r="D273" s="11" t="s">
        <v>80</v>
      </c>
    </row>
    <row r="274">
      <c r="A274" s="12">
        <v>270</v>
      </c>
      <c r="B274" s="12" t="str">
        <f>MOD($G$6*B273 + $G$7, $G$8)</f>
      </c>
      <c r="C274" s="12" t="str">
        <f>B274/$G$8</f>
      </c>
      <c r="D274" s="12" t="s">
        <v>80</v>
      </c>
    </row>
    <row r="275">
      <c r="A275" s="11">
        <v>271</v>
      </c>
      <c r="B275" s="11" t="str">
        <f>MOD($G$6*B274 + $G$7, $G$8)</f>
      </c>
      <c r="C275" s="11" t="str">
        <f>B275/$G$8</f>
      </c>
      <c r="D275" s="11" t="s">
        <v>80</v>
      </c>
    </row>
    <row r="276">
      <c r="A276" s="12">
        <v>272</v>
      </c>
      <c r="B276" s="12" t="str">
        <f>MOD($G$6*B275 + $G$7, $G$8)</f>
      </c>
      <c r="C276" s="12" t="str">
        <f>B276/$G$8</f>
      </c>
      <c r="D276" s="12" t="s">
        <v>80</v>
      </c>
    </row>
    <row r="277">
      <c r="A277" s="11">
        <v>273</v>
      </c>
      <c r="B277" s="11" t="str">
        <f>MOD($G$6*B276 + $G$7, $G$8)</f>
      </c>
      <c r="C277" s="11" t="str">
        <f>B277/$G$8</f>
      </c>
      <c r="D277" s="11" t="s">
        <v>80</v>
      </c>
    </row>
    <row r="278">
      <c r="A278" s="12">
        <v>274</v>
      </c>
      <c r="B278" s="12" t="str">
        <f>MOD($G$6*B277 + $G$7, $G$8)</f>
      </c>
      <c r="C278" s="12" t="str">
        <f>B278/$G$8</f>
      </c>
      <c r="D278" s="12" t="s">
        <v>80</v>
      </c>
    </row>
    <row r="279">
      <c r="A279" s="11">
        <v>275</v>
      </c>
      <c r="B279" s="11" t="str">
        <f>MOD($G$6*B278 + $G$7, $G$8)</f>
      </c>
      <c r="C279" s="11" t="str">
        <f>B279/$G$8</f>
      </c>
      <c r="D279" s="11" t="s">
        <v>80</v>
      </c>
    </row>
    <row r="280">
      <c r="A280" s="12">
        <v>276</v>
      </c>
      <c r="B280" s="12" t="str">
        <f>MOD($G$6*B279 + $G$7, $G$8)</f>
      </c>
      <c r="C280" s="12" t="str">
        <f>B280/$G$8</f>
      </c>
      <c r="D280" s="12" t="s">
        <v>80</v>
      </c>
    </row>
    <row r="281">
      <c r="A281" s="11">
        <v>277</v>
      </c>
      <c r="B281" s="11" t="str">
        <f>MOD($G$6*B280 + $G$7, $G$8)</f>
      </c>
      <c r="C281" s="11" t="str">
        <f>B281/$G$8</f>
      </c>
      <c r="D281" s="11" t="s">
        <v>80</v>
      </c>
    </row>
    <row r="282">
      <c r="A282" s="12">
        <v>278</v>
      </c>
      <c r="B282" s="12" t="str">
        <f>MOD($G$6*B281 + $G$7, $G$8)</f>
      </c>
      <c r="C282" s="12" t="str">
        <f>B282/$G$8</f>
      </c>
      <c r="D282" s="12" t="s">
        <v>80</v>
      </c>
    </row>
    <row r="283">
      <c r="A283" s="11">
        <v>279</v>
      </c>
      <c r="B283" s="11" t="str">
        <f>MOD($G$6*B282 + $G$7, $G$8)</f>
      </c>
      <c r="C283" s="11" t="str">
        <f>B283/$G$8</f>
      </c>
      <c r="D283" s="11" t="s">
        <v>80</v>
      </c>
    </row>
    <row r="284">
      <c r="A284" s="12">
        <v>280</v>
      </c>
      <c r="B284" s="12" t="str">
        <f>MOD($G$6*B283 + $G$7, $G$8)</f>
      </c>
      <c r="C284" s="12" t="str">
        <f>B284/$G$8</f>
      </c>
      <c r="D284" s="12" t="s">
        <v>80</v>
      </c>
    </row>
    <row r="285">
      <c r="A285" s="11">
        <v>281</v>
      </c>
      <c r="B285" s="11" t="str">
        <f>MOD($G$6*B284 + $G$7, $G$8)</f>
      </c>
      <c r="C285" s="11" t="str">
        <f>B285/$G$8</f>
      </c>
      <c r="D285" s="11" t="s">
        <v>80</v>
      </c>
    </row>
    <row r="286">
      <c r="A286" s="12">
        <v>282</v>
      </c>
      <c r="B286" s="12" t="str">
        <f>MOD($G$6*B285 + $G$7, $G$8)</f>
      </c>
      <c r="C286" s="12" t="str">
        <f>B286/$G$8</f>
      </c>
      <c r="D286" s="12" t="s">
        <v>80</v>
      </c>
    </row>
    <row r="287">
      <c r="A287" s="11">
        <v>283</v>
      </c>
      <c r="B287" s="11" t="str">
        <f>MOD($G$6*B286 + $G$7, $G$8)</f>
      </c>
      <c r="C287" s="11" t="str">
        <f>B287/$G$8</f>
      </c>
      <c r="D287" s="11" t="s">
        <v>80</v>
      </c>
    </row>
    <row r="288">
      <c r="A288" s="12">
        <v>284</v>
      </c>
      <c r="B288" s="12" t="str">
        <f>MOD($G$6*B287 + $G$7, $G$8)</f>
      </c>
      <c r="C288" s="12" t="str">
        <f>B288/$G$8</f>
      </c>
      <c r="D288" s="12" t="s">
        <v>80</v>
      </c>
    </row>
    <row r="289">
      <c r="A289" s="11">
        <v>285</v>
      </c>
      <c r="B289" s="11" t="str">
        <f>MOD($G$6*B288 + $G$7, $G$8)</f>
      </c>
      <c r="C289" s="11" t="str">
        <f>B289/$G$8</f>
      </c>
      <c r="D289" s="11" t="s">
        <v>80</v>
      </c>
    </row>
    <row r="290">
      <c r="A290" s="12">
        <v>286</v>
      </c>
      <c r="B290" s="12" t="str">
        <f>MOD($G$6*B289 + $G$7, $G$8)</f>
      </c>
      <c r="C290" s="12" t="str">
        <f>B290/$G$8</f>
      </c>
      <c r="D290" s="12" t="s">
        <v>80</v>
      </c>
    </row>
    <row r="291">
      <c r="A291" s="11">
        <v>287</v>
      </c>
      <c r="B291" s="11" t="str">
        <f>MOD($G$6*B290 + $G$7, $G$8)</f>
      </c>
      <c r="C291" s="11" t="str">
        <f>B291/$G$8</f>
      </c>
      <c r="D291" s="11" t="s">
        <v>80</v>
      </c>
    </row>
    <row r="292">
      <c r="A292" s="12">
        <v>288</v>
      </c>
      <c r="B292" s="12" t="str">
        <f>MOD($G$6*B291 + $G$7, $G$8)</f>
      </c>
      <c r="C292" s="12" t="str">
        <f>B292/$G$8</f>
      </c>
      <c r="D292" s="12" t="s">
        <v>80</v>
      </c>
    </row>
    <row r="293">
      <c r="A293" s="11">
        <v>289</v>
      </c>
      <c r="B293" s="11" t="str">
        <f>MOD($G$6*B292 + $G$7, $G$8)</f>
      </c>
      <c r="C293" s="11" t="str">
        <f>B293/$G$8</f>
      </c>
      <c r="D293" s="11" t="s">
        <v>80</v>
      </c>
    </row>
    <row r="294">
      <c r="A294" s="12">
        <v>290</v>
      </c>
      <c r="B294" s="12" t="str">
        <f>MOD($G$6*B293 + $G$7, $G$8)</f>
      </c>
      <c r="C294" s="12" t="str">
        <f>B294/$G$8</f>
      </c>
      <c r="D294" s="12" t="s">
        <v>80</v>
      </c>
    </row>
    <row r="295">
      <c r="A295" s="11">
        <v>291</v>
      </c>
      <c r="B295" s="11" t="str">
        <f>MOD($G$6*B294 + $G$7, $G$8)</f>
      </c>
      <c r="C295" s="11" t="str">
        <f>B295/$G$8</f>
      </c>
      <c r="D295" s="11" t="s">
        <v>80</v>
      </c>
    </row>
    <row r="296">
      <c r="A296" s="12">
        <v>292</v>
      </c>
      <c r="B296" s="12" t="str">
        <f>MOD($G$6*B295 + $G$7, $G$8)</f>
      </c>
      <c r="C296" s="12" t="str">
        <f>B296/$G$8</f>
      </c>
      <c r="D296" s="12" t="s">
        <v>80</v>
      </c>
    </row>
    <row r="297">
      <c r="A297" s="11">
        <v>293</v>
      </c>
      <c r="B297" s="11" t="str">
        <f>MOD($G$6*B296 + $G$7, $G$8)</f>
      </c>
      <c r="C297" s="11" t="str">
        <f>B297/$G$8</f>
      </c>
      <c r="D297" s="11" t="s">
        <v>80</v>
      </c>
    </row>
    <row r="298">
      <c r="A298" s="12">
        <v>294</v>
      </c>
      <c r="B298" s="12" t="str">
        <f>MOD($G$6*B297 + $G$7, $G$8)</f>
      </c>
      <c r="C298" s="12" t="str">
        <f>B298/$G$8</f>
      </c>
      <c r="D298" s="12" t="s">
        <v>80</v>
      </c>
    </row>
    <row r="299">
      <c r="A299" s="11">
        <v>295</v>
      </c>
      <c r="B299" s="11" t="str">
        <f>MOD($G$6*B298 + $G$7, $G$8)</f>
      </c>
      <c r="C299" s="11" t="str">
        <f>B299/$G$8</f>
      </c>
      <c r="D299" s="11" t="s">
        <v>80</v>
      </c>
    </row>
    <row r="300">
      <c r="A300" s="12">
        <v>296</v>
      </c>
      <c r="B300" s="12" t="str">
        <f>MOD($G$6*B299 + $G$7, $G$8)</f>
      </c>
      <c r="C300" s="12" t="str">
        <f>B300/$G$8</f>
      </c>
      <c r="D300" s="12" t="s">
        <v>80</v>
      </c>
    </row>
    <row r="301">
      <c r="A301" s="11">
        <v>297</v>
      </c>
      <c r="B301" s="11" t="str">
        <f>MOD($G$6*B300 + $G$7, $G$8)</f>
      </c>
      <c r="C301" s="11" t="str">
        <f>B301/$G$8</f>
      </c>
      <c r="D301" s="11" t="s">
        <v>80</v>
      </c>
    </row>
    <row r="302">
      <c r="A302" s="12">
        <v>298</v>
      </c>
      <c r="B302" s="12" t="str">
        <f>MOD($G$6*B301 + $G$7, $G$8)</f>
      </c>
      <c r="C302" s="12" t="str">
        <f>B302/$G$8</f>
      </c>
      <c r="D302" s="12" t="s">
        <v>80</v>
      </c>
    </row>
    <row r="303">
      <c r="A303" s="11">
        <v>299</v>
      </c>
      <c r="B303" s="11" t="str">
        <f>MOD($G$6*B302 + $G$7, $G$8)</f>
      </c>
      <c r="C303" s="11" t="str">
        <f>B303/$G$8</f>
      </c>
      <c r="D303" s="11" t="s">
        <v>80</v>
      </c>
    </row>
    <row r="304">
      <c r="A304" s="12">
        <v>300</v>
      </c>
      <c r="B304" s="12" t="str">
        <f>MOD($G$6*B303 + $G$7, $G$8)</f>
      </c>
      <c r="C304" s="12" t="str">
        <f>B304/$G$8</f>
      </c>
      <c r="D304" s="12" t="s">
        <v>80</v>
      </c>
    </row>
    <row r="305">
      <c r="A305" s="11">
        <v>301</v>
      </c>
      <c r="B305" s="11" t="str">
        <f>MOD($G$6*B304 + $G$7, $G$8)</f>
      </c>
      <c r="C305" s="11" t="str">
        <f>B305/$G$8</f>
      </c>
      <c r="D305" s="11" t="s">
        <v>80</v>
      </c>
    </row>
    <row r="306">
      <c r="A306" s="12">
        <v>302</v>
      </c>
      <c r="B306" s="12" t="str">
        <f>MOD($G$6*B305 + $G$7, $G$8)</f>
      </c>
      <c r="C306" s="12" t="str">
        <f>B306/$G$8</f>
      </c>
      <c r="D306" s="12" t="s">
        <v>80</v>
      </c>
    </row>
    <row r="307">
      <c r="A307" s="11">
        <v>303</v>
      </c>
      <c r="B307" s="11" t="str">
        <f>MOD($G$6*B306 + $G$7, $G$8)</f>
      </c>
      <c r="C307" s="11" t="str">
        <f>B307/$G$8</f>
      </c>
      <c r="D307" s="11" t="s">
        <v>80</v>
      </c>
    </row>
    <row r="308">
      <c r="A308" s="12">
        <v>304</v>
      </c>
      <c r="B308" s="12" t="str">
        <f>MOD($G$6*B307 + $G$7, $G$8)</f>
      </c>
      <c r="C308" s="12" t="str">
        <f>B308/$G$8</f>
      </c>
      <c r="D308" s="12" t="s">
        <v>80</v>
      </c>
    </row>
    <row r="309">
      <c r="A309" s="11">
        <v>305</v>
      </c>
      <c r="B309" s="11" t="str">
        <f>MOD($G$6*B308 + $G$7, $G$8)</f>
      </c>
      <c r="C309" s="11" t="str">
        <f>B309/$G$8</f>
      </c>
      <c r="D309" s="11" t="s">
        <v>80</v>
      </c>
    </row>
    <row r="310">
      <c r="A310" s="12">
        <v>306</v>
      </c>
      <c r="B310" s="12" t="str">
        <f>MOD($G$6*B309 + $G$7, $G$8)</f>
      </c>
      <c r="C310" s="12" t="str">
        <f>B310/$G$8</f>
      </c>
      <c r="D310" s="12" t="s">
        <v>80</v>
      </c>
    </row>
    <row r="311">
      <c r="A311" s="11">
        <v>307</v>
      </c>
      <c r="B311" s="11" t="str">
        <f>MOD($G$6*B310 + $G$7, $G$8)</f>
      </c>
      <c r="C311" s="11" t="str">
        <f>B311/$G$8</f>
      </c>
      <c r="D311" s="11" t="s">
        <v>80</v>
      </c>
    </row>
    <row r="312">
      <c r="A312" s="12">
        <v>308</v>
      </c>
      <c r="B312" s="12" t="str">
        <f>MOD($G$6*B311 + $G$7, $G$8)</f>
      </c>
      <c r="C312" s="12" t="str">
        <f>B312/$G$8</f>
      </c>
      <c r="D312" s="12" t="s">
        <v>80</v>
      </c>
    </row>
    <row r="313">
      <c r="A313" s="11">
        <v>309</v>
      </c>
      <c r="B313" s="11" t="str">
        <f>MOD($G$6*B312 + $G$7, $G$8)</f>
      </c>
      <c r="C313" s="11" t="str">
        <f>B313/$G$8</f>
      </c>
      <c r="D313" s="11" t="s">
        <v>80</v>
      </c>
    </row>
    <row r="314">
      <c r="A314" s="12">
        <v>310</v>
      </c>
      <c r="B314" s="12" t="str">
        <f>MOD($G$6*B313 + $G$7, $G$8)</f>
      </c>
      <c r="C314" s="12" t="str">
        <f>B314/$G$8</f>
      </c>
      <c r="D314" s="12" t="s">
        <v>80</v>
      </c>
    </row>
    <row r="315">
      <c r="A315" s="11">
        <v>311</v>
      </c>
      <c r="B315" s="11" t="str">
        <f>MOD($G$6*B314 + $G$7, $G$8)</f>
      </c>
      <c r="C315" s="11" t="str">
        <f>B315/$G$8</f>
      </c>
      <c r="D315" s="11" t="s">
        <v>80</v>
      </c>
    </row>
    <row r="316">
      <c r="A316" s="12">
        <v>312</v>
      </c>
      <c r="B316" s="12" t="str">
        <f>MOD($G$6*B315 + $G$7, $G$8)</f>
      </c>
      <c r="C316" s="12" t="str">
        <f>B316/$G$8</f>
      </c>
      <c r="D316" s="12" t="s">
        <v>80</v>
      </c>
    </row>
    <row r="317">
      <c r="A317" s="11">
        <v>313</v>
      </c>
      <c r="B317" s="11" t="str">
        <f>MOD($G$6*B316 + $G$7, $G$8)</f>
      </c>
      <c r="C317" s="11" t="str">
        <f>B317/$G$8</f>
      </c>
      <c r="D317" s="11" t="s">
        <v>80</v>
      </c>
    </row>
    <row r="318">
      <c r="A318" s="12">
        <v>314</v>
      </c>
      <c r="B318" s="12" t="str">
        <f>MOD($G$6*B317 + $G$7, $G$8)</f>
      </c>
      <c r="C318" s="12" t="str">
        <f>B318/$G$8</f>
      </c>
      <c r="D318" s="12" t="s">
        <v>80</v>
      </c>
    </row>
    <row r="319">
      <c r="A319" s="11">
        <v>315</v>
      </c>
      <c r="B319" s="11" t="str">
        <f>MOD($G$6*B318 + $G$7, $G$8)</f>
      </c>
      <c r="C319" s="11" t="str">
        <f>B319/$G$8</f>
      </c>
      <c r="D319" s="11" t="s">
        <v>80</v>
      </c>
    </row>
    <row r="320">
      <c r="A320" s="12">
        <v>316</v>
      </c>
      <c r="B320" s="12" t="str">
        <f>MOD($G$6*B319 + $G$7, $G$8)</f>
      </c>
      <c r="C320" s="12" t="str">
        <f>B320/$G$8</f>
      </c>
      <c r="D320" s="12" t="s">
        <v>80</v>
      </c>
    </row>
    <row r="321">
      <c r="A321" s="11">
        <v>317</v>
      </c>
      <c r="B321" s="11" t="str">
        <f>MOD($G$6*B320 + $G$7, $G$8)</f>
      </c>
      <c r="C321" s="11" t="str">
        <f>B321/$G$8</f>
      </c>
      <c r="D321" s="11" t="s">
        <v>80</v>
      </c>
    </row>
    <row r="322">
      <c r="A322" s="12">
        <v>318</v>
      </c>
      <c r="B322" s="12" t="str">
        <f>MOD($G$6*B321 + $G$7, $G$8)</f>
      </c>
      <c r="C322" s="12" t="str">
        <f>B322/$G$8</f>
      </c>
      <c r="D322" s="12" t="s">
        <v>80</v>
      </c>
    </row>
    <row r="323">
      <c r="A323" s="11">
        <v>319</v>
      </c>
      <c r="B323" s="11" t="str">
        <f>MOD($G$6*B322 + $G$7, $G$8)</f>
      </c>
      <c r="C323" s="11" t="str">
        <f>B323/$G$8</f>
      </c>
      <c r="D323" s="11" t="s">
        <v>80</v>
      </c>
    </row>
    <row r="324">
      <c r="A324" s="12">
        <v>320</v>
      </c>
      <c r="B324" s="12" t="str">
        <f>MOD($G$6*B323 + $G$7, $G$8)</f>
      </c>
      <c r="C324" s="12" t="str">
        <f>B324/$G$8</f>
      </c>
      <c r="D324" s="12" t="s">
        <v>80</v>
      </c>
    </row>
    <row r="325">
      <c r="A325" s="11">
        <v>321</v>
      </c>
      <c r="B325" s="11" t="str">
        <f>MOD($G$6*B324 + $G$7, $G$8)</f>
      </c>
      <c r="C325" s="11" t="str">
        <f>B325/$G$8</f>
      </c>
      <c r="D325" s="11" t="s">
        <v>80</v>
      </c>
    </row>
    <row r="326">
      <c r="A326" s="12">
        <v>322</v>
      </c>
      <c r="B326" s="12" t="str">
        <f>MOD($G$6*B325 + $G$7, $G$8)</f>
      </c>
      <c r="C326" s="12" t="str">
        <f>B326/$G$8</f>
      </c>
      <c r="D326" s="12" t="s">
        <v>80</v>
      </c>
    </row>
    <row r="327">
      <c r="A327" s="11">
        <v>323</v>
      </c>
      <c r="B327" s="11" t="str">
        <f>MOD($G$6*B326 + $G$7, $G$8)</f>
      </c>
      <c r="C327" s="11" t="str">
        <f>B327/$G$8</f>
      </c>
      <c r="D327" s="11" t="s">
        <v>80</v>
      </c>
    </row>
    <row r="328">
      <c r="A328" s="12">
        <v>324</v>
      </c>
      <c r="B328" s="12" t="str">
        <f>MOD($G$6*B327 + $G$7, $G$8)</f>
      </c>
      <c r="C328" s="12" t="str">
        <f>B328/$G$8</f>
      </c>
      <c r="D328" s="12" t="s">
        <v>80</v>
      </c>
    </row>
    <row r="329">
      <c r="A329" s="11">
        <v>325</v>
      </c>
      <c r="B329" s="11" t="str">
        <f>MOD($G$6*B328 + $G$7, $G$8)</f>
      </c>
      <c r="C329" s="11" t="str">
        <f>B329/$G$8</f>
      </c>
      <c r="D329" s="11" t="s">
        <v>80</v>
      </c>
    </row>
    <row r="330">
      <c r="A330" s="12">
        <v>326</v>
      </c>
      <c r="B330" s="12" t="str">
        <f>MOD($G$6*B329 + $G$7, $G$8)</f>
      </c>
      <c r="C330" s="12" t="str">
        <f>B330/$G$8</f>
      </c>
      <c r="D330" s="12" t="s">
        <v>80</v>
      </c>
    </row>
    <row r="331">
      <c r="A331" s="11">
        <v>327</v>
      </c>
      <c r="B331" s="11" t="str">
        <f>MOD($G$6*B330 + $G$7, $G$8)</f>
      </c>
      <c r="C331" s="11" t="str">
        <f>B331/$G$8</f>
      </c>
      <c r="D331" s="11" t="s">
        <v>80</v>
      </c>
    </row>
    <row r="332">
      <c r="A332" s="12">
        <v>328</v>
      </c>
      <c r="B332" s="12" t="str">
        <f>MOD($G$6*B331 + $G$7, $G$8)</f>
      </c>
      <c r="C332" s="12" t="str">
        <f>B332/$G$8</f>
      </c>
      <c r="D332" s="12" t="s">
        <v>80</v>
      </c>
    </row>
    <row r="333">
      <c r="A333" s="11">
        <v>329</v>
      </c>
      <c r="B333" s="11" t="str">
        <f>MOD($G$6*B332 + $G$7, $G$8)</f>
      </c>
      <c r="C333" s="11" t="str">
        <f>B333/$G$8</f>
      </c>
      <c r="D333" s="11" t="s">
        <v>80</v>
      </c>
    </row>
    <row r="334">
      <c r="A334" s="12">
        <v>330</v>
      </c>
      <c r="B334" s="12" t="str">
        <f>MOD($G$6*B333 + $G$7, $G$8)</f>
      </c>
      <c r="C334" s="12" t="str">
        <f>B334/$G$8</f>
      </c>
      <c r="D334" s="12" t="s">
        <v>80</v>
      </c>
    </row>
    <row r="335">
      <c r="A335" s="11">
        <v>331</v>
      </c>
      <c r="B335" s="11" t="str">
        <f>MOD($G$6*B334 + $G$7, $G$8)</f>
      </c>
      <c r="C335" s="11" t="str">
        <f>B335/$G$8</f>
      </c>
      <c r="D335" s="11" t="s">
        <v>80</v>
      </c>
    </row>
    <row r="336">
      <c r="A336" s="12">
        <v>332</v>
      </c>
      <c r="B336" s="12" t="str">
        <f>MOD($G$6*B335 + $G$7, $G$8)</f>
      </c>
      <c r="C336" s="12" t="str">
        <f>B336/$G$8</f>
      </c>
      <c r="D336" s="12" t="s">
        <v>80</v>
      </c>
    </row>
    <row r="337">
      <c r="A337" s="11">
        <v>333</v>
      </c>
      <c r="B337" s="11" t="str">
        <f>MOD($G$6*B336 + $G$7, $G$8)</f>
      </c>
      <c r="C337" s="11" t="str">
        <f>B337/$G$8</f>
      </c>
      <c r="D337" s="11" t="s">
        <v>80</v>
      </c>
    </row>
    <row r="338">
      <c r="A338" s="12">
        <v>334</v>
      </c>
      <c r="B338" s="12" t="str">
        <f>MOD($G$6*B337 + $G$7, $G$8)</f>
      </c>
      <c r="C338" s="12" t="str">
        <f>B338/$G$8</f>
      </c>
      <c r="D338" s="12" t="s">
        <v>80</v>
      </c>
    </row>
    <row r="339">
      <c r="A339" s="11">
        <v>335</v>
      </c>
      <c r="B339" s="11" t="str">
        <f>MOD($G$6*B338 + $G$7, $G$8)</f>
      </c>
      <c r="C339" s="11" t="str">
        <f>B339/$G$8</f>
      </c>
      <c r="D339" s="11" t="s">
        <v>80</v>
      </c>
    </row>
    <row r="340">
      <c r="A340" s="12">
        <v>336</v>
      </c>
      <c r="B340" s="12" t="str">
        <f>MOD($G$6*B339 + $G$7, $G$8)</f>
      </c>
      <c r="C340" s="12" t="str">
        <f>B340/$G$8</f>
      </c>
      <c r="D340" s="12" t="s">
        <v>80</v>
      </c>
    </row>
    <row r="341">
      <c r="A341" s="11">
        <v>337</v>
      </c>
      <c r="B341" s="11" t="str">
        <f>MOD($G$6*B340 + $G$7, $G$8)</f>
      </c>
      <c r="C341" s="11" t="str">
        <f>B341/$G$8</f>
      </c>
      <c r="D341" s="11" t="s">
        <v>80</v>
      </c>
    </row>
    <row r="342">
      <c r="A342" s="12">
        <v>338</v>
      </c>
      <c r="B342" s="12" t="str">
        <f>MOD($G$6*B341 + $G$7, $G$8)</f>
      </c>
      <c r="C342" s="12" t="str">
        <f>B342/$G$8</f>
      </c>
      <c r="D342" s="12" t="s">
        <v>80</v>
      </c>
    </row>
    <row r="343">
      <c r="A343" s="11">
        <v>339</v>
      </c>
      <c r="B343" s="11" t="str">
        <f>MOD($G$6*B342 + $G$7, $G$8)</f>
      </c>
      <c r="C343" s="11" t="str">
        <f>B343/$G$8</f>
      </c>
      <c r="D343" s="11" t="s">
        <v>80</v>
      </c>
    </row>
    <row r="344">
      <c r="A344" s="12">
        <v>340</v>
      </c>
      <c r="B344" s="12" t="str">
        <f>MOD($G$6*B343 + $G$7, $G$8)</f>
      </c>
      <c r="C344" s="12" t="str">
        <f>B344/$G$8</f>
      </c>
      <c r="D344" s="12" t="s">
        <v>80</v>
      </c>
    </row>
    <row r="345">
      <c r="A345" s="11">
        <v>341</v>
      </c>
      <c r="B345" s="11" t="str">
        <f>MOD($G$6*B344 + $G$7, $G$8)</f>
      </c>
      <c r="C345" s="11" t="str">
        <f>B345/$G$8</f>
      </c>
      <c r="D345" s="11" t="s">
        <v>80</v>
      </c>
    </row>
    <row r="346">
      <c r="A346" s="12">
        <v>342</v>
      </c>
      <c r="B346" s="12" t="str">
        <f>MOD($G$6*B345 + $G$7, $G$8)</f>
      </c>
      <c r="C346" s="12" t="str">
        <f>B346/$G$8</f>
      </c>
      <c r="D346" s="12" t="s">
        <v>80</v>
      </c>
    </row>
    <row r="347">
      <c r="A347" s="11">
        <v>343</v>
      </c>
      <c r="B347" s="11" t="str">
        <f>MOD($G$6*B346 + $G$7, $G$8)</f>
      </c>
      <c r="C347" s="11" t="str">
        <f>B347/$G$8</f>
      </c>
      <c r="D347" s="11" t="s">
        <v>80</v>
      </c>
    </row>
    <row r="348">
      <c r="A348" s="12">
        <v>344</v>
      </c>
      <c r="B348" s="12" t="str">
        <f>MOD($G$6*B347 + $G$7, $G$8)</f>
      </c>
      <c r="C348" s="12" t="str">
        <f>B348/$G$8</f>
      </c>
      <c r="D348" s="12" t="s">
        <v>80</v>
      </c>
    </row>
    <row r="349">
      <c r="A349" s="11">
        <v>345</v>
      </c>
      <c r="B349" s="11" t="str">
        <f>MOD($G$6*B348 + $G$7, $G$8)</f>
      </c>
      <c r="C349" s="11" t="str">
        <f>B349/$G$8</f>
      </c>
      <c r="D349" s="11" t="s">
        <v>80</v>
      </c>
    </row>
    <row r="350">
      <c r="A350" s="12">
        <v>346</v>
      </c>
      <c r="B350" s="12" t="str">
        <f>MOD($G$6*B349 + $G$7, $G$8)</f>
      </c>
      <c r="C350" s="12" t="str">
        <f>B350/$G$8</f>
      </c>
      <c r="D350" s="12" t="s">
        <v>80</v>
      </c>
    </row>
    <row r="351">
      <c r="A351" s="11">
        <v>347</v>
      </c>
      <c r="B351" s="11" t="str">
        <f>MOD($G$6*B350 + $G$7, $G$8)</f>
      </c>
      <c r="C351" s="11" t="str">
        <f>B351/$G$8</f>
      </c>
      <c r="D351" s="11" t="s">
        <v>80</v>
      </c>
    </row>
    <row r="352">
      <c r="A352" s="12">
        <v>348</v>
      </c>
      <c r="B352" s="12" t="str">
        <f>MOD($G$6*B351 + $G$7, $G$8)</f>
      </c>
      <c r="C352" s="12" t="str">
        <f>B352/$G$8</f>
      </c>
      <c r="D352" s="12" t="s">
        <v>80</v>
      </c>
    </row>
    <row r="353">
      <c r="A353" s="11">
        <v>349</v>
      </c>
      <c r="B353" s="11" t="str">
        <f>MOD($G$6*B352 + $G$7, $G$8)</f>
      </c>
      <c r="C353" s="11" t="str">
        <f>B353/$G$8</f>
      </c>
      <c r="D353" s="11" t="s">
        <v>80</v>
      </c>
    </row>
    <row r="354">
      <c r="A354" s="12">
        <v>350</v>
      </c>
      <c r="B354" s="12" t="str">
        <f>MOD($G$6*B353 + $G$7, $G$8)</f>
      </c>
      <c r="C354" s="12" t="str">
        <f>B354/$G$8</f>
      </c>
      <c r="D354" s="12" t="s">
        <v>80</v>
      </c>
    </row>
    <row r="355">
      <c r="A355" s="11">
        <v>351</v>
      </c>
      <c r="B355" s="11" t="str">
        <f>MOD($G$6*B354 + $G$7, $G$8)</f>
      </c>
      <c r="C355" s="11" t="str">
        <f>B355/$G$8</f>
      </c>
      <c r="D355" s="11" t="s">
        <v>80</v>
      </c>
    </row>
    <row r="356">
      <c r="A356" s="12">
        <v>352</v>
      </c>
      <c r="B356" s="12" t="str">
        <f>MOD($G$6*B355 + $G$7, $G$8)</f>
      </c>
      <c r="C356" s="12" t="str">
        <f>B356/$G$8</f>
      </c>
      <c r="D356" s="12" t="s">
        <v>80</v>
      </c>
    </row>
    <row r="357">
      <c r="A357" s="11">
        <v>353</v>
      </c>
      <c r="B357" s="11" t="str">
        <f>MOD($G$6*B356 + $G$7, $G$8)</f>
      </c>
      <c r="C357" s="11" t="str">
        <f>B357/$G$8</f>
      </c>
      <c r="D357" s="11" t="s">
        <v>80</v>
      </c>
    </row>
    <row r="358">
      <c r="A358" s="12">
        <v>354</v>
      </c>
      <c r="B358" s="12" t="str">
        <f>MOD($G$6*B357 + $G$7, $G$8)</f>
      </c>
      <c r="C358" s="12" t="str">
        <f>B358/$G$8</f>
      </c>
      <c r="D358" s="12" t="s">
        <v>80</v>
      </c>
    </row>
    <row r="359">
      <c r="A359" s="11">
        <v>355</v>
      </c>
      <c r="B359" s="11" t="str">
        <f>MOD($G$6*B358 + $G$7, $G$8)</f>
      </c>
      <c r="C359" s="11" t="str">
        <f>B359/$G$8</f>
      </c>
      <c r="D359" s="11" t="s">
        <v>80</v>
      </c>
    </row>
    <row r="360">
      <c r="A360" s="12">
        <v>356</v>
      </c>
      <c r="B360" s="12" t="str">
        <f>MOD($G$6*B359 + $G$7, $G$8)</f>
      </c>
      <c r="C360" s="12" t="str">
        <f>B360/$G$8</f>
      </c>
      <c r="D360" s="12" t="s">
        <v>80</v>
      </c>
    </row>
    <row r="361">
      <c r="A361" s="11">
        <v>357</v>
      </c>
      <c r="B361" s="11" t="str">
        <f>MOD($G$6*B360 + $G$7, $G$8)</f>
      </c>
      <c r="C361" s="11" t="str">
        <f>B361/$G$8</f>
      </c>
      <c r="D361" s="11" t="s">
        <v>80</v>
      </c>
    </row>
    <row r="362">
      <c r="A362" s="12">
        <v>358</v>
      </c>
      <c r="B362" s="12" t="str">
        <f>MOD($G$6*B361 + $G$7, $G$8)</f>
      </c>
      <c r="C362" s="12" t="str">
        <f>B362/$G$8</f>
      </c>
      <c r="D362" s="12" t="s">
        <v>80</v>
      </c>
    </row>
    <row r="363">
      <c r="A363" s="11">
        <v>359</v>
      </c>
      <c r="B363" s="11" t="str">
        <f>MOD($G$6*B362 + $G$7, $G$8)</f>
      </c>
      <c r="C363" s="11" t="str">
        <f>B363/$G$8</f>
      </c>
      <c r="D363" s="11" t="s">
        <v>80</v>
      </c>
    </row>
    <row r="364">
      <c r="A364" s="12">
        <v>360</v>
      </c>
      <c r="B364" s="12" t="str">
        <f>MOD($G$6*B363 + $G$7, $G$8)</f>
      </c>
      <c r="C364" s="12" t="str">
        <f>B364/$G$8</f>
      </c>
      <c r="D364" s="12" t="s">
        <v>80</v>
      </c>
    </row>
    <row r="365">
      <c r="A365" s="11">
        <v>361</v>
      </c>
      <c r="B365" s="11" t="str">
        <f>MOD($G$6*B364 + $G$7, $G$8)</f>
      </c>
      <c r="C365" s="11" t="str">
        <f>B365/$G$8</f>
      </c>
      <c r="D365" s="11" t="s">
        <v>80</v>
      </c>
    </row>
    <row r="366">
      <c r="A366" s="12">
        <v>362</v>
      </c>
      <c r="B366" s="12" t="str">
        <f>MOD($G$6*B365 + $G$7, $G$8)</f>
      </c>
      <c r="C366" s="12" t="str">
        <f>B366/$G$8</f>
      </c>
      <c r="D366" s="12" t="s">
        <v>80</v>
      </c>
    </row>
    <row r="367">
      <c r="A367" s="11">
        <v>363</v>
      </c>
      <c r="B367" s="11" t="str">
        <f>MOD($G$6*B366 + $G$7, $G$8)</f>
      </c>
      <c r="C367" s="11" t="str">
        <f>B367/$G$8</f>
      </c>
      <c r="D367" s="11" t="s">
        <v>80</v>
      </c>
    </row>
    <row r="368">
      <c r="A368" s="12">
        <v>364</v>
      </c>
      <c r="B368" s="12" t="str">
        <f>MOD($G$6*B367 + $G$7, $G$8)</f>
      </c>
      <c r="C368" s="12" t="str">
        <f>B368/$G$8</f>
      </c>
      <c r="D368" s="12" t="s">
        <v>80</v>
      </c>
    </row>
    <row r="369">
      <c r="A369" s="11">
        <v>365</v>
      </c>
      <c r="B369" s="11" t="str">
        <f>MOD($G$6*B368 + $G$7, $G$8)</f>
      </c>
      <c r="C369" s="11" t="str">
        <f>B369/$G$8</f>
      </c>
      <c r="D369" s="11" t="s">
        <v>80</v>
      </c>
    </row>
    <row r="370">
      <c r="A370" s="12">
        <v>366</v>
      </c>
      <c r="B370" s="12" t="str">
        <f>MOD($G$6*B369 + $G$7, $G$8)</f>
      </c>
      <c r="C370" s="12" t="str">
        <f>B370/$G$8</f>
      </c>
      <c r="D370" s="12" t="s">
        <v>80</v>
      </c>
    </row>
    <row r="371">
      <c r="A371" s="11">
        <v>367</v>
      </c>
      <c r="B371" s="11" t="str">
        <f>MOD($G$6*B370 + $G$7, $G$8)</f>
      </c>
      <c r="C371" s="11" t="str">
        <f>B371/$G$8</f>
      </c>
      <c r="D371" s="11" t="s">
        <v>80</v>
      </c>
    </row>
    <row r="372">
      <c r="A372" s="12">
        <v>368</v>
      </c>
      <c r="B372" s="12" t="str">
        <f>MOD($G$6*B371 + $G$7, $G$8)</f>
      </c>
      <c r="C372" s="12" t="str">
        <f>B372/$G$8</f>
      </c>
      <c r="D372" s="12" t="s">
        <v>80</v>
      </c>
    </row>
    <row r="373">
      <c r="A373" s="11">
        <v>369</v>
      </c>
      <c r="B373" s="11" t="str">
        <f>MOD($G$6*B372 + $G$7, $G$8)</f>
      </c>
      <c r="C373" s="11" t="str">
        <f>B373/$G$8</f>
      </c>
      <c r="D373" s="11" t="s">
        <v>80</v>
      </c>
    </row>
    <row r="374">
      <c r="A374" s="12">
        <v>370</v>
      </c>
      <c r="B374" s="12" t="str">
        <f>MOD($G$6*B373 + $G$7, $G$8)</f>
      </c>
      <c r="C374" s="12" t="str">
        <f>B374/$G$8</f>
      </c>
      <c r="D374" s="12" t="s">
        <v>80</v>
      </c>
    </row>
    <row r="375">
      <c r="A375" s="11">
        <v>371</v>
      </c>
      <c r="B375" s="11" t="str">
        <f>MOD($G$6*B374 + $G$7, $G$8)</f>
      </c>
      <c r="C375" s="11" t="str">
        <f>B375/$G$8</f>
      </c>
      <c r="D375" s="11" t="s">
        <v>80</v>
      </c>
    </row>
    <row r="376">
      <c r="A376" s="12">
        <v>372</v>
      </c>
      <c r="B376" s="12" t="str">
        <f>MOD($G$6*B375 + $G$7, $G$8)</f>
      </c>
      <c r="C376" s="12" t="str">
        <f>B376/$G$8</f>
      </c>
      <c r="D376" s="12" t="s">
        <v>80</v>
      </c>
    </row>
    <row r="377">
      <c r="A377" s="11">
        <v>373</v>
      </c>
      <c r="B377" s="11" t="str">
        <f>MOD($G$6*B376 + $G$7, $G$8)</f>
      </c>
      <c r="C377" s="11" t="str">
        <f>B377/$G$8</f>
      </c>
      <c r="D377" s="11" t="s">
        <v>80</v>
      </c>
    </row>
    <row r="378">
      <c r="A378" s="12">
        <v>374</v>
      </c>
      <c r="B378" s="12" t="str">
        <f>MOD($G$6*B377 + $G$7, $G$8)</f>
      </c>
      <c r="C378" s="12" t="str">
        <f>B378/$G$8</f>
      </c>
      <c r="D378" s="12" t="s">
        <v>80</v>
      </c>
    </row>
    <row r="379">
      <c r="A379" s="11">
        <v>375</v>
      </c>
      <c r="B379" s="11" t="str">
        <f>MOD($G$6*B378 + $G$7, $G$8)</f>
      </c>
      <c r="C379" s="11" t="str">
        <f>B379/$G$8</f>
      </c>
      <c r="D379" s="11" t="s">
        <v>80</v>
      </c>
    </row>
    <row r="380">
      <c r="A380" s="12">
        <v>376</v>
      </c>
      <c r="B380" s="12" t="str">
        <f>MOD($G$6*B379 + $G$7, $G$8)</f>
      </c>
      <c r="C380" s="12" t="str">
        <f>B380/$G$8</f>
      </c>
      <c r="D380" s="12" t="s">
        <v>80</v>
      </c>
    </row>
    <row r="381">
      <c r="A381" s="11">
        <v>377</v>
      </c>
      <c r="B381" s="11" t="str">
        <f>MOD($G$6*B380 + $G$7, $G$8)</f>
      </c>
      <c r="C381" s="11" t="str">
        <f>B381/$G$8</f>
      </c>
      <c r="D381" s="11" t="s">
        <v>80</v>
      </c>
    </row>
    <row r="382">
      <c r="A382" s="12">
        <v>378</v>
      </c>
      <c r="B382" s="12" t="str">
        <f>MOD($G$6*B381 + $G$7, $G$8)</f>
      </c>
      <c r="C382" s="12" t="str">
        <f>B382/$G$8</f>
      </c>
      <c r="D382" s="12" t="s">
        <v>80</v>
      </c>
    </row>
    <row r="383">
      <c r="A383" s="11">
        <v>379</v>
      </c>
      <c r="B383" s="11" t="str">
        <f>MOD($G$6*B382 + $G$7, $G$8)</f>
      </c>
      <c r="C383" s="11" t="str">
        <f>B383/$G$8</f>
      </c>
      <c r="D383" s="11" t="s">
        <v>80</v>
      </c>
    </row>
    <row r="384">
      <c r="A384" s="12">
        <v>380</v>
      </c>
      <c r="B384" s="12" t="str">
        <f>MOD($G$6*B383 + $G$7, $G$8)</f>
      </c>
      <c r="C384" s="12" t="str">
        <f>B384/$G$8</f>
      </c>
      <c r="D384" s="12" t="s">
        <v>80</v>
      </c>
    </row>
    <row r="385">
      <c r="A385" s="11">
        <v>381</v>
      </c>
      <c r="B385" s="11" t="str">
        <f>MOD($G$6*B384 + $G$7, $G$8)</f>
      </c>
      <c r="C385" s="11" t="str">
        <f>B385/$G$8</f>
      </c>
      <c r="D385" s="11" t="s">
        <v>80</v>
      </c>
    </row>
    <row r="386">
      <c r="A386" s="12">
        <v>382</v>
      </c>
      <c r="B386" s="12" t="str">
        <f>MOD($G$6*B385 + $G$7, $G$8)</f>
      </c>
      <c r="C386" s="12" t="str">
        <f>B386/$G$8</f>
      </c>
      <c r="D386" s="12" t="s">
        <v>80</v>
      </c>
    </row>
    <row r="387">
      <c r="A387" s="11">
        <v>383</v>
      </c>
      <c r="B387" s="11" t="str">
        <f>MOD($G$6*B386 + $G$7, $G$8)</f>
      </c>
      <c r="C387" s="11" t="str">
        <f>B387/$G$8</f>
      </c>
      <c r="D387" s="11" t="s">
        <v>80</v>
      </c>
    </row>
    <row r="388">
      <c r="A388" s="12">
        <v>384</v>
      </c>
      <c r="B388" s="12" t="str">
        <f>MOD($G$6*B387 + $G$7, $G$8)</f>
      </c>
      <c r="C388" s="12" t="str">
        <f>B388/$G$8</f>
      </c>
      <c r="D388" s="12" t="s">
        <v>80</v>
      </c>
    </row>
    <row r="389">
      <c r="A389" s="11">
        <v>385</v>
      </c>
      <c r="B389" s="11" t="str">
        <f>MOD($G$6*B388 + $G$7, $G$8)</f>
      </c>
      <c r="C389" s="11" t="str">
        <f>B389/$G$8</f>
      </c>
      <c r="D389" s="11" t="s">
        <v>80</v>
      </c>
    </row>
    <row r="390">
      <c r="A390" s="12">
        <v>386</v>
      </c>
      <c r="B390" s="12" t="str">
        <f>MOD($G$6*B389 + $G$7, $G$8)</f>
      </c>
      <c r="C390" s="12" t="str">
        <f>B390/$G$8</f>
      </c>
      <c r="D390" s="12" t="s">
        <v>80</v>
      </c>
    </row>
    <row r="391">
      <c r="A391" s="11">
        <v>387</v>
      </c>
      <c r="B391" s="11" t="str">
        <f>MOD($G$6*B390 + $G$7, $G$8)</f>
      </c>
      <c r="C391" s="11" t="str">
        <f>B391/$G$8</f>
      </c>
      <c r="D391" s="11" t="s">
        <v>80</v>
      </c>
    </row>
    <row r="392">
      <c r="A392" s="12">
        <v>388</v>
      </c>
      <c r="B392" s="12" t="str">
        <f>MOD($G$6*B391 + $G$7, $G$8)</f>
      </c>
      <c r="C392" s="12" t="str">
        <f>B392/$G$8</f>
      </c>
      <c r="D392" s="12" t="s">
        <v>80</v>
      </c>
    </row>
    <row r="393">
      <c r="A393" s="11">
        <v>389</v>
      </c>
      <c r="B393" s="11" t="str">
        <f>MOD($G$6*B392 + $G$7, $G$8)</f>
      </c>
      <c r="C393" s="11" t="str">
        <f>B393/$G$8</f>
      </c>
      <c r="D393" s="11" t="s">
        <v>80</v>
      </c>
    </row>
    <row r="394">
      <c r="A394" s="12">
        <v>390</v>
      </c>
      <c r="B394" s="12" t="str">
        <f>MOD($G$6*B393 + $G$7, $G$8)</f>
      </c>
      <c r="C394" s="12" t="str">
        <f>B394/$G$8</f>
      </c>
      <c r="D394" s="12" t="s">
        <v>80</v>
      </c>
    </row>
    <row r="395">
      <c r="A395" s="11">
        <v>391</v>
      </c>
      <c r="B395" s="11" t="str">
        <f>MOD($G$6*B394 + $G$7, $G$8)</f>
      </c>
      <c r="C395" s="11" t="str">
        <f>B395/$G$8</f>
      </c>
      <c r="D395" s="11" t="s">
        <v>80</v>
      </c>
    </row>
    <row r="396">
      <c r="A396" s="12">
        <v>392</v>
      </c>
      <c r="B396" s="12" t="str">
        <f>MOD($G$6*B395 + $G$7, $G$8)</f>
      </c>
      <c r="C396" s="12" t="str">
        <f>B396/$G$8</f>
      </c>
      <c r="D396" s="12" t="s">
        <v>80</v>
      </c>
    </row>
    <row r="397">
      <c r="A397" s="11">
        <v>393</v>
      </c>
      <c r="B397" s="11" t="str">
        <f>MOD($G$6*B396 + $G$7, $G$8)</f>
      </c>
      <c r="C397" s="11" t="str">
        <f>B397/$G$8</f>
      </c>
      <c r="D397" s="11" t="s">
        <v>80</v>
      </c>
    </row>
    <row r="398">
      <c r="A398" s="12">
        <v>394</v>
      </c>
      <c r="B398" s="12" t="str">
        <f>MOD($G$6*B397 + $G$7, $G$8)</f>
      </c>
      <c r="C398" s="12" t="str">
        <f>B398/$G$8</f>
      </c>
      <c r="D398" s="12" t="s">
        <v>80</v>
      </c>
    </row>
    <row r="399">
      <c r="A399" s="11">
        <v>395</v>
      </c>
      <c r="B399" s="11" t="str">
        <f>MOD($G$6*B398 + $G$7, $G$8)</f>
      </c>
      <c r="C399" s="11" t="str">
        <f>B399/$G$8</f>
      </c>
      <c r="D399" s="11" t="s">
        <v>80</v>
      </c>
    </row>
    <row r="400">
      <c r="A400" s="12">
        <v>396</v>
      </c>
      <c r="B400" s="12" t="str">
        <f>MOD($G$6*B399 + $G$7, $G$8)</f>
      </c>
      <c r="C400" s="12" t="str">
        <f>B400/$G$8</f>
      </c>
      <c r="D400" s="12" t="s">
        <v>80</v>
      </c>
    </row>
    <row r="401">
      <c r="A401" s="11">
        <v>397</v>
      </c>
      <c r="B401" s="11" t="str">
        <f>MOD($G$6*B400 + $G$7, $G$8)</f>
      </c>
      <c r="C401" s="11" t="str">
        <f>B401/$G$8</f>
      </c>
      <c r="D401" s="11" t="s">
        <v>80</v>
      </c>
    </row>
    <row r="402">
      <c r="A402" s="12">
        <v>398</v>
      </c>
      <c r="B402" s="12" t="str">
        <f>MOD($G$6*B401 + $G$7, $G$8)</f>
      </c>
      <c r="C402" s="12" t="str">
        <f>B402/$G$8</f>
      </c>
      <c r="D402" s="12" t="s">
        <v>80</v>
      </c>
    </row>
    <row r="403">
      <c r="A403" s="11">
        <v>399</v>
      </c>
      <c r="B403" s="11" t="str">
        <f>MOD($G$6*B402 + $G$7, $G$8)</f>
      </c>
      <c r="C403" s="11" t="str">
        <f>B403/$G$8</f>
      </c>
      <c r="D403" s="11" t="s">
        <v>80</v>
      </c>
    </row>
    <row r="404">
      <c r="A404" s="12">
        <v>400</v>
      </c>
      <c r="B404" s="12" t="str">
        <f>MOD($G$6*B403 + $G$7, $G$8)</f>
      </c>
      <c r="C404" s="12" t="str">
        <f>B404/$G$8</f>
      </c>
      <c r="D404" s="12" t="s">
        <v>80</v>
      </c>
    </row>
    <row r="405">
      <c r="A405" s="11">
        <v>401</v>
      </c>
      <c r="B405" s="11" t="str">
        <f>MOD($G$6*B404 + $G$7, $G$8)</f>
      </c>
      <c r="C405" s="11" t="str">
        <f>B405/$G$8</f>
      </c>
      <c r="D405" s="11" t="s">
        <v>80</v>
      </c>
    </row>
    <row r="406">
      <c r="A406" s="12">
        <v>402</v>
      </c>
      <c r="B406" s="12" t="str">
        <f>MOD($G$6*B405 + $G$7, $G$8)</f>
      </c>
      <c r="C406" s="12" t="str">
        <f>B406/$G$8</f>
      </c>
      <c r="D406" s="12" t="s">
        <v>80</v>
      </c>
    </row>
    <row r="407">
      <c r="A407" s="11">
        <v>403</v>
      </c>
      <c r="B407" s="11" t="str">
        <f>MOD($G$6*B406 + $G$7, $G$8)</f>
      </c>
      <c r="C407" s="11" t="str">
        <f>B407/$G$8</f>
      </c>
      <c r="D407" s="11" t="s">
        <v>80</v>
      </c>
    </row>
    <row r="408">
      <c r="A408" s="12">
        <v>404</v>
      </c>
      <c r="B408" s="12" t="str">
        <f>MOD($G$6*B407 + $G$7, $G$8)</f>
      </c>
      <c r="C408" s="12" t="str">
        <f>B408/$G$8</f>
      </c>
      <c r="D408" s="12" t="s">
        <v>80</v>
      </c>
    </row>
    <row r="409">
      <c r="A409" s="11">
        <v>405</v>
      </c>
      <c r="B409" s="11" t="str">
        <f>MOD($G$6*B408 + $G$7, $G$8)</f>
      </c>
      <c r="C409" s="11" t="str">
        <f>B409/$G$8</f>
      </c>
      <c r="D409" s="11" t="s">
        <v>80</v>
      </c>
    </row>
    <row r="410">
      <c r="A410" s="12">
        <v>406</v>
      </c>
      <c r="B410" s="12" t="str">
        <f>MOD($G$6*B409 + $G$7, $G$8)</f>
      </c>
      <c r="C410" s="12" t="str">
        <f>B410/$G$8</f>
      </c>
      <c r="D410" s="12" t="s">
        <v>80</v>
      </c>
    </row>
    <row r="411">
      <c r="A411" s="11">
        <v>407</v>
      </c>
      <c r="B411" s="11" t="str">
        <f>MOD($G$6*B410 + $G$7, $G$8)</f>
      </c>
      <c r="C411" s="11" t="str">
        <f>B411/$G$8</f>
      </c>
      <c r="D411" s="11" t="s">
        <v>80</v>
      </c>
    </row>
    <row r="412">
      <c r="A412" s="12">
        <v>408</v>
      </c>
      <c r="B412" s="12" t="str">
        <f>MOD($G$6*B411 + $G$7, $G$8)</f>
      </c>
      <c r="C412" s="12" t="str">
        <f>B412/$G$8</f>
      </c>
      <c r="D412" s="12" t="s">
        <v>80</v>
      </c>
    </row>
    <row r="413">
      <c r="A413" s="11">
        <v>409</v>
      </c>
      <c r="B413" s="11" t="str">
        <f>MOD($G$6*B412 + $G$7, $G$8)</f>
      </c>
      <c r="C413" s="11" t="str">
        <f>B413/$G$8</f>
      </c>
      <c r="D413" s="11" t="s">
        <v>80</v>
      </c>
    </row>
    <row r="414">
      <c r="A414" s="12">
        <v>410</v>
      </c>
      <c r="B414" s="12" t="str">
        <f>MOD($G$6*B413 + $G$7, $G$8)</f>
      </c>
      <c r="C414" s="12" t="str">
        <f>B414/$G$8</f>
      </c>
      <c r="D414" s="12" t="s">
        <v>80</v>
      </c>
    </row>
    <row r="415">
      <c r="A415" s="11">
        <v>411</v>
      </c>
      <c r="B415" s="11" t="str">
        <f>MOD($G$6*B414 + $G$7, $G$8)</f>
      </c>
      <c r="C415" s="11" t="str">
        <f>B415/$G$8</f>
      </c>
      <c r="D415" s="11" t="s">
        <v>80</v>
      </c>
    </row>
    <row r="416">
      <c r="A416" s="12">
        <v>412</v>
      </c>
      <c r="B416" s="12" t="str">
        <f>MOD($G$6*B415 + $G$7, $G$8)</f>
      </c>
      <c r="C416" s="12" t="str">
        <f>B416/$G$8</f>
      </c>
      <c r="D416" s="12" t="s">
        <v>80</v>
      </c>
    </row>
    <row r="417">
      <c r="A417" s="11">
        <v>413</v>
      </c>
      <c r="B417" s="11" t="str">
        <f>MOD($G$6*B416 + $G$7, $G$8)</f>
      </c>
      <c r="C417" s="11" t="str">
        <f>B417/$G$8</f>
      </c>
      <c r="D417" s="11" t="s">
        <v>80</v>
      </c>
    </row>
    <row r="418">
      <c r="A418" s="12">
        <v>414</v>
      </c>
      <c r="B418" s="12" t="str">
        <f>MOD($G$6*B417 + $G$7, $G$8)</f>
      </c>
      <c r="C418" s="12" t="str">
        <f>B418/$G$8</f>
      </c>
      <c r="D418" s="12" t="s">
        <v>80</v>
      </c>
    </row>
    <row r="419">
      <c r="A419" s="11">
        <v>415</v>
      </c>
      <c r="B419" s="11" t="str">
        <f>MOD($G$6*B418 + $G$7, $G$8)</f>
      </c>
      <c r="C419" s="11" t="str">
        <f>B419/$G$8</f>
      </c>
      <c r="D419" s="11" t="s">
        <v>80</v>
      </c>
    </row>
    <row r="420">
      <c r="A420" s="12">
        <v>416</v>
      </c>
      <c r="B420" s="12" t="str">
        <f>MOD($G$6*B419 + $G$7, $G$8)</f>
      </c>
      <c r="C420" s="12" t="str">
        <f>B420/$G$8</f>
      </c>
      <c r="D420" s="12" t="s">
        <v>80</v>
      </c>
    </row>
    <row r="421">
      <c r="A421" s="11">
        <v>417</v>
      </c>
      <c r="B421" s="11" t="str">
        <f>MOD($G$6*B420 + $G$7, $G$8)</f>
      </c>
      <c r="C421" s="11" t="str">
        <f>B421/$G$8</f>
      </c>
      <c r="D421" s="11" t="s">
        <v>80</v>
      </c>
    </row>
    <row r="422">
      <c r="A422" s="12">
        <v>418</v>
      </c>
      <c r="B422" s="12" t="str">
        <f>MOD($G$6*B421 + $G$7, $G$8)</f>
      </c>
      <c r="C422" s="12" t="str">
        <f>B422/$G$8</f>
      </c>
      <c r="D422" s="12" t="s">
        <v>80</v>
      </c>
    </row>
    <row r="423">
      <c r="A423" s="11">
        <v>419</v>
      </c>
      <c r="B423" s="11" t="str">
        <f>MOD($G$6*B422 + $G$7, $G$8)</f>
      </c>
      <c r="C423" s="11" t="str">
        <f>B423/$G$8</f>
      </c>
      <c r="D423" s="11" t="s">
        <v>80</v>
      </c>
    </row>
    <row r="424">
      <c r="A424" s="12">
        <v>420</v>
      </c>
      <c r="B424" s="12" t="str">
        <f>MOD($G$6*B423 + $G$7, $G$8)</f>
      </c>
      <c r="C424" s="12" t="str">
        <f>B424/$G$8</f>
      </c>
      <c r="D424" s="12" t="s">
        <v>80</v>
      </c>
    </row>
    <row r="425">
      <c r="A425" s="11">
        <v>421</v>
      </c>
      <c r="B425" s="11" t="str">
        <f>MOD($G$6*B424 + $G$7, $G$8)</f>
      </c>
      <c r="C425" s="11" t="str">
        <f>B425/$G$8</f>
      </c>
      <c r="D425" s="11" t="s">
        <v>80</v>
      </c>
    </row>
    <row r="426">
      <c r="A426" s="12">
        <v>422</v>
      </c>
      <c r="B426" s="12" t="str">
        <f>MOD($G$6*B425 + $G$7, $G$8)</f>
      </c>
      <c r="C426" s="12" t="str">
        <f>B426/$G$8</f>
      </c>
      <c r="D426" s="12" t="s">
        <v>80</v>
      </c>
    </row>
    <row r="427">
      <c r="A427" s="11">
        <v>423</v>
      </c>
      <c r="B427" s="11" t="str">
        <f>MOD($G$6*B426 + $G$7, $G$8)</f>
      </c>
      <c r="C427" s="11" t="str">
        <f>B427/$G$8</f>
      </c>
      <c r="D427" s="11" t="s">
        <v>80</v>
      </c>
    </row>
    <row r="428">
      <c r="A428" s="12">
        <v>424</v>
      </c>
      <c r="B428" s="12" t="str">
        <f>MOD($G$6*B427 + $G$7, $G$8)</f>
      </c>
      <c r="C428" s="12" t="str">
        <f>B428/$G$8</f>
      </c>
      <c r="D428" s="12" t="s">
        <v>80</v>
      </c>
    </row>
    <row r="429">
      <c r="A429" s="11">
        <v>425</v>
      </c>
      <c r="B429" s="11" t="str">
        <f>MOD($G$6*B428 + $G$7, $G$8)</f>
      </c>
      <c r="C429" s="11" t="str">
        <f>B429/$G$8</f>
      </c>
      <c r="D429" s="11" t="s">
        <v>80</v>
      </c>
    </row>
    <row r="430">
      <c r="A430" s="12">
        <v>426</v>
      </c>
      <c r="B430" s="12" t="str">
        <f>MOD($G$6*B429 + $G$7, $G$8)</f>
      </c>
      <c r="C430" s="12" t="str">
        <f>B430/$G$8</f>
      </c>
      <c r="D430" s="12" t="s">
        <v>80</v>
      </c>
    </row>
    <row r="431">
      <c r="A431" s="11">
        <v>427</v>
      </c>
      <c r="B431" s="11" t="str">
        <f>MOD($G$6*B430 + $G$7, $G$8)</f>
      </c>
      <c r="C431" s="11" t="str">
        <f>B431/$G$8</f>
      </c>
      <c r="D431" s="11" t="s">
        <v>80</v>
      </c>
    </row>
    <row r="432">
      <c r="A432" s="12">
        <v>428</v>
      </c>
      <c r="B432" s="12" t="str">
        <f>MOD($G$6*B431 + $G$7, $G$8)</f>
      </c>
      <c r="C432" s="12" t="str">
        <f>B432/$G$8</f>
      </c>
      <c r="D432" s="12" t="s">
        <v>80</v>
      </c>
    </row>
    <row r="433">
      <c r="A433" s="11">
        <v>429</v>
      </c>
      <c r="B433" s="11" t="str">
        <f>MOD($G$6*B432 + $G$7, $G$8)</f>
      </c>
      <c r="C433" s="11" t="str">
        <f>B433/$G$8</f>
      </c>
      <c r="D433" s="11" t="s">
        <v>80</v>
      </c>
    </row>
    <row r="434">
      <c r="A434" s="12">
        <v>430</v>
      </c>
      <c r="B434" s="12" t="str">
        <f>MOD($G$6*B433 + $G$7, $G$8)</f>
      </c>
      <c r="C434" s="12" t="str">
        <f>B434/$G$8</f>
      </c>
      <c r="D434" s="12" t="s">
        <v>80</v>
      </c>
    </row>
    <row r="435">
      <c r="A435" s="11">
        <v>431</v>
      </c>
      <c r="B435" s="11" t="str">
        <f>MOD($G$6*B434 + $G$7, $G$8)</f>
      </c>
      <c r="C435" s="11" t="str">
        <f>B435/$G$8</f>
      </c>
      <c r="D435" s="11" t="s">
        <v>80</v>
      </c>
    </row>
    <row r="436">
      <c r="A436" s="12">
        <v>432</v>
      </c>
      <c r="B436" s="12" t="str">
        <f>MOD($G$6*B435 + $G$7, $G$8)</f>
      </c>
      <c r="C436" s="12" t="str">
        <f>B436/$G$8</f>
      </c>
      <c r="D436" s="12" t="s">
        <v>80</v>
      </c>
    </row>
    <row r="437">
      <c r="A437" s="11">
        <v>433</v>
      </c>
      <c r="B437" s="11" t="str">
        <f>MOD($G$6*B436 + $G$7, $G$8)</f>
      </c>
      <c r="C437" s="11" t="str">
        <f>B437/$G$8</f>
      </c>
      <c r="D437" s="11" t="s">
        <v>80</v>
      </c>
    </row>
    <row r="438">
      <c r="A438" s="12">
        <v>434</v>
      </c>
      <c r="B438" s="12" t="str">
        <f>MOD($G$6*B437 + $G$7, $G$8)</f>
      </c>
      <c r="C438" s="12" t="str">
        <f>B438/$G$8</f>
      </c>
      <c r="D438" s="12" t="s">
        <v>80</v>
      </c>
    </row>
    <row r="439">
      <c r="A439" s="11">
        <v>435</v>
      </c>
      <c r="B439" s="11" t="str">
        <f>MOD($G$6*B438 + $G$7, $G$8)</f>
      </c>
      <c r="C439" s="11" t="str">
        <f>B439/$G$8</f>
      </c>
      <c r="D439" s="11" t="s">
        <v>80</v>
      </c>
    </row>
    <row r="440">
      <c r="A440" s="12">
        <v>436</v>
      </c>
      <c r="B440" s="12" t="str">
        <f>MOD($G$6*B439 + $G$7, $G$8)</f>
      </c>
      <c r="C440" s="12" t="str">
        <f>B440/$G$8</f>
      </c>
      <c r="D440" s="12" t="s">
        <v>80</v>
      </c>
    </row>
    <row r="441">
      <c r="A441" s="11">
        <v>437</v>
      </c>
      <c r="B441" s="11" t="str">
        <f>MOD($G$6*B440 + $G$7, $G$8)</f>
      </c>
      <c r="C441" s="11" t="str">
        <f>B441/$G$8</f>
      </c>
      <c r="D441" s="11" t="s">
        <v>80</v>
      </c>
    </row>
    <row r="442">
      <c r="A442" s="12">
        <v>438</v>
      </c>
      <c r="B442" s="12" t="str">
        <f>MOD($G$6*B441 + $G$7, $G$8)</f>
      </c>
      <c r="C442" s="12" t="str">
        <f>B442/$G$8</f>
      </c>
      <c r="D442" s="12" t="s">
        <v>80</v>
      </c>
    </row>
    <row r="443">
      <c r="A443" s="11">
        <v>439</v>
      </c>
      <c r="B443" s="11" t="str">
        <f>MOD($G$6*B442 + $G$7, $G$8)</f>
      </c>
      <c r="C443" s="11" t="str">
        <f>B443/$G$8</f>
      </c>
      <c r="D443" s="11" t="s">
        <v>80</v>
      </c>
    </row>
    <row r="444">
      <c r="A444" s="12">
        <v>440</v>
      </c>
      <c r="B444" s="12" t="str">
        <f>MOD($G$6*B443 + $G$7, $G$8)</f>
      </c>
      <c r="C444" s="12" t="str">
        <f>B444/$G$8</f>
      </c>
      <c r="D444" s="12" t="s">
        <v>80</v>
      </c>
    </row>
    <row r="445">
      <c r="A445" s="11">
        <v>441</v>
      </c>
      <c r="B445" s="11" t="str">
        <f>MOD($G$6*B444 + $G$7, $G$8)</f>
      </c>
      <c r="C445" s="11" t="str">
        <f>B445/$G$8</f>
      </c>
      <c r="D445" s="11" t="s">
        <v>80</v>
      </c>
    </row>
    <row r="446">
      <c r="A446" s="12">
        <v>442</v>
      </c>
      <c r="B446" s="12" t="str">
        <f>MOD($G$6*B445 + $G$7, $G$8)</f>
      </c>
      <c r="C446" s="12" t="str">
        <f>B446/$G$8</f>
      </c>
      <c r="D446" s="12" t="s">
        <v>80</v>
      </c>
    </row>
    <row r="447">
      <c r="A447" s="11">
        <v>443</v>
      </c>
      <c r="B447" s="11" t="str">
        <f>MOD($G$6*B446 + $G$7, $G$8)</f>
      </c>
      <c r="C447" s="11" t="str">
        <f>B447/$G$8</f>
      </c>
      <c r="D447" s="11" t="s">
        <v>80</v>
      </c>
    </row>
    <row r="448">
      <c r="A448" s="12">
        <v>444</v>
      </c>
      <c r="B448" s="12" t="str">
        <f>MOD($G$6*B447 + $G$7, $G$8)</f>
      </c>
      <c r="C448" s="12" t="str">
        <f>B448/$G$8</f>
      </c>
      <c r="D448" s="12" t="s">
        <v>80</v>
      </c>
    </row>
    <row r="449">
      <c r="A449" s="11">
        <v>445</v>
      </c>
      <c r="B449" s="11" t="str">
        <f>MOD($G$6*B448 + $G$7, $G$8)</f>
      </c>
      <c r="C449" s="11" t="str">
        <f>B449/$G$8</f>
      </c>
      <c r="D449" s="11" t="s">
        <v>80</v>
      </c>
    </row>
    <row r="450">
      <c r="A450" s="12">
        <v>446</v>
      </c>
      <c r="B450" s="12" t="str">
        <f>MOD($G$6*B449 + $G$7, $G$8)</f>
      </c>
      <c r="C450" s="12" t="str">
        <f>B450/$G$8</f>
      </c>
      <c r="D450" s="12" t="s">
        <v>80</v>
      </c>
    </row>
    <row r="451">
      <c r="A451" s="11">
        <v>447</v>
      </c>
      <c r="B451" s="11" t="str">
        <f>MOD($G$6*B450 + $G$7, $G$8)</f>
      </c>
      <c r="C451" s="11" t="str">
        <f>B451/$G$8</f>
      </c>
      <c r="D451" s="11" t="s">
        <v>80</v>
      </c>
    </row>
    <row r="452">
      <c r="A452" s="12">
        <v>448</v>
      </c>
      <c r="B452" s="12" t="str">
        <f>MOD($G$6*B451 + $G$7, $G$8)</f>
      </c>
      <c r="C452" s="12" t="str">
        <f>B452/$G$8</f>
      </c>
      <c r="D452" s="12" t="s">
        <v>80</v>
      </c>
    </row>
    <row r="453">
      <c r="A453" s="11">
        <v>449</v>
      </c>
      <c r="B453" s="11" t="str">
        <f>MOD($G$6*B452 + $G$7, $G$8)</f>
      </c>
      <c r="C453" s="11" t="str">
        <f>B453/$G$8</f>
      </c>
      <c r="D453" s="11" t="s">
        <v>80</v>
      </c>
    </row>
    <row r="454">
      <c r="A454" s="12">
        <v>450</v>
      </c>
      <c r="B454" s="12" t="str">
        <f>MOD($G$6*B453 + $G$7, $G$8)</f>
      </c>
      <c r="C454" s="12" t="str">
        <f>B454/$G$8</f>
      </c>
      <c r="D454" s="12" t="s">
        <v>80</v>
      </c>
    </row>
    <row r="455">
      <c r="A455" s="11">
        <v>451</v>
      </c>
      <c r="B455" s="11" t="str">
        <f>MOD($G$6*B454 + $G$7, $G$8)</f>
      </c>
      <c r="C455" s="11" t="str">
        <f>B455/$G$8</f>
      </c>
      <c r="D455" s="11" t="s">
        <v>80</v>
      </c>
    </row>
    <row r="456">
      <c r="A456" s="12">
        <v>452</v>
      </c>
      <c r="B456" s="12" t="str">
        <f>MOD($G$6*B455 + $G$7, $G$8)</f>
      </c>
      <c r="C456" s="12" t="str">
        <f>B456/$G$8</f>
      </c>
      <c r="D456" s="12" t="s">
        <v>80</v>
      </c>
    </row>
    <row r="457">
      <c r="A457" s="11">
        <v>453</v>
      </c>
      <c r="B457" s="11" t="str">
        <f>MOD($G$6*B456 + $G$7, $G$8)</f>
      </c>
      <c r="C457" s="11" t="str">
        <f>B457/$G$8</f>
      </c>
      <c r="D457" s="11" t="s">
        <v>80</v>
      </c>
    </row>
    <row r="458">
      <c r="A458" s="12">
        <v>454</v>
      </c>
      <c r="B458" s="12" t="str">
        <f>MOD($G$6*B457 + $G$7, $G$8)</f>
      </c>
      <c r="C458" s="12" t="str">
        <f>B458/$G$8</f>
      </c>
      <c r="D458" s="12" t="s">
        <v>80</v>
      </c>
    </row>
    <row r="459">
      <c r="A459" s="11">
        <v>455</v>
      </c>
      <c r="B459" s="11" t="str">
        <f>MOD($G$6*B458 + $G$7, $G$8)</f>
      </c>
      <c r="C459" s="11" t="str">
        <f>B459/$G$8</f>
      </c>
      <c r="D459" s="11" t="s">
        <v>80</v>
      </c>
    </row>
    <row r="460">
      <c r="A460" s="12">
        <v>456</v>
      </c>
      <c r="B460" s="12" t="str">
        <f>MOD($G$6*B459 + $G$7, $G$8)</f>
      </c>
      <c r="C460" s="12" t="str">
        <f>B460/$G$8</f>
      </c>
      <c r="D460" s="12" t="s">
        <v>80</v>
      </c>
    </row>
    <row r="461">
      <c r="A461" s="11">
        <v>457</v>
      </c>
      <c r="B461" s="11" t="str">
        <f>MOD($G$6*B460 + $G$7, $G$8)</f>
      </c>
      <c r="C461" s="11" t="str">
        <f>B461/$G$8</f>
      </c>
      <c r="D461" s="11" t="s">
        <v>80</v>
      </c>
    </row>
    <row r="462">
      <c r="A462" s="12">
        <v>458</v>
      </c>
      <c r="B462" s="12" t="str">
        <f>MOD($G$6*B461 + $G$7, $G$8)</f>
      </c>
      <c r="C462" s="12" t="str">
        <f>B462/$G$8</f>
      </c>
      <c r="D462" s="12" t="s">
        <v>80</v>
      </c>
    </row>
    <row r="463">
      <c r="A463" s="11">
        <v>459</v>
      </c>
      <c r="B463" s="11" t="str">
        <f>MOD($G$6*B462 + $G$7, $G$8)</f>
      </c>
      <c r="C463" s="11" t="str">
        <f>B463/$G$8</f>
      </c>
      <c r="D463" s="11" t="s">
        <v>80</v>
      </c>
    </row>
    <row r="464">
      <c r="A464" s="12">
        <v>460</v>
      </c>
      <c r="B464" s="12" t="str">
        <f>MOD($G$6*B463 + $G$7, $G$8)</f>
      </c>
      <c r="C464" s="12" t="str">
        <f>B464/$G$8</f>
      </c>
      <c r="D464" s="12" t="s">
        <v>80</v>
      </c>
    </row>
    <row r="465">
      <c r="A465" s="11">
        <v>461</v>
      </c>
      <c r="B465" s="11" t="str">
        <f>MOD($G$6*B464 + $G$7, $G$8)</f>
      </c>
      <c r="C465" s="11" t="str">
        <f>B465/$G$8</f>
      </c>
      <c r="D465" s="11" t="s">
        <v>80</v>
      </c>
    </row>
    <row r="466">
      <c r="A466" s="12">
        <v>462</v>
      </c>
      <c r="B466" s="12" t="str">
        <f>MOD($G$6*B465 + $G$7, $G$8)</f>
      </c>
      <c r="C466" s="12" t="str">
        <f>B466/$G$8</f>
      </c>
      <c r="D466" s="12" t="s">
        <v>80</v>
      </c>
    </row>
    <row r="467">
      <c r="A467" s="11">
        <v>463</v>
      </c>
      <c r="B467" s="11" t="str">
        <f>MOD($G$6*B466 + $G$7, $G$8)</f>
      </c>
      <c r="C467" s="11" t="str">
        <f>B467/$G$8</f>
      </c>
      <c r="D467" s="11" t="s">
        <v>80</v>
      </c>
    </row>
    <row r="468">
      <c r="A468" s="12">
        <v>464</v>
      </c>
      <c r="B468" s="12" t="str">
        <f>MOD($G$6*B467 + $G$7, $G$8)</f>
      </c>
      <c r="C468" s="12" t="str">
        <f>B468/$G$8</f>
      </c>
      <c r="D468" s="12" t="s">
        <v>80</v>
      </c>
    </row>
    <row r="469">
      <c r="A469" s="11">
        <v>465</v>
      </c>
      <c r="B469" s="11" t="str">
        <f>MOD($G$6*B468 + $G$7, $G$8)</f>
      </c>
      <c r="C469" s="11" t="str">
        <f>B469/$G$8</f>
      </c>
      <c r="D469" s="11" t="s">
        <v>80</v>
      </c>
    </row>
    <row r="470">
      <c r="A470" s="12">
        <v>466</v>
      </c>
      <c r="B470" s="12" t="str">
        <f>MOD($G$6*B469 + $G$7, $G$8)</f>
      </c>
      <c r="C470" s="12" t="str">
        <f>B470/$G$8</f>
      </c>
      <c r="D470" s="12" t="s">
        <v>80</v>
      </c>
    </row>
    <row r="471">
      <c r="A471" s="11">
        <v>467</v>
      </c>
      <c r="B471" s="11" t="str">
        <f>MOD($G$6*B470 + $G$7, $G$8)</f>
      </c>
      <c r="C471" s="11" t="str">
        <f>B471/$G$8</f>
      </c>
      <c r="D471" s="11" t="s">
        <v>80</v>
      </c>
    </row>
    <row r="472">
      <c r="A472" s="12">
        <v>468</v>
      </c>
      <c r="B472" s="12" t="str">
        <f>MOD($G$6*B471 + $G$7, $G$8)</f>
      </c>
      <c r="C472" s="12" t="str">
        <f>B472/$G$8</f>
      </c>
      <c r="D472" s="12" t="s">
        <v>80</v>
      </c>
    </row>
    <row r="473">
      <c r="A473" s="11">
        <v>469</v>
      </c>
      <c r="B473" s="11" t="str">
        <f>MOD($G$6*B472 + $G$7, $G$8)</f>
      </c>
      <c r="C473" s="11" t="str">
        <f>B473/$G$8</f>
      </c>
      <c r="D473" s="11" t="s">
        <v>80</v>
      </c>
    </row>
    <row r="474">
      <c r="A474" s="12">
        <v>470</v>
      </c>
      <c r="B474" s="12" t="str">
        <f>MOD($G$6*B473 + $G$7, $G$8)</f>
      </c>
      <c r="C474" s="12" t="str">
        <f>B474/$G$8</f>
      </c>
      <c r="D474" s="12" t="s">
        <v>80</v>
      </c>
    </row>
    <row r="475">
      <c r="A475" s="11">
        <v>471</v>
      </c>
      <c r="B475" s="11" t="str">
        <f>MOD($G$6*B474 + $G$7, $G$8)</f>
      </c>
      <c r="C475" s="11" t="str">
        <f>B475/$G$8</f>
      </c>
      <c r="D475" s="11" t="s">
        <v>80</v>
      </c>
    </row>
    <row r="476">
      <c r="A476" s="12">
        <v>472</v>
      </c>
      <c r="B476" s="12" t="str">
        <f>MOD($G$6*B475 + $G$7, $G$8)</f>
      </c>
      <c r="C476" s="12" t="str">
        <f>B476/$G$8</f>
      </c>
      <c r="D476" s="12" t="s">
        <v>80</v>
      </c>
    </row>
    <row r="477">
      <c r="A477" s="11">
        <v>473</v>
      </c>
      <c r="B477" s="11" t="str">
        <f>MOD($G$6*B476 + $G$7, $G$8)</f>
      </c>
      <c r="C477" s="11" t="str">
        <f>B477/$G$8</f>
      </c>
      <c r="D477" s="11" t="s">
        <v>80</v>
      </c>
    </row>
    <row r="478">
      <c r="A478" s="12">
        <v>474</v>
      </c>
      <c r="B478" s="12" t="str">
        <f>MOD($G$6*B477 + $G$7, $G$8)</f>
      </c>
      <c r="C478" s="12" t="str">
        <f>B478/$G$8</f>
      </c>
      <c r="D478" s="12" t="s">
        <v>80</v>
      </c>
    </row>
    <row r="479">
      <c r="A479" s="11">
        <v>475</v>
      </c>
      <c r="B479" s="11" t="str">
        <f>MOD($G$6*B478 + $G$7, $G$8)</f>
      </c>
      <c r="C479" s="11" t="str">
        <f>B479/$G$8</f>
      </c>
      <c r="D479" s="11" t="s">
        <v>80</v>
      </c>
    </row>
    <row r="480">
      <c r="A480" s="12">
        <v>476</v>
      </c>
      <c r="B480" s="12" t="str">
        <f>MOD($G$6*B479 + $G$7, $G$8)</f>
      </c>
      <c r="C480" s="12" t="str">
        <f>B480/$G$8</f>
      </c>
      <c r="D480" s="12" t="s">
        <v>80</v>
      </c>
    </row>
    <row r="481">
      <c r="A481" s="11">
        <v>477</v>
      </c>
      <c r="B481" s="11" t="str">
        <f>MOD($G$6*B480 + $G$7, $G$8)</f>
      </c>
      <c r="C481" s="11" t="str">
        <f>B481/$G$8</f>
      </c>
      <c r="D481" s="11" t="s">
        <v>80</v>
      </c>
    </row>
    <row r="482">
      <c r="A482" s="12">
        <v>478</v>
      </c>
      <c r="B482" s="12" t="str">
        <f>MOD($G$6*B481 + $G$7, $G$8)</f>
      </c>
      <c r="C482" s="12" t="str">
        <f>B482/$G$8</f>
      </c>
      <c r="D482" s="12" t="s">
        <v>80</v>
      </c>
    </row>
    <row r="483">
      <c r="A483" s="11">
        <v>479</v>
      </c>
      <c r="B483" s="11" t="str">
        <f>MOD($G$6*B482 + $G$7, $G$8)</f>
      </c>
      <c r="C483" s="11" t="str">
        <f>B483/$G$8</f>
      </c>
      <c r="D483" s="11" t="s">
        <v>80</v>
      </c>
    </row>
    <row r="484">
      <c r="A484" s="12">
        <v>480</v>
      </c>
      <c r="B484" s="12" t="str">
        <f>MOD($G$6*B483 + $G$7, $G$8)</f>
      </c>
      <c r="C484" s="12" t="str">
        <f>B484/$G$8</f>
      </c>
      <c r="D484" s="12" t="s">
        <v>80</v>
      </c>
    </row>
    <row r="485">
      <c r="A485" s="11">
        <v>481</v>
      </c>
      <c r="B485" s="11" t="str">
        <f>MOD($G$6*B484 + $G$7, $G$8)</f>
      </c>
      <c r="C485" s="11" t="str">
        <f>B485/$G$8</f>
      </c>
      <c r="D485" s="11" t="s">
        <v>80</v>
      </c>
    </row>
    <row r="486">
      <c r="A486" s="12">
        <v>482</v>
      </c>
      <c r="B486" s="12" t="str">
        <f>MOD($G$6*B485 + $G$7, $G$8)</f>
      </c>
      <c r="C486" s="12" t="str">
        <f>B486/$G$8</f>
      </c>
      <c r="D486" s="12" t="s">
        <v>80</v>
      </c>
    </row>
    <row r="487">
      <c r="A487" s="11">
        <v>483</v>
      </c>
      <c r="B487" s="11" t="str">
        <f>MOD($G$6*B486 + $G$7, $G$8)</f>
      </c>
      <c r="C487" s="11" t="str">
        <f>B487/$G$8</f>
      </c>
      <c r="D487" s="11" t="s">
        <v>80</v>
      </c>
    </row>
    <row r="488">
      <c r="A488" s="12">
        <v>484</v>
      </c>
      <c r="B488" s="12" t="str">
        <f>MOD($G$6*B487 + $G$7, $G$8)</f>
      </c>
      <c r="C488" s="12" t="str">
        <f>B488/$G$8</f>
      </c>
      <c r="D488" s="12" t="s">
        <v>80</v>
      </c>
    </row>
    <row r="489">
      <c r="A489" s="11">
        <v>485</v>
      </c>
      <c r="B489" s="11" t="str">
        <f>MOD($G$6*B488 + $G$7, $G$8)</f>
      </c>
      <c r="C489" s="11" t="str">
        <f>B489/$G$8</f>
      </c>
      <c r="D489" s="11" t="s">
        <v>80</v>
      </c>
    </row>
    <row r="490">
      <c r="A490" s="12">
        <v>486</v>
      </c>
      <c r="B490" s="12" t="str">
        <f>MOD($G$6*B489 + $G$7, $G$8)</f>
      </c>
      <c r="C490" s="12" t="str">
        <f>B490/$G$8</f>
      </c>
      <c r="D490" s="12" t="s">
        <v>80</v>
      </c>
    </row>
    <row r="491">
      <c r="A491" s="11">
        <v>487</v>
      </c>
      <c r="B491" s="11" t="str">
        <f>MOD($G$6*B490 + $G$7, $G$8)</f>
      </c>
      <c r="C491" s="11" t="str">
        <f>B491/$G$8</f>
      </c>
      <c r="D491" s="11" t="s">
        <v>80</v>
      </c>
    </row>
    <row r="492">
      <c r="A492" s="12">
        <v>488</v>
      </c>
      <c r="B492" s="12" t="str">
        <f>MOD($G$6*B491 + $G$7, $G$8)</f>
      </c>
      <c r="C492" s="12" t="str">
        <f>B492/$G$8</f>
      </c>
      <c r="D492" s="12" t="s">
        <v>80</v>
      </c>
    </row>
    <row r="493">
      <c r="A493" s="11">
        <v>489</v>
      </c>
      <c r="B493" s="11" t="str">
        <f>MOD($G$6*B492 + $G$7, $G$8)</f>
      </c>
      <c r="C493" s="11" t="str">
        <f>B493/$G$8</f>
      </c>
      <c r="D493" s="11" t="s">
        <v>80</v>
      </c>
    </row>
    <row r="494">
      <c r="A494" s="12">
        <v>490</v>
      </c>
      <c r="B494" s="12" t="str">
        <f>MOD($G$6*B493 + $G$7, $G$8)</f>
      </c>
      <c r="C494" s="12" t="str">
        <f>B494/$G$8</f>
      </c>
      <c r="D494" s="12" t="s">
        <v>80</v>
      </c>
    </row>
    <row r="495">
      <c r="A495" s="11">
        <v>491</v>
      </c>
      <c r="B495" s="11" t="str">
        <f>MOD($G$6*B494 + $G$7, $G$8)</f>
      </c>
      <c r="C495" s="11" t="str">
        <f>B495/$G$8</f>
      </c>
      <c r="D495" s="11" t="s">
        <v>80</v>
      </c>
    </row>
    <row r="496">
      <c r="A496" s="12">
        <v>492</v>
      </c>
      <c r="B496" s="12" t="str">
        <f>MOD($G$6*B495 + $G$7, $G$8)</f>
      </c>
      <c r="C496" s="12" t="str">
        <f>B496/$G$8</f>
      </c>
      <c r="D496" s="12" t="s">
        <v>80</v>
      </c>
    </row>
    <row r="497">
      <c r="A497" s="11">
        <v>493</v>
      </c>
      <c r="B497" s="11" t="str">
        <f>MOD($G$6*B496 + $G$7, $G$8)</f>
      </c>
      <c r="C497" s="11" t="str">
        <f>B497/$G$8</f>
      </c>
      <c r="D497" s="11" t="s">
        <v>80</v>
      </c>
    </row>
    <row r="498">
      <c r="A498" s="12">
        <v>494</v>
      </c>
      <c r="B498" s="12" t="str">
        <f>MOD($G$6*B497 + $G$7, $G$8)</f>
      </c>
      <c r="C498" s="12" t="str">
        <f>B498/$G$8</f>
      </c>
      <c r="D498" s="12" t="s">
        <v>80</v>
      </c>
    </row>
    <row r="499">
      <c r="A499" s="11">
        <v>495</v>
      </c>
      <c r="B499" s="11" t="str">
        <f>MOD($G$6*B498 + $G$7, $G$8)</f>
      </c>
      <c r="C499" s="11" t="str">
        <f>B499/$G$8</f>
      </c>
      <c r="D499" s="11" t="s">
        <v>80</v>
      </c>
    </row>
    <row r="500">
      <c r="A500" s="12">
        <v>496</v>
      </c>
      <c r="B500" s="12" t="str">
        <f>MOD($G$6*B499 + $G$7, $G$8)</f>
      </c>
      <c r="C500" s="12" t="str">
        <f>B500/$G$8</f>
      </c>
      <c r="D500" s="12" t="s">
        <v>80</v>
      </c>
    </row>
    <row r="501">
      <c r="A501" s="11">
        <v>497</v>
      </c>
      <c r="B501" s="11" t="str">
        <f>MOD($G$6*B500 + $G$7, $G$8)</f>
      </c>
      <c r="C501" s="11" t="str">
        <f>B501/$G$8</f>
      </c>
      <c r="D501" s="11" t="s">
        <v>80</v>
      </c>
    </row>
    <row r="502">
      <c r="A502" s="12">
        <v>498</v>
      </c>
      <c r="B502" s="12" t="str">
        <f>MOD($G$6*B501 + $G$7, $G$8)</f>
      </c>
      <c r="C502" s="12" t="str">
        <f>B502/$G$8</f>
      </c>
      <c r="D502" s="12" t="s">
        <v>80</v>
      </c>
    </row>
    <row r="503">
      <c r="A503" s="11">
        <v>499</v>
      </c>
      <c r="B503" s="11" t="str">
        <f>MOD($G$6*B502 + $G$7, $G$8)</f>
      </c>
      <c r="C503" s="11" t="str">
        <f>B503/$G$8</f>
      </c>
      <c r="D503" s="11" t="s">
        <v>80</v>
      </c>
    </row>
    <row r="504">
      <c r="A504" s="12">
        <v>500</v>
      </c>
      <c r="B504" s="12" t="str">
        <f>MOD($G$6*B503 + $G$7, $G$8)</f>
      </c>
      <c r="C504" s="12" t="str">
        <f>B504/$G$8</f>
      </c>
      <c r="D504" s="12" t="s">
        <v>80</v>
      </c>
    </row>
    <row r="505">
      <c r="A505" s="11">
        <v>501</v>
      </c>
      <c r="B505" s="11" t="str">
        <f>MOD($G$6*B504 + $G$7, $G$8)</f>
      </c>
      <c r="C505" s="11" t="str">
        <f>B505/$G$8</f>
      </c>
      <c r="D505" s="11" t="s">
        <v>80</v>
      </c>
    </row>
    <row r="506">
      <c r="A506" s="12">
        <v>502</v>
      </c>
      <c r="B506" s="12" t="str">
        <f>MOD($G$6*B505 + $G$7, $G$8)</f>
      </c>
      <c r="C506" s="12" t="str">
        <f>B506/$G$8</f>
      </c>
      <c r="D506" s="12" t="s">
        <v>80</v>
      </c>
    </row>
    <row r="507">
      <c r="A507" s="11">
        <v>503</v>
      </c>
      <c r="B507" s="11" t="str">
        <f>MOD($G$6*B506 + $G$7, $G$8)</f>
      </c>
      <c r="C507" s="11" t="str">
        <f>B507/$G$8</f>
      </c>
      <c r="D507" s="11" t="s">
        <v>80</v>
      </c>
    </row>
    <row r="508">
      <c r="A508" s="12">
        <v>504</v>
      </c>
      <c r="B508" s="12" t="str">
        <f>MOD($G$6*B507 + $G$7, $G$8)</f>
      </c>
      <c r="C508" s="12" t="str">
        <f>B508/$G$8</f>
      </c>
      <c r="D508" s="12" t="s">
        <v>80</v>
      </c>
    </row>
    <row r="509">
      <c r="A509" s="11">
        <v>505</v>
      </c>
      <c r="B509" s="11" t="str">
        <f>MOD($G$6*B508 + $G$7, $G$8)</f>
      </c>
      <c r="C509" s="11" t="str">
        <f>B509/$G$8</f>
      </c>
      <c r="D509" s="11" t="s">
        <v>80</v>
      </c>
    </row>
    <row r="510">
      <c r="A510" s="12">
        <v>506</v>
      </c>
      <c r="B510" s="12" t="str">
        <f>MOD($G$6*B509 + $G$7, $G$8)</f>
      </c>
      <c r="C510" s="12" t="str">
        <f>B510/$G$8</f>
      </c>
      <c r="D510" s="12" t="s">
        <v>80</v>
      </c>
    </row>
    <row r="511">
      <c r="A511" s="11">
        <v>507</v>
      </c>
      <c r="B511" s="11" t="str">
        <f>MOD($G$6*B510 + $G$7, $G$8)</f>
      </c>
      <c r="C511" s="11" t="str">
        <f>B511/$G$8</f>
      </c>
      <c r="D511" s="11" t="s">
        <v>80</v>
      </c>
    </row>
    <row r="512">
      <c r="A512" s="12">
        <v>508</v>
      </c>
      <c r="B512" s="12" t="str">
        <f>MOD($G$6*B511 + $G$7, $G$8)</f>
      </c>
      <c r="C512" s="12" t="str">
        <f>B512/$G$8</f>
      </c>
      <c r="D512" s="12" t="s">
        <v>80</v>
      </c>
    </row>
    <row r="513">
      <c r="A513" s="11">
        <v>509</v>
      </c>
      <c r="B513" s="11" t="str">
        <f>MOD($G$6*B512 + $G$7, $G$8)</f>
      </c>
      <c r="C513" s="11" t="str">
        <f>B513/$G$8</f>
      </c>
      <c r="D513" s="11" t="s">
        <v>80</v>
      </c>
    </row>
    <row r="514">
      <c r="A514" s="12">
        <v>510</v>
      </c>
      <c r="B514" s="12" t="str">
        <f>MOD($G$6*B513 + $G$7, $G$8)</f>
      </c>
      <c r="C514" s="12" t="str">
        <f>B514/$G$8</f>
      </c>
      <c r="D514" s="12" t="s">
        <v>80</v>
      </c>
    </row>
    <row r="515">
      <c r="A515" s="11">
        <v>511</v>
      </c>
      <c r="B515" s="11" t="str">
        <f>MOD($G$6*B514 + $G$7, $G$8)</f>
      </c>
      <c r="C515" s="11" t="str">
        <f>B515/$G$8</f>
      </c>
      <c r="D515" s="11" t="s">
        <v>80</v>
      </c>
    </row>
    <row r="516">
      <c r="A516" s="12">
        <v>512</v>
      </c>
      <c r="B516" s="12" t="str">
        <f>MOD($G$6*B515 + $G$7, $G$8)</f>
      </c>
      <c r="C516" s="12" t="str">
        <f>B516/$G$8</f>
      </c>
      <c r="D516" s="12" t="s">
        <v>80</v>
      </c>
    </row>
    <row r="517">
      <c r="A517" s="11">
        <v>513</v>
      </c>
      <c r="B517" s="11" t="str">
        <f>MOD($G$6*B516 + $G$7, $G$8)</f>
      </c>
      <c r="C517" s="11" t="str">
        <f>B517/$G$8</f>
      </c>
      <c r="D517" s="11" t="s">
        <v>80</v>
      </c>
    </row>
    <row r="518">
      <c r="A518" s="12">
        <v>514</v>
      </c>
      <c r="B518" s="12" t="str">
        <f>MOD($G$6*B517 + $G$7, $G$8)</f>
      </c>
      <c r="C518" s="12" t="str">
        <f>B518/$G$8</f>
      </c>
      <c r="D518" s="12" t="s">
        <v>80</v>
      </c>
    </row>
    <row r="519">
      <c r="A519" s="11">
        <v>515</v>
      </c>
      <c r="B519" s="11" t="str">
        <f>MOD($G$6*B518 + $G$7, $G$8)</f>
      </c>
      <c r="C519" s="11" t="str">
        <f>B519/$G$8</f>
      </c>
      <c r="D519" s="11" t="s">
        <v>80</v>
      </c>
    </row>
    <row r="520">
      <c r="A520" s="12">
        <v>516</v>
      </c>
      <c r="B520" s="12" t="str">
        <f>MOD($G$6*B519 + $G$7, $G$8)</f>
      </c>
      <c r="C520" s="12" t="str">
        <f>B520/$G$8</f>
      </c>
      <c r="D520" s="12" t="s">
        <v>80</v>
      </c>
    </row>
    <row r="521">
      <c r="A521" s="11">
        <v>517</v>
      </c>
      <c r="B521" s="11" t="str">
        <f>MOD($G$6*B520 + $G$7, $G$8)</f>
      </c>
      <c r="C521" s="11" t="str">
        <f>B521/$G$8</f>
      </c>
      <c r="D521" s="11" t="s">
        <v>80</v>
      </c>
    </row>
    <row r="522">
      <c r="A522" s="12">
        <v>518</v>
      </c>
      <c r="B522" s="12" t="str">
        <f>MOD($G$6*B521 + $G$7, $G$8)</f>
      </c>
      <c r="C522" s="12" t="str">
        <f>B522/$G$8</f>
      </c>
      <c r="D522" s="12" t="s">
        <v>80</v>
      </c>
    </row>
    <row r="523">
      <c r="A523" s="11">
        <v>519</v>
      </c>
      <c r="B523" s="11" t="str">
        <f>MOD($G$6*B522 + $G$7, $G$8)</f>
      </c>
      <c r="C523" s="11" t="str">
        <f>B523/$G$8</f>
      </c>
      <c r="D523" s="11" t="s">
        <v>80</v>
      </c>
    </row>
    <row r="524">
      <c r="A524" s="12">
        <v>520</v>
      </c>
      <c r="B524" s="12" t="str">
        <f>MOD($G$6*B523 + $G$7, $G$8)</f>
      </c>
      <c r="C524" s="12" t="str">
        <f>B524/$G$8</f>
      </c>
      <c r="D524" s="12" t="s">
        <v>80</v>
      </c>
    </row>
    <row r="525">
      <c r="A525" s="11">
        <v>521</v>
      </c>
      <c r="B525" s="11" t="str">
        <f>MOD($G$6*B524 + $G$7, $G$8)</f>
      </c>
      <c r="C525" s="11" t="str">
        <f>B525/$G$8</f>
      </c>
      <c r="D525" s="11" t="s">
        <v>80</v>
      </c>
    </row>
    <row r="526">
      <c r="A526" s="12">
        <v>522</v>
      </c>
      <c r="B526" s="12" t="str">
        <f>MOD($G$6*B525 + $G$7, $G$8)</f>
      </c>
      <c r="C526" s="12" t="str">
        <f>B526/$G$8</f>
      </c>
      <c r="D526" s="12" t="s">
        <v>80</v>
      </c>
    </row>
    <row r="527">
      <c r="A527" s="11">
        <v>523</v>
      </c>
      <c r="B527" s="11" t="str">
        <f>MOD($G$6*B526 + $G$7, $G$8)</f>
      </c>
      <c r="C527" s="11" t="str">
        <f>B527/$G$8</f>
      </c>
      <c r="D527" s="11" t="s">
        <v>80</v>
      </c>
    </row>
    <row r="528">
      <c r="A528" s="12">
        <v>524</v>
      </c>
      <c r="B528" s="12" t="str">
        <f>MOD($G$6*B527 + $G$7, $G$8)</f>
      </c>
      <c r="C528" s="12" t="str">
        <f>B528/$G$8</f>
      </c>
      <c r="D528" s="12" t="s">
        <v>80</v>
      </c>
    </row>
    <row r="529">
      <c r="A529" s="11">
        <v>525</v>
      </c>
      <c r="B529" s="11" t="str">
        <f>MOD($G$6*B528 + $G$7, $G$8)</f>
      </c>
      <c r="C529" s="11" t="str">
        <f>B529/$G$8</f>
      </c>
      <c r="D529" s="11" t="s">
        <v>80</v>
      </c>
    </row>
    <row r="530">
      <c r="A530" s="12">
        <v>526</v>
      </c>
      <c r="B530" s="12" t="str">
        <f>MOD($G$6*B529 + $G$7, $G$8)</f>
      </c>
      <c r="C530" s="12" t="str">
        <f>B530/$G$8</f>
      </c>
      <c r="D530" s="12" t="s">
        <v>80</v>
      </c>
    </row>
    <row r="531">
      <c r="A531" s="11">
        <v>527</v>
      </c>
      <c r="B531" s="11" t="str">
        <f>MOD($G$6*B530 + $G$7, $G$8)</f>
      </c>
      <c r="C531" s="11" t="str">
        <f>B531/$G$8</f>
      </c>
      <c r="D531" s="11" t="s">
        <v>80</v>
      </c>
    </row>
    <row r="532">
      <c r="A532" s="12">
        <v>528</v>
      </c>
      <c r="B532" s="12" t="str">
        <f>MOD($G$6*B531 + $G$7, $G$8)</f>
      </c>
      <c r="C532" s="12" t="str">
        <f>B532/$G$8</f>
      </c>
      <c r="D532" s="12" t="s">
        <v>80</v>
      </c>
    </row>
    <row r="533">
      <c r="A533" s="11">
        <v>529</v>
      </c>
      <c r="B533" s="11" t="str">
        <f>MOD($G$6*B532 + $G$7, $G$8)</f>
      </c>
      <c r="C533" s="11" t="str">
        <f>B533/$G$8</f>
      </c>
      <c r="D533" s="11" t="s">
        <v>80</v>
      </c>
    </row>
    <row r="534">
      <c r="A534" s="12">
        <v>530</v>
      </c>
      <c r="B534" s="12" t="str">
        <f>MOD($G$6*B533 + $G$7, $G$8)</f>
      </c>
      <c r="C534" s="12" t="str">
        <f>B534/$G$8</f>
      </c>
      <c r="D534" s="12" t="s">
        <v>80</v>
      </c>
    </row>
    <row r="535">
      <c r="A535" s="11">
        <v>531</v>
      </c>
      <c r="B535" s="11" t="str">
        <f>MOD($G$6*B534 + $G$7, $G$8)</f>
      </c>
      <c r="C535" s="11" t="str">
        <f>B535/$G$8</f>
      </c>
      <c r="D535" s="11" t="s">
        <v>80</v>
      </c>
    </row>
    <row r="536">
      <c r="A536" s="12">
        <v>532</v>
      </c>
      <c r="B536" s="12" t="str">
        <f>MOD($G$6*B535 + $G$7, $G$8)</f>
      </c>
      <c r="C536" s="12" t="str">
        <f>B536/$G$8</f>
      </c>
      <c r="D536" s="12" t="s">
        <v>80</v>
      </c>
    </row>
    <row r="537">
      <c r="A537" s="11">
        <v>533</v>
      </c>
      <c r="B537" s="11" t="str">
        <f>MOD($G$6*B536 + $G$7, $G$8)</f>
      </c>
      <c r="C537" s="11" t="str">
        <f>B537/$G$8</f>
      </c>
      <c r="D537" s="11" t="s">
        <v>80</v>
      </c>
    </row>
    <row r="538">
      <c r="A538" s="12">
        <v>534</v>
      </c>
      <c r="B538" s="12" t="str">
        <f>MOD($G$6*B537 + $G$7, $G$8)</f>
      </c>
      <c r="C538" s="12" t="str">
        <f>B538/$G$8</f>
      </c>
      <c r="D538" s="12" t="s">
        <v>80</v>
      </c>
    </row>
    <row r="539">
      <c r="A539" s="11">
        <v>535</v>
      </c>
      <c r="B539" s="11" t="str">
        <f>MOD($G$6*B538 + $G$7, $G$8)</f>
      </c>
      <c r="C539" s="11" t="str">
        <f>B539/$G$8</f>
      </c>
      <c r="D539" s="11" t="s">
        <v>80</v>
      </c>
    </row>
    <row r="540">
      <c r="A540" s="12">
        <v>536</v>
      </c>
      <c r="B540" s="12" t="str">
        <f>MOD($G$6*B539 + $G$7, $G$8)</f>
      </c>
      <c r="C540" s="12" t="str">
        <f>B540/$G$8</f>
      </c>
      <c r="D540" s="12" t="s">
        <v>80</v>
      </c>
    </row>
    <row r="541">
      <c r="A541" s="11">
        <v>537</v>
      </c>
      <c r="B541" s="11" t="str">
        <f>MOD($G$6*B540 + $G$7, $G$8)</f>
      </c>
      <c r="C541" s="11" t="str">
        <f>B541/$G$8</f>
      </c>
      <c r="D541" s="11" t="s">
        <v>80</v>
      </c>
    </row>
    <row r="542">
      <c r="A542" s="12">
        <v>538</v>
      </c>
      <c r="B542" s="12" t="str">
        <f>MOD($G$6*B541 + $G$7, $G$8)</f>
      </c>
      <c r="C542" s="12" t="str">
        <f>B542/$G$8</f>
      </c>
      <c r="D542" s="12" t="s">
        <v>80</v>
      </c>
    </row>
    <row r="543">
      <c r="A543" s="11">
        <v>539</v>
      </c>
      <c r="B543" s="11" t="str">
        <f>MOD($G$6*B542 + $G$7, $G$8)</f>
      </c>
      <c r="C543" s="11" t="str">
        <f>B543/$G$8</f>
      </c>
      <c r="D543" s="11" t="s">
        <v>80</v>
      </c>
    </row>
    <row r="544">
      <c r="A544" s="12">
        <v>540</v>
      </c>
      <c r="B544" s="12" t="str">
        <f>MOD($G$6*B543 + $G$7, $G$8)</f>
      </c>
      <c r="C544" s="12" t="str">
        <f>B544/$G$8</f>
      </c>
      <c r="D544" s="12" t="s">
        <v>80</v>
      </c>
    </row>
    <row r="545">
      <c r="A545" s="11">
        <v>541</v>
      </c>
      <c r="B545" s="11" t="str">
        <f>MOD($G$6*B544 + $G$7, $G$8)</f>
      </c>
      <c r="C545" s="11" t="str">
        <f>B545/$G$8</f>
      </c>
      <c r="D545" s="11" t="s">
        <v>80</v>
      </c>
    </row>
    <row r="546">
      <c r="A546" s="12">
        <v>542</v>
      </c>
      <c r="B546" s="12" t="str">
        <f>MOD($G$6*B545 + $G$7, $G$8)</f>
      </c>
      <c r="C546" s="12" t="str">
        <f>B546/$G$8</f>
      </c>
      <c r="D546" s="12" t="s">
        <v>80</v>
      </c>
    </row>
    <row r="547">
      <c r="A547" s="11">
        <v>543</v>
      </c>
      <c r="B547" s="11" t="str">
        <f>MOD($G$6*B546 + $G$7, $G$8)</f>
      </c>
      <c r="C547" s="11" t="str">
        <f>B547/$G$8</f>
      </c>
      <c r="D547" s="11" t="s">
        <v>80</v>
      </c>
    </row>
    <row r="548">
      <c r="A548" s="12">
        <v>544</v>
      </c>
      <c r="B548" s="12" t="str">
        <f>MOD($G$6*B547 + $G$7, $G$8)</f>
      </c>
      <c r="C548" s="12" t="str">
        <f>B548/$G$8</f>
      </c>
      <c r="D548" s="12" t="s">
        <v>80</v>
      </c>
    </row>
    <row r="549">
      <c r="A549" s="11">
        <v>545</v>
      </c>
      <c r="B549" s="11" t="str">
        <f>MOD($G$6*B548 + $G$7, $G$8)</f>
      </c>
      <c r="C549" s="11" t="str">
        <f>B549/$G$8</f>
      </c>
      <c r="D549" s="11" t="s">
        <v>80</v>
      </c>
    </row>
    <row r="550">
      <c r="A550" s="12">
        <v>546</v>
      </c>
      <c r="B550" s="12" t="str">
        <f>MOD($G$6*B549 + $G$7, $G$8)</f>
      </c>
      <c r="C550" s="12" t="str">
        <f>B550/$G$8</f>
      </c>
      <c r="D550" s="12" t="s">
        <v>80</v>
      </c>
    </row>
    <row r="551">
      <c r="A551" s="11">
        <v>547</v>
      </c>
      <c r="B551" s="11" t="str">
        <f>MOD($G$6*B550 + $G$7, $G$8)</f>
      </c>
      <c r="C551" s="11" t="str">
        <f>B551/$G$8</f>
      </c>
      <c r="D551" s="11" t="s">
        <v>80</v>
      </c>
    </row>
    <row r="552">
      <c r="A552" s="12">
        <v>548</v>
      </c>
      <c r="B552" s="12" t="str">
        <f>MOD($G$6*B551 + $G$7, $G$8)</f>
      </c>
      <c r="C552" s="12" t="str">
        <f>B552/$G$8</f>
      </c>
      <c r="D552" s="12" t="s">
        <v>80</v>
      </c>
    </row>
    <row r="553">
      <c r="A553" s="11">
        <v>549</v>
      </c>
      <c r="B553" s="11" t="str">
        <f>MOD($G$6*B552 + $G$7, $G$8)</f>
      </c>
      <c r="C553" s="11" t="str">
        <f>B553/$G$8</f>
      </c>
      <c r="D553" s="11" t="s">
        <v>80</v>
      </c>
    </row>
    <row r="554">
      <c r="A554" s="12">
        <v>550</v>
      </c>
      <c r="B554" s="12" t="str">
        <f>MOD($G$6*B553 + $G$7, $G$8)</f>
      </c>
      <c r="C554" s="12" t="str">
        <f>B554/$G$8</f>
      </c>
      <c r="D554" s="12" t="s">
        <v>80</v>
      </c>
    </row>
    <row r="555">
      <c r="A555" s="11">
        <v>551</v>
      </c>
      <c r="B555" s="11" t="str">
        <f>MOD($G$6*B554 + $G$7, $G$8)</f>
      </c>
      <c r="C555" s="11" t="str">
        <f>B555/$G$8</f>
      </c>
      <c r="D555" s="11" t="s">
        <v>80</v>
      </c>
    </row>
    <row r="556">
      <c r="A556" s="12">
        <v>552</v>
      </c>
      <c r="B556" s="12" t="str">
        <f>MOD($G$6*B555 + $G$7, $G$8)</f>
      </c>
      <c r="C556" s="12" t="str">
        <f>B556/$G$8</f>
      </c>
      <c r="D556" s="12" t="s">
        <v>80</v>
      </c>
    </row>
    <row r="557">
      <c r="A557" s="11">
        <v>553</v>
      </c>
      <c r="B557" s="11" t="str">
        <f>MOD($G$6*B556 + $G$7, $G$8)</f>
      </c>
      <c r="C557" s="11" t="str">
        <f>B557/$G$8</f>
      </c>
      <c r="D557" s="11" t="s">
        <v>80</v>
      </c>
    </row>
    <row r="558">
      <c r="A558" s="12">
        <v>554</v>
      </c>
      <c r="B558" s="12" t="str">
        <f>MOD($G$6*B557 + $G$7, $G$8)</f>
      </c>
      <c r="C558" s="12" t="str">
        <f>B558/$G$8</f>
      </c>
      <c r="D558" s="12" t="s">
        <v>80</v>
      </c>
    </row>
    <row r="559">
      <c r="A559" s="11">
        <v>555</v>
      </c>
      <c r="B559" s="11" t="str">
        <f>MOD($G$6*B558 + $G$7, $G$8)</f>
      </c>
      <c r="C559" s="11" t="str">
        <f>B559/$G$8</f>
      </c>
      <c r="D559" s="11" t="s">
        <v>80</v>
      </c>
    </row>
    <row r="560">
      <c r="A560" s="12">
        <v>556</v>
      </c>
      <c r="B560" s="12" t="str">
        <f>MOD($G$6*B559 + $G$7, $G$8)</f>
      </c>
      <c r="C560" s="12" t="str">
        <f>B560/$G$8</f>
      </c>
      <c r="D560" s="12" t="s">
        <v>80</v>
      </c>
    </row>
    <row r="561">
      <c r="A561" s="11">
        <v>557</v>
      </c>
      <c r="B561" s="11" t="str">
        <f>MOD($G$6*B560 + $G$7, $G$8)</f>
      </c>
      <c r="C561" s="11" t="str">
        <f>B561/$G$8</f>
      </c>
      <c r="D561" s="11" t="s">
        <v>80</v>
      </c>
    </row>
    <row r="562">
      <c r="A562" s="12">
        <v>558</v>
      </c>
      <c r="B562" s="12" t="str">
        <f>MOD($G$6*B561 + $G$7, $G$8)</f>
      </c>
      <c r="C562" s="12" t="str">
        <f>B562/$G$8</f>
      </c>
      <c r="D562" s="12" t="s">
        <v>80</v>
      </c>
    </row>
    <row r="563">
      <c r="A563" s="11">
        <v>559</v>
      </c>
      <c r="B563" s="11" t="str">
        <f>MOD($G$6*B562 + $G$7, $G$8)</f>
      </c>
      <c r="C563" s="11" t="str">
        <f>B563/$G$8</f>
      </c>
      <c r="D563" s="11" t="s">
        <v>80</v>
      </c>
    </row>
    <row r="564">
      <c r="A564" s="12">
        <v>560</v>
      </c>
      <c r="B564" s="12" t="str">
        <f>MOD($G$6*B563 + $G$7, $G$8)</f>
      </c>
      <c r="C564" s="12" t="str">
        <f>B564/$G$8</f>
      </c>
      <c r="D564" s="12" t="s">
        <v>80</v>
      </c>
    </row>
    <row r="565">
      <c r="A565" s="11">
        <v>561</v>
      </c>
      <c r="B565" s="11" t="str">
        <f>MOD($G$6*B564 + $G$7, $G$8)</f>
      </c>
      <c r="C565" s="11" t="str">
        <f>B565/$G$8</f>
      </c>
      <c r="D565" s="11" t="s">
        <v>80</v>
      </c>
    </row>
    <row r="566">
      <c r="A566" s="12">
        <v>562</v>
      </c>
      <c r="B566" s="12" t="str">
        <f>MOD($G$6*B565 + $G$7, $G$8)</f>
      </c>
      <c r="C566" s="12" t="str">
        <f>B566/$G$8</f>
      </c>
      <c r="D566" s="12" t="s">
        <v>80</v>
      </c>
    </row>
    <row r="567">
      <c r="A567" s="11">
        <v>563</v>
      </c>
      <c r="B567" s="11" t="str">
        <f>MOD($G$6*B566 + $G$7, $G$8)</f>
      </c>
      <c r="C567" s="11" t="str">
        <f>B567/$G$8</f>
      </c>
      <c r="D567" s="11" t="s">
        <v>80</v>
      </c>
    </row>
    <row r="568">
      <c r="A568" s="12">
        <v>564</v>
      </c>
      <c r="B568" s="12" t="str">
        <f>MOD($G$6*B567 + $G$7, $G$8)</f>
      </c>
      <c r="C568" s="12" t="str">
        <f>B568/$G$8</f>
      </c>
      <c r="D568" s="12" t="s">
        <v>80</v>
      </c>
    </row>
    <row r="569">
      <c r="A569" s="11">
        <v>565</v>
      </c>
      <c r="B569" s="11" t="str">
        <f>MOD($G$6*B568 + $G$7, $G$8)</f>
      </c>
      <c r="C569" s="11" t="str">
        <f>B569/$G$8</f>
      </c>
      <c r="D569" s="11" t="s">
        <v>80</v>
      </c>
    </row>
    <row r="570">
      <c r="A570" s="12">
        <v>566</v>
      </c>
      <c r="B570" s="12" t="str">
        <f>MOD($G$6*B569 + $G$7, $G$8)</f>
      </c>
      <c r="C570" s="12" t="str">
        <f>B570/$G$8</f>
      </c>
      <c r="D570" s="12" t="s">
        <v>80</v>
      </c>
    </row>
    <row r="571">
      <c r="A571" s="11">
        <v>567</v>
      </c>
      <c r="B571" s="11" t="str">
        <f>MOD($G$6*B570 + $G$7, $G$8)</f>
      </c>
      <c r="C571" s="11" t="str">
        <f>B571/$G$8</f>
      </c>
      <c r="D571" s="11" t="s">
        <v>80</v>
      </c>
    </row>
    <row r="572">
      <c r="A572" s="12">
        <v>568</v>
      </c>
      <c r="B572" s="12" t="str">
        <f>MOD($G$6*B571 + $G$7, $G$8)</f>
      </c>
      <c r="C572" s="12" t="str">
        <f>B572/$G$8</f>
      </c>
      <c r="D572" s="12" t="s">
        <v>80</v>
      </c>
    </row>
    <row r="573">
      <c r="A573" s="11">
        <v>569</v>
      </c>
      <c r="B573" s="11" t="str">
        <f>MOD($G$6*B572 + $G$7, $G$8)</f>
      </c>
      <c r="C573" s="11" t="str">
        <f>B573/$G$8</f>
      </c>
      <c r="D573" s="11" t="s">
        <v>80</v>
      </c>
    </row>
    <row r="574">
      <c r="A574" s="12">
        <v>570</v>
      </c>
      <c r="B574" s="12" t="str">
        <f>MOD($G$6*B573 + $G$7, $G$8)</f>
      </c>
      <c r="C574" s="12" t="str">
        <f>B574/$G$8</f>
      </c>
      <c r="D574" s="12" t="s">
        <v>80</v>
      </c>
    </row>
    <row r="575">
      <c r="A575" s="11">
        <v>571</v>
      </c>
      <c r="B575" s="11" t="str">
        <f>MOD($G$6*B574 + $G$7, $G$8)</f>
      </c>
      <c r="C575" s="11" t="str">
        <f>B575/$G$8</f>
      </c>
      <c r="D575" s="11" t="s">
        <v>80</v>
      </c>
    </row>
    <row r="576">
      <c r="A576" s="12">
        <v>572</v>
      </c>
      <c r="B576" s="12" t="str">
        <f>MOD($G$6*B575 + $G$7, $G$8)</f>
      </c>
      <c r="C576" s="12" t="str">
        <f>B576/$G$8</f>
      </c>
      <c r="D576" s="12" t="s">
        <v>80</v>
      </c>
    </row>
    <row r="577">
      <c r="A577" s="11">
        <v>573</v>
      </c>
      <c r="B577" s="11" t="str">
        <f>MOD($G$6*B576 + $G$7, $G$8)</f>
      </c>
      <c r="C577" s="11" t="str">
        <f>B577/$G$8</f>
      </c>
      <c r="D577" s="11" t="s">
        <v>80</v>
      </c>
    </row>
    <row r="578">
      <c r="A578" s="12">
        <v>574</v>
      </c>
      <c r="B578" s="12" t="str">
        <f>MOD($G$6*B577 + $G$7, $G$8)</f>
      </c>
      <c r="C578" s="12" t="str">
        <f>B578/$G$8</f>
      </c>
      <c r="D578" s="12" t="s">
        <v>80</v>
      </c>
    </row>
    <row r="579">
      <c r="A579" s="11">
        <v>575</v>
      </c>
      <c r="B579" s="11" t="str">
        <f>MOD($G$6*B578 + $G$7, $G$8)</f>
      </c>
      <c r="C579" s="11" t="str">
        <f>B579/$G$8</f>
      </c>
      <c r="D579" s="11" t="s">
        <v>80</v>
      </c>
    </row>
    <row r="580">
      <c r="A580" s="12">
        <v>576</v>
      </c>
      <c r="B580" s="12" t="str">
        <f>MOD($G$6*B579 + $G$7, $G$8)</f>
      </c>
      <c r="C580" s="12" t="str">
        <f>B580/$G$8</f>
      </c>
      <c r="D580" s="12" t="s">
        <v>80</v>
      </c>
    </row>
    <row r="581">
      <c r="A581" s="11">
        <v>577</v>
      </c>
      <c r="B581" s="11" t="str">
        <f>MOD($G$6*B580 + $G$7, $G$8)</f>
      </c>
      <c r="C581" s="11" t="str">
        <f>B581/$G$8</f>
      </c>
      <c r="D581" s="11" t="s">
        <v>80</v>
      </c>
    </row>
    <row r="582">
      <c r="A582" s="12">
        <v>578</v>
      </c>
      <c r="B582" s="12" t="str">
        <f>MOD($G$6*B581 + $G$7, $G$8)</f>
      </c>
      <c r="C582" s="12" t="str">
        <f>B582/$G$8</f>
      </c>
      <c r="D582" s="12" t="s">
        <v>80</v>
      </c>
    </row>
    <row r="583">
      <c r="A583" s="11">
        <v>579</v>
      </c>
      <c r="B583" s="11" t="str">
        <f>MOD($G$6*B582 + $G$7, $G$8)</f>
      </c>
      <c r="C583" s="11" t="str">
        <f>B583/$G$8</f>
      </c>
      <c r="D583" s="11" t="s">
        <v>80</v>
      </c>
    </row>
    <row r="584">
      <c r="A584" s="12">
        <v>580</v>
      </c>
      <c r="B584" s="12" t="str">
        <f>MOD($G$6*B583 + $G$7, $G$8)</f>
      </c>
      <c r="C584" s="12" t="str">
        <f>B584/$G$8</f>
      </c>
      <c r="D584" s="12" t="s">
        <v>80</v>
      </c>
    </row>
    <row r="585">
      <c r="A585" s="11">
        <v>581</v>
      </c>
      <c r="B585" s="11" t="str">
        <f>MOD($G$6*B584 + $G$7, $G$8)</f>
      </c>
      <c r="C585" s="11" t="str">
        <f>B585/$G$8</f>
      </c>
      <c r="D585" s="11" t="s">
        <v>80</v>
      </c>
    </row>
    <row r="586">
      <c r="A586" s="12">
        <v>582</v>
      </c>
      <c r="B586" s="12" t="str">
        <f>MOD($G$6*B585 + $G$7, $G$8)</f>
      </c>
      <c r="C586" s="12" t="str">
        <f>B586/$G$8</f>
      </c>
      <c r="D586" s="12" t="s">
        <v>80</v>
      </c>
    </row>
    <row r="587">
      <c r="A587" s="11">
        <v>583</v>
      </c>
      <c r="B587" s="11" t="str">
        <f>MOD($G$6*B586 + $G$7, $G$8)</f>
      </c>
      <c r="C587" s="11" t="str">
        <f>B587/$G$8</f>
      </c>
      <c r="D587" s="11" t="s">
        <v>80</v>
      </c>
    </row>
    <row r="588">
      <c r="A588" s="12">
        <v>584</v>
      </c>
      <c r="B588" s="12" t="str">
        <f>MOD($G$6*B587 + $G$7, $G$8)</f>
      </c>
      <c r="C588" s="12" t="str">
        <f>B588/$G$8</f>
      </c>
      <c r="D588" s="12" t="s">
        <v>80</v>
      </c>
    </row>
    <row r="589">
      <c r="A589" s="11">
        <v>585</v>
      </c>
      <c r="B589" s="11" t="str">
        <f>MOD($G$6*B588 + $G$7, $G$8)</f>
      </c>
      <c r="C589" s="11" t="str">
        <f>B589/$G$8</f>
      </c>
      <c r="D589" s="11" t="s">
        <v>80</v>
      </c>
    </row>
    <row r="590">
      <c r="A590" s="12">
        <v>586</v>
      </c>
      <c r="B590" s="12" t="str">
        <f>MOD($G$6*B589 + $G$7, $G$8)</f>
      </c>
      <c r="C590" s="12" t="str">
        <f>B590/$G$8</f>
      </c>
      <c r="D590" s="12" t="s">
        <v>80</v>
      </c>
    </row>
    <row r="591">
      <c r="A591" s="11">
        <v>587</v>
      </c>
      <c r="B591" s="11" t="str">
        <f>MOD($G$6*B590 + $G$7, $G$8)</f>
      </c>
      <c r="C591" s="11" t="str">
        <f>B591/$G$8</f>
      </c>
      <c r="D591" s="11" t="s">
        <v>80</v>
      </c>
    </row>
    <row r="592">
      <c r="A592" s="12">
        <v>588</v>
      </c>
      <c r="B592" s="12" t="str">
        <f>MOD($G$6*B591 + $G$7, $G$8)</f>
      </c>
      <c r="C592" s="12" t="str">
        <f>B592/$G$8</f>
      </c>
      <c r="D592" s="12" t="s">
        <v>80</v>
      </c>
    </row>
    <row r="593">
      <c r="A593" s="11">
        <v>589</v>
      </c>
      <c r="B593" s="11" t="str">
        <f>MOD($G$6*B592 + $G$7, $G$8)</f>
      </c>
      <c r="C593" s="11" t="str">
        <f>B593/$G$8</f>
      </c>
      <c r="D593" s="11" t="s">
        <v>80</v>
      </c>
    </row>
    <row r="594">
      <c r="A594" s="12">
        <v>590</v>
      </c>
      <c r="B594" s="12" t="str">
        <f>MOD($G$6*B593 + $G$7, $G$8)</f>
      </c>
      <c r="C594" s="12" t="str">
        <f>B594/$G$8</f>
      </c>
      <c r="D594" s="12" t="s">
        <v>80</v>
      </c>
    </row>
    <row r="595">
      <c r="A595" s="11">
        <v>591</v>
      </c>
      <c r="B595" s="11" t="str">
        <f>MOD($G$6*B594 + $G$7, $G$8)</f>
      </c>
      <c r="C595" s="11" t="str">
        <f>B595/$G$8</f>
      </c>
      <c r="D595" s="11" t="s">
        <v>80</v>
      </c>
    </row>
    <row r="596">
      <c r="A596" s="12">
        <v>592</v>
      </c>
      <c r="B596" s="12" t="str">
        <f>MOD($G$6*B595 + $G$7, $G$8)</f>
      </c>
      <c r="C596" s="12" t="str">
        <f>B596/$G$8</f>
      </c>
      <c r="D596" s="12" t="s">
        <v>80</v>
      </c>
    </row>
    <row r="597">
      <c r="A597" s="11">
        <v>593</v>
      </c>
      <c r="B597" s="11" t="str">
        <f>MOD($G$6*B596 + $G$7, $G$8)</f>
      </c>
      <c r="C597" s="11" t="str">
        <f>B597/$G$8</f>
      </c>
      <c r="D597" s="11" t="s">
        <v>80</v>
      </c>
    </row>
    <row r="598">
      <c r="A598" s="12">
        <v>594</v>
      </c>
      <c r="B598" s="12" t="str">
        <f>MOD($G$6*B597 + $G$7, $G$8)</f>
      </c>
      <c r="C598" s="12" t="str">
        <f>B598/$G$8</f>
      </c>
      <c r="D598" s="12" t="s">
        <v>80</v>
      </c>
    </row>
    <row r="599">
      <c r="A599" s="11">
        <v>595</v>
      </c>
      <c r="B599" s="11" t="str">
        <f>MOD($G$6*B598 + $G$7, $G$8)</f>
      </c>
      <c r="C599" s="11" t="str">
        <f>B599/$G$8</f>
      </c>
      <c r="D599" s="11" t="s">
        <v>80</v>
      </c>
    </row>
    <row r="600">
      <c r="A600" s="12">
        <v>596</v>
      </c>
      <c r="B600" s="12" t="str">
        <f>MOD($G$6*B599 + $G$7, $G$8)</f>
      </c>
      <c r="C600" s="12" t="str">
        <f>B600/$G$8</f>
      </c>
      <c r="D600" s="12" t="s">
        <v>80</v>
      </c>
    </row>
    <row r="601">
      <c r="A601" s="11">
        <v>597</v>
      </c>
      <c r="B601" s="11" t="str">
        <f>MOD($G$6*B600 + $G$7, $G$8)</f>
      </c>
      <c r="C601" s="11" t="str">
        <f>B601/$G$8</f>
      </c>
      <c r="D601" s="11" t="s">
        <v>80</v>
      </c>
    </row>
    <row r="602">
      <c r="A602" s="12">
        <v>598</v>
      </c>
      <c r="B602" s="12" t="str">
        <f>MOD($G$6*B601 + $G$7, $G$8)</f>
      </c>
      <c r="C602" s="12" t="str">
        <f>B602/$G$8</f>
      </c>
      <c r="D602" s="12" t="s">
        <v>80</v>
      </c>
    </row>
    <row r="603">
      <c r="A603" s="11">
        <v>599</v>
      </c>
      <c r="B603" s="11" t="str">
        <f>MOD($G$6*B602 + $G$7, $G$8)</f>
      </c>
      <c r="C603" s="11" t="str">
        <f>B603/$G$8</f>
      </c>
      <c r="D603" s="11" t="s">
        <v>80</v>
      </c>
    </row>
    <row r="604">
      <c r="A604" s="12">
        <v>600</v>
      </c>
      <c r="B604" s="12" t="str">
        <f>MOD($G$6*B603 + $G$7, $G$8)</f>
      </c>
      <c r="C604" s="12" t="str">
        <f>B604/$G$8</f>
      </c>
      <c r="D604" s="12" t="s">
        <v>80</v>
      </c>
    </row>
    <row r="605">
      <c r="A605" s="11">
        <v>601</v>
      </c>
      <c r="B605" s="11" t="str">
        <f>MOD($G$6*B604 + $G$7, $G$8)</f>
      </c>
      <c r="C605" s="11" t="str">
        <f>B605/$G$8</f>
      </c>
      <c r="D605" s="11" t="s">
        <v>80</v>
      </c>
    </row>
    <row r="606">
      <c r="A606" s="12">
        <v>602</v>
      </c>
      <c r="B606" s="12" t="str">
        <f>MOD($G$6*B605 + $G$7, $G$8)</f>
      </c>
      <c r="C606" s="12" t="str">
        <f>B606/$G$8</f>
      </c>
      <c r="D606" s="12" t="s">
        <v>80</v>
      </c>
    </row>
    <row r="607">
      <c r="A607" s="11">
        <v>603</v>
      </c>
      <c r="B607" s="11" t="str">
        <f>MOD($G$6*B606 + $G$7, $G$8)</f>
      </c>
      <c r="C607" s="11" t="str">
        <f>B607/$G$8</f>
      </c>
      <c r="D607" s="11" t="s">
        <v>80</v>
      </c>
    </row>
    <row r="608">
      <c r="A608" s="12">
        <v>604</v>
      </c>
      <c r="B608" s="12" t="str">
        <f>MOD($G$6*B607 + $G$7, $G$8)</f>
      </c>
      <c r="C608" s="12" t="str">
        <f>B608/$G$8</f>
      </c>
      <c r="D608" s="12" t="s">
        <v>80</v>
      </c>
    </row>
    <row r="609">
      <c r="A609" s="11">
        <v>605</v>
      </c>
      <c r="B609" s="11" t="str">
        <f>MOD($G$6*B608 + $G$7, $G$8)</f>
      </c>
      <c r="C609" s="11" t="str">
        <f>B609/$G$8</f>
      </c>
      <c r="D609" s="11" t="s">
        <v>80</v>
      </c>
    </row>
    <row r="610">
      <c r="A610" s="12">
        <v>606</v>
      </c>
      <c r="B610" s="12" t="str">
        <f>MOD($G$6*B609 + $G$7, $G$8)</f>
      </c>
      <c r="C610" s="12" t="str">
        <f>B610/$G$8</f>
      </c>
      <c r="D610" s="12" t="s">
        <v>80</v>
      </c>
    </row>
    <row r="611">
      <c r="A611" s="11">
        <v>607</v>
      </c>
      <c r="B611" s="11" t="str">
        <f>MOD($G$6*B610 + $G$7, $G$8)</f>
      </c>
      <c r="C611" s="11" t="str">
        <f>B611/$G$8</f>
      </c>
      <c r="D611" s="11" t="s">
        <v>80</v>
      </c>
    </row>
    <row r="612">
      <c r="A612" s="12">
        <v>608</v>
      </c>
      <c r="B612" s="12" t="str">
        <f>MOD($G$6*B611 + $G$7, $G$8)</f>
      </c>
      <c r="C612" s="12" t="str">
        <f>B612/$G$8</f>
      </c>
      <c r="D612" s="12" t="s">
        <v>80</v>
      </c>
    </row>
    <row r="613">
      <c r="A613" s="11">
        <v>609</v>
      </c>
      <c r="B613" s="11" t="str">
        <f>MOD($G$6*B612 + $G$7, $G$8)</f>
      </c>
      <c r="C613" s="11" t="str">
        <f>B613/$G$8</f>
      </c>
      <c r="D613" s="11" t="s">
        <v>80</v>
      </c>
    </row>
    <row r="614">
      <c r="A614" s="12">
        <v>610</v>
      </c>
      <c r="B614" s="12" t="str">
        <f>MOD($G$6*B613 + $G$7, $G$8)</f>
      </c>
      <c r="C614" s="12" t="str">
        <f>B614/$G$8</f>
      </c>
      <c r="D614" s="12" t="s">
        <v>80</v>
      </c>
    </row>
    <row r="615">
      <c r="A615" s="11">
        <v>611</v>
      </c>
      <c r="B615" s="11" t="str">
        <f>MOD($G$6*B614 + $G$7, $G$8)</f>
      </c>
      <c r="C615" s="11" t="str">
        <f>B615/$G$8</f>
      </c>
      <c r="D615" s="11" t="s">
        <v>80</v>
      </c>
    </row>
    <row r="616">
      <c r="A616" s="12">
        <v>612</v>
      </c>
      <c r="B616" s="12" t="str">
        <f>MOD($G$6*B615 + $G$7, $G$8)</f>
      </c>
      <c r="C616" s="12" t="str">
        <f>B616/$G$8</f>
      </c>
      <c r="D616" s="12" t="s">
        <v>80</v>
      </c>
    </row>
    <row r="617">
      <c r="A617" s="11">
        <v>613</v>
      </c>
      <c r="B617" s="11" t="str">
        <f>MOD($G$6*B616 + $G$7, $G$8)</f>
      </c>
      <c r="C617" s="11" t="str">
        <f>B617/$G$8</f>
      </c>
      <c r="D617" s="11" t="s">
        <v>80</v>
      </c>
    </row>
    <row r="618">
      <c r="A618" s="12">
        <v>614</v>
      </c>
      <c r="B618" s="12" t="str">
        <f>MOD($G$6*B617 + $G$7, $G$8)</f>
      </c>
      <c r="C618" s="12" t="str">
        <f>B618/$G$8</f>
      </c>
      <c r="D618" s="12" t="s">
        <v>80</v>
      </c>
    </row>
    <row r="619">
      <c r="A619" s="11">
        <v>615</v>
      </c>
      <c r="B619" s="11" t="str">
        <f>MOD($G$6*B618 + $G$7, $G$8)</f>
      </c>
      <c r="C619" s="11" t="str">
        <f>B619/$G$8</f>
      </c>
      <c r="D619" s="11" t="s">
        <v>80</v>
      </c>
    </row>
    <row r="620">
      <c r="A620" s="12">
        <v>616</v>
      </c>
      <c r="B620" s="12" t="str">
        <f>MOD($G$6*B619 + $G$7, $G$8)</f>
      </c>
      <c r="C620" s="12" t="str">
        <f>B620/$G$8</f>
      </c>
      <c r="D620" s="12" t="s">
        <v>80</v>
      </c>
    </row>
    <row r="621">
      <c r="A621" s="11">
        <v>617</v>
      </c>
      <c r="B621" s="11" t="str">
        <f>MOD($G$6*B620 + $G$7, $G$8)</f>
      </c>
      <c r="C621" s="11" t="str">
        <f>B621/$G$8</f>
      </c>
      <c r="D621" s="11" t="s">
        <v>80</v>
      </c>
    </row>
    <row r="622">
      <c r="A622" s="12">
        <v>618</v>
      </c>
      <c r="B622" s="12" t="str">
        <f>MOD($G$6*B621 + $G$7, $G$8)</f>
      </c>
      <c r="C622" s="12" t="str">
        <f>B622/$G$8</f>
      </c>
      <c r="D622" s="12" t="s">
        <v>80</v>
      </c>
    </row>
    <row r="623">
      <c r="A623" s="11">
        <v>619</v>
      </c>
      <c r="B623" s="11" t="str">
        <f>MOD($G$6*B622 + $G$7, $G$8)</f>
      </c>
      <c r="C623" s="11" t="str">
        <f>B623/$G$8</f>
      </c>
      <c r="D623" s="11" t="s">
        <v>80</v>
      </c>
    </row>
    <row r="624">
      <c r="A624" s="12">
        <v>620</v>
      </c>
      <c r="B624" s="12" t="str">
        <f>MOD($G$6*B623 + $G$7, $G$8)</f>
      </c>
      <c r="C624" s="12" t="str">
        <f>B624/$G$8</f>
      </c>
      <c r="D624" s="12" t="s">
        <v>80</v>
      </c>
    </row>
    <row r="625">
      <c r="A625" s="11">
        <v>621</v>
      </c>
      <c r="B625" s="11" t="str">
        <f>MOD($G$6*B624 + $G$7, $G$8)</f>
      </c>
      <c r="C625" s="11" t="str">
        <f>B625/$G$8</f>
      </c>
      <c r="D625" s="11" t="s">
        <v>80</v>
      </c>
    </row>
    <row r="626">
      <c r="A626" s="12">
        <v>622</v>
      </c>
      <c r="B626" s="12" t="str">
        <f>MOD($G$6*B625 + $G$7, $G$8)</f>
      </c>
      <c r="C626" s="12" t="str">
        <f>B626/$G$8</f>
      </c>
      <c r="D626" s="12" t="s">
        <v>80</v>
      </c>
    </row>
    <row r="627">
      <c r="A627" s="11">
        <v>623</v>
      </c>
      <c r="B627" s="11" t="str">
        <f>MOD($G$6*B626 + $G$7, $G$8)</f>
      </c>
      <c r="C627" s="11" t="str">
        <f>B627/$G$8</f>
      </c>
      <c r="D627" s="11" t="s">
        <v>80</v>
      </c>
    </row>
    <row r="628">
      <c r="A628" s="12">
        <v>624</v>
      </c>
      <c r="B628" s="12" t="str">
        <f>MOD($G$6*B627 + $G$7, $G$8)</f>
      </c>
      <c r="C628" s="12" t="str">
        <f>B628/$G$8</f>
      </c>
      <c r="D628" s="12" t="s">
        <v>80</v>
      </c>
    </row>
    <row r="629">
      <c r="A629" s="11">
        <v>625</v>
      </c>
      <c r="B629" s="11" t="str">
        <f>MOD($G$6*B628 + $G$7, $G$8)</f>
      </c>
      <c r="C629" s="11" t="str">
        <f>B629/$G$8</f>
      </c>
      <c r="D629" s="11" t="s">
        <v>80</v>
      </c>
    </row>
    <row r="630">
      <c r="A630" s="12">
        <v>626</v>
      </c>
      <c r="B630" s="12" t="str">
        <f>MOD($G$6*B629 + $G$7, $G$8)</f>
      </c>
      <c r="C630" s="12" t="str">
        <f>B630/$G$8</f>
      </c>
      <c r="D630" s="12" t="s">
        <v>80</v>
      </c>
    </row>
    <row r="631">
      <c r="A631" s="11">
        <v>627</v>
      </c>
      <c r="B631" s="11" t="str">
        <f>MOD($G$6*B630 + $G$7, $G$8)</f>
      </c>
      <c r="C631" s="11" t="str">
        <f>B631/$G$8</f>
      </c>
      <c r="D631" s="11" t="s">
        <v>80</v>
      </c>
    </row>
    <row r="632">
      <c r="A632" s="12">
        <v>628</v>
      </c>
      <c r="B632" s="12" t="str">
        <f>MOD($G$6*B631 + $G$7, $G$8)</f>
      </c>
      <c r="C632" s="12" t="str">
        <f>B632/$G$8</f>
      </c>
      <c r="D632" s="12" t="s">
        <v>80</v>
      </c>
    </row>
    <row r="633">
      <c r="A633" s="11">
        <v>629</v>
      </c>
      <c r="B633" s="11" t="str">
        <f>MOD($G$6*B632 + $G$7, $G$8)</f>
      </c>
      <c r="C633" s="11" t="str">
        <f>B633/$G$8</f>
      </c>
      <c r="D633" s="11" t="s">
        <v>80</v>
      </c>
    </row>
    <row r="634">
      <c r="A634" s="12">
        <v>630</v>
      </c>
      <c r="B634" s="12" t="str">
        <f>MOD($G$6*B633 + $G$7, $G$8)</f>
      </c>
      <c r="C634" s="12" t="str">
        <f>B634/$G$8</f>
      </c>
      <c r="D634" s="12" t="s">
        <v>80</v>
      </c>
    </row>
    <row r="635">
      <c r="A635" s="11">
        <v>631</v>
      </c>
      <c r="B635" s="11" t="str">
        <f>MOD($G$6*B634 + $G$7, $G$8)</f>
      </c>
      <c r="C635" s="11" t="str">
        <f>B635/$G$8</f>
      </c>
      <c r="D635" s="11" t="s">
        <v>80</v>
      </c>
    </row>
    <row r="636">
      <c r="A636" s="12">
        <v>632</v>
      </c>
      <c r="B636" s="12" t="str">
        <f>MOD($G$6*B635 + $G$7, $G$8)</f>
      </c>
      <c r="C636" s="12" t="str">
        <f>B636/$G$8</f>
      </c>
      <c r="D636" s="12" t="s">
        <v>80</v>
      </c>
    </row>
    <row r="637">
      <c r="A637" s="11">
        <v>633</v>
      </c>
      <c r="B637" s="11" t="str">
        <f>MOD($G$6*B636 + $G$7, $G$8)</f>
      </c>
      <c r="C637" s="11" t="str">
        <f>B637/$G$8</f>
      </c>
      <c r="D637" s="11" t="s">
        <v>80</v>
      </c>
    </row>
    <row r="638">
      <c r="A638" s="12">
        <v>634</v>
      </c>
      <c r="B638" s="12" t="str">
        <f>MOD($G$6*B637 + $G$7, $G$8)</f>
      </c>
      <c r="C638" s="12" t="str">
        <f>B638/$G$8</f>
      </c>
      <c r="D638" s="12" t="s">
        <v>80</v>
      </c>
    </row>
    <row r="639">
      <c r="A639" s="11">
        <v>635</v>
      </c>
      <c r="B639" s="11" t="str">
        <f>MOD($G$6*B638 + $G$7, $G$8)</f>
      </c>
      <c r="C639" s="11" t="str">
        <f>B639/$G$8</f>
      </c>
      <c r="D639" s="11" t="s">
        <v>80</v>
      </c>
    </row>
    <row r="640">
      <c r="A640" s="12">
        <v>636</v>
      </c>
      <c r="B640" s="12" t="str">
        <f>MOD($G$6*B639 + $G$7, $G$8)</f>
      </c>
      <c r="C640" s="12" t="str">
        <f>B640/$G$8</f>
      </c>
      <c r="D640" s="12" t="s">
        <v>80</v>
      </c>
    </row>
    <row r="641">
      <c r="A641" s="11">
        <v>637</v>
      </c>
      <c r="B641" s="11" t="str">
        <f>MOD($G$6*B640 + $G$7, $G$8)</f>
      </c>
      <c r="C641" s="11" t="str">
        <f>B641/$G$8</f>
      </c>
      <c r="D641" s="11" t="s">
        <v>80</v>
      </c>
    </row>
    <row r="642">
      <c r="A642" s="12">
        <v>638</v>
      </c>
      <c r="B642" s="12" t="str">
        <f>MOD($G$6*B641 + $G$7, $G$8)</f>
      </c>
      <c r="C642" s="12" t="str">
        <f>B642/$G$8</f>
      </c>
      <c r="D642" s="12" t="s">
        <v>80</v>
      </c>
    </row>
    <row r="643">
      <c r="A643" s="11">
        <v>639</v>
      </c>
      <c r="B643" s="11" t="str">
        <f>MOD($G$6*B642 + $G$7, $G$8)</f>
      </c>
      <c r="C643" s="11" t="str">
        <f>B643/$G$8</f>
      </c>
      <c r="D643" s="11" t="s">
        <v>80</v>
      </c>
    </row>
    <row r="644">
      <c r="A644" s="12">
        <v>640</v>
      </c>
      <c r="B644" s="12" t="str">
        <f>MOD($G$6*B643 + $G$7, $G$8)</f>
      </c>
      <c r="C644" s="12" t="str">
        <f>B644/$G$8</f>
      </c>
      <c r="D644" s="12" t="s">
        <v>80</v>
      </c>
    </row>
    <row r="645">
      <c r="A645" s="11">
        <v>641</v>
      </c>
      <c r="B645" s="11" t="str">
        <f>MOD($G$6*B644 + $G$7, $G$8)</f>
      </c>
      <c r="C645" s="11" t="str">
        <f>B645/$G$8</f>
      </c>
      <c r="D645" s="11" t="s">
        <v>80</v>
      </c>
    </row>
    <row r="646">
      <c r="A646" s="12">
        <v>642</v>
      </c>
      <c r="B646" s="12" t="str">
        <f>MOD($G$6*B645 + $G$7, $G$8)</f>
      </c>
      <c r="C646" s="12" t="str">
        <f>B646/$G$8</f>
      </c>
      <c r="D646" s="12" t="s">
        <v>80</v>
      </c>
    </row>
    <row r="647">
      <c r="A647" s="11">
        <v>643</v>
      </c>
      <c r="B647" s="11" t="str">
        <f>MOD($G$6*B646 + $G$7, $G$8)</f>
      </c>
      <c r="C647" s="11" t="str">
        <f>B647/$G$8</f>
      </c>
      <c r="D647" s="11" t="s">
        <v>80</v>
      </c>
    </row>
    <row r="648">
      <c r="A648" s="12">
        <v>644</v>
      </c>
      <c r="B648" s="12" t="str">
        <f>MOD($G$6*B647 + $G$7, $G$8)</f>
      </c>
      <c r="C648" s="12" t="str">
        <f>B648/$G$8</f>
      </c>
      <c r="D648" s="12" t="s">
        <v>80</v>
      </c>
    </row>
    <row r="649">
      <c r="A649" s="11">
        <v>645</v>
      </c>
      <c r="B649" s="11" t="str">
        <f>MOD($G$6*B648 + $G$7, $G$8)</f>
      </c>
      <c r="C649" s="11" t="str">
        <f>B649/$G$8</f>
      </c>
      <c r="D649" s="11" t="s">
        <v>80</v>
      </c>
    </row>
    <row r="650">
      <c r="A650" s="12">
        <v>646</v>
      </c>
      <c r="B650" s="12" t="str">
        <f>MOD($G$6*B649 + $G$7, $G$8)</f>
      </c>
      <c r="C650" s="12" t="str">
        <f>B650/$G$8</f>
      </c>
      <c r="D650" s="12" t="s">
        <v>80</v>
      </c>
    </row>
    <row r="651">
      <c r="A651" s="11">
        <v>647</v>
      </c>
      <c r="B651" s="11" t="str">
        <f>MOD($G$6*B650 + $G$7, $G$8)</f>
      </c>
      <c r="C651" s="11" t="str">
        <f>B651/$G$8</f>
      </c>
      <c r="D651" s="11" t="s">
        <v>80</v>
      </c>
    </row>
    <row r="652">
      <c r="A652" s="12">
        <v>648</v>
      </c>
      <c r="B652" s="12" t="str">
        <f>MOD($G$6*B651 + $G$7, $G$8)</f>
      </c>
      <c r="C652" s="12" t="str">
        <f>B652/$G$8</f>
      </c>
      <c r="D652" s="12" t="s">
        <v>80</v>
      </c>
    </row>
    <row r="653">
      <c r="A653" s="11">
        <v>649</v>
      </c>
      <c r="B653" s="11" t="str">
        <f>MOD($G$6*B652 + $G$7, $G$8)</f>
      </c>
      <c r="C653" s="11" t="str">
        <f>B653/$G$8</f>
      </c>
      <c r="D653" s="11" t="s">
        <v>80</v>
      </c>
    </row>
    <row r="654">
      <c r="A654" s="12">
        <v>650</v>
      </c>
      <c r="B654" s="12" t="str">
        <f>MOD($G$6*B653 + $G$7, $G$8)</f>
      </c>
      <c r="C654" s="12" t="str">
        <f>B654/$G$8</f>
      </c>
      <c r="D654" s="12" t="s">
        <v>80</v>
      </c>
    </row>
    <row r="655">
      <c r="A655" s="11">
        <v>651</v>
      </c>
      <c r="B655" s="11" t="str">
        <f>MOD($G$6*B654 + $G$7, $G$8)</f>
      </c>
      <c r="C655" s="11" t="str">
        <f>B655/$G$8</f>
      </c>
      <c r="D655" s="11" t="s">
        <v>80</v>
      </c>
    </row>
    <row r="656">
      <c r="A656" s="12">
        <v>652</v>
      </c>
      <c r="B656" s="12" t="str">
        <f>MOD($G$6*B655 + $G$7, $G$8)</f>
      </c>
      <c r="C656" s="12" t="str">
        <f>B656/$G$8</f>
      </c>
      <c r="D656" s="12" t="s">
        <v>80</v>
      </c>
    </row>
    <row r="657">
      <c r="A657" s="11">
        <v>653</v>
      </c>
      <c r="B657" s="11" t="str">
        <f>MOD($G$6*B656 + $G$7, $G$8)</f>
      </c>
      <c r="C657" s="11" t="str">
        <f>B657/$G$8</f>
      </c>
      <c r="D657" s="11" t="s">
        <v>80</v>
      </c>
    </row>
    <row r="658">
      <c r="A658" s="12">
        <v>654</v>
      </c>
      <c r="B658" s="12" t="str">
        <f>MOD($G$6*B657 + $G$7, $G$8)</f>
      </c>
      <c r="C658" s="12" t="str">
        <f>B658/$G$8</f>
      </c>
      <c r="D658" s="12" t="s">
        <v>80</v>
      </c>
    </row>
    <row r="659">
      <c r="A659" s="11">
        <v>655</v>
      </c>
      <c r="B659" s="11" t="str">
        <f>MOD($G$6*B658 + $G$7, $G$8)</f>
      </c>
      <c r="C659" s="11" t="str">
        <f>B659/$G$8</f>
      </c>
      <c r="D659" s="11" t="s">
        <v>80</v>
      </c>
    </row>
    <row r="660">
      <c r="A660" s="12">
        <v>656</v>
      </c>
      <c r="B660" s="12" t="str">
        <f>MOD($G$6*B659 + $G$7, $G$8)</f>
      </c>
      <c r="C660" s="12" t="str">
        <f>B660/$G$8</f>
      </c>
      <c r="D660" s="12" t="s">
        <v>80</v>
      </c>
    </row>
    <row r="661">
      <c r="A661" s="11">
        <v>657</v>
      </c>
      <c r="B661" s="11" t="str">
        <f>MOD($G$6*B660 + $G$7, $G$8)</f>
      </c>
      <c r="C661" s="11" t="str">
        <f>B661/$G$8</f>
      </c>
      <c r="D661" s="11" t="s">
        <v>80</v>
      </c>
    </row>
    <row r="662">
      <c r="A662" s="12">
        <v>658</v>
      </c>
      <c r="B662" s="12" t="str">
        <f>MOD($G$6*B661 + $G$7, $G$8)</f>
      </c>
      <c r="C662" s="12" t="str">
        <f>B662/$G$8</f>
      </c>
      <c r="D662" s="12" t="s">
        <v>80</v>
      </c>
    </row>
    <row r="663">
      <c r="A663" s="11">
        <v>659</v>
      </c>
      <c r="B663" s="11" t="str">
        <f>MOD($G$6*B662 + $G$7, $G$8)</f>
      </c>
      <c r="C663" s="11" t="str">
        <f>B663/$G$8</f>
      </c>
      <c r="D663" s="11" t="s">
        <v>80</v>
      </c>
    </row>
    <row r="664">
      <c r="A664" s="12">
        <v>660</v>
      </c>
      <c r="B664" s="12" t="str">
        <f>MOD($G$6*B663 + $G$7, $G$8)</f>
      </c>
      <c r="C664" s="12" t="str">
        <f>B664/$G$8</f>
      </c>
      <c r="D664" s="12" t="s">
        <v>80</v>
      </c>
    </row>
    <row r="665">
      <c r="A665" s="11">
        <v>661</v>
      </c>
      <c r="B665" s="11" t="str">
        <f>MOD($G$6*B664 + $G$7, $G$8)</f>
      </c>
      <c r="C665" s="11" t="str">
        <f>B665/$G$8</f>
      </c>
      <c r="D665" s="11" t="s">
        <v>80</v>
      </c>
    </row>
    <row r="666">
      <c r="A666" s="12">
        <v>662</v>
      </c>
      <c r="B666" s="12" t="str">
        <f>MOD($G$6*B665 + $G$7, $G$8)</f>
      </c>
      <c r="C666" s="12" t="str">
        <f>B666/$G$8</f>
      </c>
      <c r="D666" s="12" t="s">
        <v>80</v>
      </c>
    </row>
    <row r="667">
      <c r="A667" s="11">
        <v>663</v>
      </c>
      <c r="B667" s="11" t="str">
        <f>MOD($G$6*B666 + $G$7, $G$8)</f>
      </c>
      <c r="C667" s="11" t="str">
        <f>B667/$G$8</f>
      </c>
      <c r="D667" s="11" t="s">
        <v>80</v>
      </c>
    </row>
    <row r="668">
      <c r="A668" s="12">
        <v>664</v>
      </c>
      <c r="B668" s="12" t="str">
        <f>MOD($G$6*B667 + $G$7, $G$8)</f>
      </c>
      <c r="C668" s="12" t="str">
        <f>B668/$G$8</f>
      </c>
      <c r="D668" s="12" t="s">
        <v>80</v>
      </c>
    </row>
    <row r="669">
      <c r="A669" s="11">
        <v>665</v>
      </c>
      <c r="B669" s="11" t="str">
        <f>MOD($G$6*B668 + $G$7, $G$8)</f>
      </c>
      <c r="C669" s="11" t="str">
        <f>B669/$G$8</f>
      </c>
      <c r="D669" s="11" t="s">
        <v>80</v>
      </c>
    </row>
    <row r="670">
      <c r="A670" s="12">
        <v>666</v>
      </c>
      <c r="B670" s="12" t="str">
        <f>MOD($G$6*B669 + $G$7, $G$8)</f>
      </c>
      <c r="C670" s="12" t="str">
        <f>B670/$G$8</f>
      </c>
      <c r="D670" s="12" t="s">
        <v>80</v>
      </c>
    </row>
    <row r="671">
      <c r="A671" s="11">
        <v>667</v>
      </c>
      <c r="B671" s="11" t="str">
        <f>MOD($G$6*B670 + $G$7, $G$8)</f>
      </c>
      <c r="C671" s="11" t="str">
        <f>B671/$G$8</f>
      </c>
      <c r="D671" s="11" t="s">
        <v>80</v>
      </c>
    </row>
    <row r="672">
      <c r="A672" s="12">
        <v>668</v>
      </c>
      <c r="B672" s="12" t="str">
        <f>MOD($G$6*B671 + $G$7, $G$8)</f>
      </c>
      <c r="C672" s="12" t="str">
        <f>B672/$G$8</f>
      </c>
      <c r="D672" s="12" t="s">
        <v>80</v>
      </c>
    </row>
    <row r="673">
      <c r="A673" s="11">
        <v>669</v>
      </c>
      <c r="B673" s="11" t="str">
        <f>MOD($G$6*B672 + $G$7, $G$8)</f>
      </c>
      <c r="C673" s="11" t="str">
        <f>B673/$G$8</f>
      </c>
      <c r="D673" s="11" t="s">
        <v>80</v>
      </c>
    </row>
    <row r="674">
      <c r="A674" s="12">
        <v>670</v>
      </c>
      <c r="B674" s="12" t="str">
        <f>MOD($G$6*B673 + $G$7, $G$8)</f>
      </c>
      <c r="C674" s="12" t="str">
        <f>B674/$G$8</f>
      </c>
      <c r="D674" s="12" t="s">
        <v>80</v>
      </c>
    </row>
    <row r="675">
      <c r="A675" s="11">
        <v>671</v>
      </c>
      <c r="B675" s="11" t="str">
        <f>MOD($G$6*B674 + $G$7, $G$8)</f>
      </c>
      <c r="C675" s="11" t="str">
        <f>B675/$G$8</f>
      </c>
      <c r="D675" s="11" t="s">
        <v>80</v>
      </c>
    </row>
    <row r="676">
      <c r="A676" s="12">
        <v>672</v>
      </c>
      <c r="B676" s="12" t="str">
        <f>MOD($G$6*B675 + $G$7, $G$8)</f>
      </c>
      <c r="C676" s="12" t="str">
        <f>B676/$G$8</f>
      </c>
      <c r="D676" s="12" t="s">
        <v>80</v>
      </c>
    </row>
    <row r="677">
      <c r="A677" s="11">
        <v>673</v>
      </c>
      <c r="B677" s="11" t="str">
        <f>MOD($G$6*B676 + $G$7, $G$8)</f>
      </c>
      <c r="C677" s="11" t="str">
        <f>B677/$G$8</f>
      </c>
      <c r="D677" s="11" t="s">
        <v>80</v>
      </c>
    </row>
    <row r="678">
      <c r="A678" s="12">
        <v>674</v>
      </c>
      <c r="B678" s="12" t="str">
        <f>MOD($G$6*B677 + $G$7, $G$8)</f>
      </c>
      <c r="C678" s="12" t="str">
        <f>B678/$G$8</f>
      </c>
      <c r="D678" s="12" t="s">
        <v>80</v>
      </c>
    </row>
    <row r="679">
      <c r="A679" s="11">
        <v>675</v>
      </c>
      <c r="B679" s="11" t="str">
        <f>MOD($G$6*B678 + $G$7, $G$8)</f>
      </c>
      <c r="C679" s="11" t="str">
        <f>B679/$G$8</f>
      </c>
      <c r="D679" s="11" t="s">
        <v>80</v>
      </c>
    </row>
    <row r="680">
      <c r="A680" s="12">
        <v>676</v>
      </c>
      <c r="B680" s="12" t="str">
        <f>MOD($G$6*B679 + $G$7, $G$8)</f>
      </c>
      <c r="C680" s="12" t="str">
        <f>B680/$G$8</f>
      </c>
      <c r="D680" s="12" t="s">
        <v>80</v>
      </c>
    </row>
    <row r="681">
      <c r="A681" s="11">
        <v>677</v>
      </c>
      <c r="B681" s="11" t="str">
        <f>MOD($G$6*B680 + $G$7, $G$8)</f>
      </c>
      <c r="C681" s="11" t="str">
        <f>B681/$G$8</f>
      </c>
      <c r="D681" s="11" t="s">
        <v>80</v>
      </c>
    </row>
    <row r="682">
      <c r="A682" s="12">
        <v>678</v>
      </c>
      <c r="B682" s="12" t="str">
        <f>MOD($G$6*B681 + $G$7, $G$8)</f>
      </c>
      <c r="C682" s="12" t="str">
        <f>B682/$G$8</f>
      </c>
      <c r="D682" s="12" t="s">
        <v>80</v>
      </c>
    </row>
    <row r="683">
      <c r="A683" s="11">
        <v>679</v>
      </c>
      <c r="B683" s="11" t="str">
        <f>MOD($G$6*B682 + $G$7, $G$8)</f>
      </c>
      <c r="C683" s="11" t="str">
        <f>B683/$G$8</f>
      </c>
      <c r="D683" s="11" t="s">
        <v>80</v>
      </c>
    </row>
    <row r="684">
      <c r="A684" s="12">
        <v>680</v>
      </c>
      <c r="B684" s="12" t="str">
        <f>MOD($G$6*B683 + $G$7, $G$8)</f>
      </c>
      <c r="C684" s="12" t="str">
        <f>B684/$G$8</f>
      </c>
      <c r="D684" s="12" t="s">
        <v>80</v>
      </c>
    </row>
    <row r="685">
      <c r="A685" s="11">
        <v>681</v>
      </c>
      <c r="B685" s="11" t="str">
        <f>MOD($G$6*B684 + $G$7, $G$8)</f>
      </c>
      <c r="C685" s="11" t="str">
        <f>B685/$G$8</f>
      </c>
      <c r="D685" s="11" t="s">
        <v>80</v>
      </c>
    </row>
    <row r="686">
      <c r="A686" s="12">
        <v>682</v>
      </c>
      <c r="B686" s="12" t="str">
        <f>MOD($G$6*B685 + $G$7, $G$8)</f>
      </c>
      <c r="C686" s="12" t="str">
        <f>B686/$G$8</f>
      </c>
      <c r="D686" s="12" t="s">
        <v>80</v>
      </c>
    </row>
    <row r="687">
      <c r="A687" s="11">
        <v>683</v>
      </c>
      <c r="B687" s="11" t="str">
        <f>MOD($G$6*B686 + $G$7, $G$8)</f>
      </c>
      <c r="C687" s="11" t="str">
        <f>B687/$G$8</f>
      </c>
      <c r="D687" s="11" t="s">
        <v>80</v>
      </c>
    </row>
    <row r="688">
      <c r="A688" s="12">
        <v>684</v>
      </c>
      <c r="B688" s="12" t="str">
        <f>MOD($G$6*B687 + $G$7, $G$8)</f>
      </c>
      <c r="C688" s="12" t="str">
        <f>B688/$G$8</f>
      </c>
      <c r="D688" s="12" t="s">
        <v>80</v>
      </c>
    </row>
    <row r="689">
      <c r="A689" s="11">
        <v>685</v>
      </c>
      <c r="B689" s="11" t="str">
        <f>MOD($G$6*B688 + $G$7, $G$8)</f>
      </c>
      <c r="C689" s="11" t="str">
        <f>B689/$G$8</f>
      </c>
      <c r="D689" s="11" t="s">
        <v>80</v>
      </c>
    </row>
    <row r="690">
      <c r="A690" s="12">
        <v>686</v>
      </c>
      <c r="B690" s="12" t="str">
        <f>MOD($G$6*B689 + $G$7, $G$8)</f>
      </c>
      <c r="C690" s="12" t="str">
        <f>B690/$G$8</f>
      </c>
      <c r="D690" s="12" t="s">
        <v>80</v>
      </c>
    </row>
    <row r="691">
      <c r="A691" s="11">
        <v>687</v>
      </c>
      <c r="B691" s="11" t="str">
        <f>MOD($G$6*B690 + $G$7, $G$8)</f>
      </c>
      <c r="C691" s="11" t="str">
        <f>B691/$G$8</f>
      </c>
      <c r="D691" s="11" t="s">
        <v>80</v>
      </c>
    </row>
    <row r="692">
      <c r="A692" s="12">
        <v>688</v>
      </c>
      <c r="B692" s="12" t="str">
        <f>MOD($G$6*B691 + $G$7, $G$8)</f>
      </c>
      <c r="C692" s="12" t="str">
        <f>B692/$G$8</f>
      </c>
      <c r="D692" s="12" t="s">
        <v>80</v>
      </c>
    </row>
    <row r="693">
      <c r="A693" s="11">
        <v>689</v>
      </c>
      <c r="B693" s="11" t="str">
        <f>MOD($G$6*B692 + $G$7, $G$8)</f>
      </c>
      <c r="C693" s="11" t="str">
        <f>B693/$G$8</f>
      </c>
      <c r="D693" s="11" t="s">
        <v>80</v>
      </c>
    </row>
    <row r="694">
      <c r="A694" s="12">
        <v>690</v>
      </c>
      <c r="B694" s="12" t="str">
        <f>MOD($G$6*B693 + $G$7, $G$8)</f>
      </c>
      <c r="C694" s="12" t="str">
        <f>B694/$G$8</f>
      </c>
      <c r="D694" s="12" t="s">
        <v>80</v>
      </c>
    </row>
    <row r="695">
      <c r="A695" s="11">
        <v>691</v>
      </c>
      <c r="B695" s="11" t="str">
        <f>MOD($G$6*B694 + $G$7, $G$8)</f>
      </c>
      <c r="C695" s="11" t="str">
        <f>B695/$G$8</f>
      </c>
      <c r="D695" s="11" t="s">
        <v>80</v>
      </c>
    </row>
    <row r="696">
      <c r="A696" s="12">
        <v>692</v>
      </c>
      <c r="B696" s="12" t="str">
        <f>MOD($G$6*B695 + $G$7, $G$8)</f>
      </c>
      <c r="C696" s="12" t="str">
        <f>B696/$G$8</f>
      </c>
      <c r="D696" s="12" t="s">
        <v>80</v>
      </c>
    </row>
    <row r="697">
      <c r="A697" s="11">
        <v>693</v>
      </c>
      <c r="B697" s="11" t="str">
        <f>MOD($G$6*B696 + $G$7, $G$8)</f>
      </c>
      <c r="C697" s="11" t="str">
        <f>B697/$G$8</f>
      </c>
      <c r="D697" s="11" t="s">
        <v>80</v>
      </c>
    </row>
    <row r="698">
      <c r="A698" s="12">
        <v>694</v>
      </c>
      <c r="B698" s="12" t="str">
        <f>MOD($G$6*B697 + $G$7, $G$8)</f>
      </c>
      <c r="C698" s="12" t="str">
        <f>B698/$G$8</f>
      </c>
      <c r="D698" s="12" t="s">
        <v>80</v>
      </c>
    </row>
    <row r="699">
      <c r="A699" s="11">
        <v>695</v>
      </c>
      <c r="B699" s="11" t="str">
        <f>MOD($G$6*B698 + $G$7, $G$8)</f>
      </c>
      <c r="C699" s="11" t="str">
        <f>B699/$G$8</f>
      </c>
      <c r="D699" s="11" t="s">
        <v>80</v>
      </c>
    </row>
    <row r="700">
      <c r="A700" s="12">
        <v>696</v>
      </c>
      <c r="B700" s="12" t="str">
        <f>MOD($G$6*B699 + $G$7, $G$8)</f>
      </c>
      <c r="C700" s="12" t="str">
        <f>B700/$G$8</f>
      </c>
      <c r="D700" s="12" t="s">
        <v>80</v>
      </c>
    </row>
    <row r="701">
      <c r="A701" s="11">
        <v>697</v>
      </c>
      <c r="B701" s="11" t="str">
        <f>MOD($G$6*B700 + $G$7, $G$8)</f>
      </c>
      <c r="C701" s="11" t="str">
        <f>B701/$G$8</f>
      </c>
      <c r="D701" s="11" t="s">
        <v>80</v>
      </c>
    </row>
    <row r="702">
      <c r="A702" s="12">
        <v>698</v>
      </c>
      <c r="B702" s="12" t="str">
        <f>MOD($G$6*B701 + $G$7, $G$8)</f>
      </c>
      <c r="C702" s="12" t="str">
        <f>B702/$G$8</f>
      </c>
      <c r="D702" s="12" t="s">
        <v>80</v>
      </c>
    </row>
    <row r="703">
      <c r="A703" s="11">
        <v>699</v>
      </c>
      <c r="B703" s="11" t="str">
        <f>MOD($G$6*B702 + $G$7, $G$8)</f>
      </c>
      <c r="C703" s="11" t="str">
        <f>B703/$G$8</f>
      </c>
      <c r="D703" s="11" t="s">
        <v>80</v>
      </c>
    </row>
    <row r="704">
      <c r="A704" s="12">
        <v>700</v>
      </c>
      <c r="B704" s="12" t="str">
        <f>MOD($G$6*B703 + $G$7, $G$8)</f>
      </c>
      <c r="C704" s="12" t="str">
        <f>B704/$G$8</f>
      </c>
      <c r="D704" s="12" t="s">
        <v>80</v>
      </c>
    </row>
    <row r="705">
      <c r="A705" s="11">
        <v>701</v>
      </c>
      <c r="B705" s="11" t="str">
        <f>MOD($G$6*B704 + $G$7, $G$8)</f>
      </c>
      <c r="C705" s="11" t="str">
        <f>B705/$G$8</f>
      </c>
      <c r="D705" s="11" t="s">
        <v>80</v>
      </c>
    </row>
    <row r="706">
      <c r="A706" s="12">
        <v>702</v>
      </c>
      <c r="B706" s="12" t="str">
        <f>MOD($G$6*B705 + $G$7, $G$8)</f>
      </c>
      <c r="C706" s="12" t="str">
        <f>B706/$G$8</f>
      </c>
      <c r="D706" s="12" t="s">
        <v>80</v>
      </c>
    </row>
    <row r="707">
      <c r="A707" s="11">
        <v>703</v>
      </c>
      <c r="B707" s="11" t="str">
        <f>MOD($G$6*B706 + $G$7, $G$8)</f>
      </c>
      <c r="C707" s="11" t="str">
        <f>B707/$G$8</f>
      </c>
      <c r="D707" s="11" t="s">
        <v>80</v>
      </c>
    </row>
    <row r="708">
      <c r="A708" s="12">
        <v>704</v>
      </c>
      <c r="B708" s="12" t="str">
        <f>MOD($G$6*B707 + $G$7, $G$8)</f>
      </c>
      <c r="C708" s="12" t="str">
        <f>B708/$G$8</f>
      </c>
      <c r="D708" s="12" t="s">
        <v>80</v>
      </c>
    </row>
    <row r="709">
      <c r="A709" s="11">
        <v>705</v>
      </c>
      <c r="B709" s="11" t="str">
        <f>MOD($G$6*B708 + $G$7, $G$8)</f>
      </c>
      <c r="C709" s="11" t="str">
        <f>B709/$G$8</f>
      </c>
      <c r="D709" s="11" t="s">
        <v>80</v>
      </c>
    </row>
    <row r="710">
      <c r="A710" s="12">
        <v>706</v>
      </c>
      <c r="B710" s="12" t="str">
        <f>MOD($G$6*B709 + $G$7, $G$8)</f>
      </c>
      <c r="C710" s="12" t="str">
        <f>B710/$G$8</f>
      </c>
      <c r="D710" s="12" t="s">
        <v>80</v>
      </c>
    </row>
    <row r="711">
      <c r="A711" s="11">
        <v>707</v>
      </c>
      <c r="B711" s="11" t="str">
        <f>MOD($G$6*B710 + $G$7, $G$8)</f>
      </c>
      <c r="C711" s="11" t="str">
        <f>B711/$G$8</f>
      </c>
      <c r="D711" s="11" t="s">
        <v>80</v>
      </c>
    </row>
    <row r="712">
      <c r="A712" s="12">
        <v>708</v>
      </c>
      <c r="B712" s="12" t="str">
        <f>MOD($G$6*B711 + $G$7, $G$8)</f>
      </c>
      <c r="C712" s="12" t="str">
        <f>B712/$G$8</f>
      </c>
      <c r="D712" s="12" t="s">
        <v>80</v>
      </c>
    </row>
    <row r="713">
      <c r="A713" s="11">
        <v>709</v>
      </c>
      <c r="B713" s="11" t="str">
        <f>MOD($G$6*B712 + $G$7, $G$8)</f>
      </c>
      <c r="C713" s="11" t="str">
        <f>B713/$G$8</f>
      </c>
      <c r="D713" s="11" t="s">
        <v>80</v>
      </c>
    </row>
    <row r="714">
      <c r="A714" s="12">
        <v>710</v>
      </c>
      <c r="B714" s="12" t="str">
        <f>MOD($G$6*B713 + $G$7, $G$8)</f>
      </c>
      <c r="C714" s="12" t="str">
        <f>B714/$G$8</f>
      </c>
      <c r="D714" s="12" t="s">
        <v>80</v>
      </c>
    </row>
    <row r="715">
      <c r="A715" s="11">
        <v>711</v>
      </c>
      <c r="B715" s="11" t="str">
        <f>MOD($G$6*B714 + $G$7, $G$8)</f>
      </c>
      <c r="C715" s="11" t="str">
        <f>B715/$G$8</f>
      </c>
      <c r="D715" s="11" t="s">
        <v>80</v>
      </c>
    </row>
    <row r="716">
      <c r="A716" s="12">
        <v>712</v>
      </c>
      <c r="B716" s="12" t="str">
        <f>MOD($G$6*B715 + $G$7, $G$8)</f>
      </c>
      <c r="C716" s="12" t="str">
        <f>B716/$G$8</f>
      </c>
      <c r="D716" s="12" t="s">
        <v>80</v>
      </c>
    </row>
    <row r="717">
      <c r="A717" s="11">
        <v>713</v>
      </c>
      <c r="B717" s="11" t="str">
        <f>MOD($G$6*B716 + $G$7, $G$8)</f>
      </c>
      <c r="C717" s="11" t="str">
        <f>B717/$G$8</f>
      </c>
      <c r="D717" s="11" t="s">
        <v>80</v>
      </c>
    </row>
    <row r="718">
      <c r="A718" s="12">
        <v>714</v>
      </c>
      <c r="B718" s="12" t="str">
        <f>MOD($G$6*B717 + $G$7, $G$8)</f>
      </c>
      <c r="C718" s="12" t="str">
        <f>B718/$G$8</f>
      </c>
      <c r="D718" s="12" t="s">
        <v>80</v>
      </c>
    </row>
    <row r="719">
      <c r="A719" s="11">
        <v>715</v>
      </c>
      <c r="B719" s="11" t="str">
        <f>MOD($G$6*B718 + $G$7, $G$8)</f>
      </c>
      <c r="C719" s="11" t="str">
        <f>B719/$G$8</f>
      </c>
      <c r="D719" s="11" t="s">
        <v>80</v>
      </c>
    </row>
    <row r="720">
      <c r="A720" s="12">
        <v>716</v>
      </c>
      <c r="B720" s="12" t="str">
        <f>MOD($G$6*B719 + $G$7, $G$8)</f>
      </c>
      <c r="C720" s="12" t="str">
        <f>B720/$G$8</f>
      </c>
      <c r="D720" s="12" t="s">
        <v>80</v>
      </c>
    </row>
    <row r="721">
      <c r="A721" s="11">
        <v>717</v>
      </c>
      <c r="B721" s="11" t="str">
        <f>MOD($G$6*B720 + $G$7, $G$8)</f>
      </c>
      <c r="C721" s="11" t="str">
        <f>B721/$G$8</f>
      </c>
      <c r="D721" s="11" t="s">
        <v>80</v>
      </c>
    </row>
    <row r="722">
      <c r="A722" s="12">
        <v>718</v>
      </c>
      <c r="B722" s="12" t="str">
        <f>MOD($G$6*B721 + $G$7, $G$8)</f>
      </c>
      <c r="C722" s="12" t="str">
        <f>B722/$G$8</f>
      </c>
      <c r="D722" s="12" t="s">
        <v>80</v>
      </c>
    </row>
    <row r="723">
      <c r="A723" s="11">
        <v>719</v>
      </c>
      <c r="B723" s="11" t="str">
        <f>MOD($G$6*B722 + $G$7, $G$8)</f>
      </c>
      <c r="C723" s="11" t="str">
        <f>B723/$G$8</f>
      </c>
      <c r="D723" s="11" t="s">
        <v>80</v>
      </c>
    </row>
    <row r="724">
      <c r="A724" s="12">
        <v>720</v>
      </c>
      <c r="B724" s="12" t="str">
        <f>MOD($G$6*B723 + $G$7, $G$8)</f>
      </c>
      <c r="C724" s="12" t="str">
        <f>B724/$G$8</f>
      </c>
      <c r="D724" s="12" t="s">
        <v>80</v>
      </c>
    </row>
    <row r="725">
      <c r="A725" s="11">
        <v>721</v>
      </c>
      <c r="B725" s="11" t="str">
        <f>MOD($G$6*B724 + $G$7, $G$8)</f>
      </c>
      <c r="C725" s="11" t="str">
        <f>B725/$G$8</f>
      </c>
      <c r="D725" s="11" t="s">
        <v>80</v>
      </c>
    </row>
    <row r="726">
      <c r="A726" s="12">
        <v>722</v>
      </c>
      <c r="B726" s="12" t="str">
        <f>MOD($G$6*B725 + $G$7, $G$8)</f>
      </c>
      <c r="C726" s="12" t="str">
        <f>B726/$G$8</f>
      </c>
      <c r="D726" s="12" t="s">
        <v>80</v>
      </c>
    </row>
    <row r="727">
      <c r="A727" s="11">
        <v>723</v>
      </c>
      <c r="B727" s="11" t="str">
        <f>MOD($G$6*B726 + $G$7, $G$8)</f>
      </c>
      <c r="C727" s="11" t="str">
        <f>B727/$G$8</f>
      </c>
      <c r="D727" s="11" t="s">
        <v>80</v>
      </c>
    </row>
    <row r="728">
      <c r="A728" s="12">
        <v>724</v>
      </c>
      <c r="B728" s="12" t="str">
        <f>MOD($G$6*B727 + $G$7, $G$8)</f>
      </c>
      <c r="C728" s="12" t="str">
        <f>B728/$G$8</f>
      </c>
      <c r="D728" s="12" t="s">
        <v>80</v>
      </c>
    </row>
    <row r="729">
      <c r="A729" s="11">
        <v>725</v>
      </c>
      <c r="B729" s="11" t="str">
        <f>MOD($G$6*B728 + $G$7, $G$8)</f>
      </c>
      <c r="C729" s="11" t="str">
        <f>B729/$G$8</f>
      </c>
      <c r="D729" s="11" t="s">
        <v>80</v>
      </c>
    </row>
    <row r="730">
      <c r="A730" s="12">
        <v>726</v>
      </c>
      <c r="B730" s="12" t="str">
        <f>MOD($G$6*B729 + $G$7, $G$8)</f>
      </c>
      <c r="C730" s="12" t="str">
        <f>B730/$G$8</f>
      </c>
      <c r="D730" s="12" t="s">
        <v>80</v>
      </c>
    </row>
    <row r="731">
      <c r="A731" s="11">
        <v>727</v>
      </c>
      <c r="B731" s="11" t="str">
        <f>MOD($G$6*B730 + $G$7, $G$8)</f>
      </c>
      <c r="C731" s="11" t="str">
        <f>B731/$G$8</f>
      </c>
      <c r="D731" s="11" t="s">
        <v>80</v>
      </c>
    </row>
    <row r="732">
      <c r="A732" s="12">
        <v>728</v>
      </c>
      <c r="B732" s="12" t="str">
        <f>MOD($G$6*B731 + $G$7, $G$8)</f>
      </c>
      <c r="C732" s="12" t="str">
        <f>B732/$G$8</f>
      </c>
      <c r="D732" s="12" t="s">
        <v>80</v>
      </c>
    </row>
    <row r="733">
      <c r="A733" s="11">
        <v>729</v>
      </c>
      <c r="B733" s="11" t="str">
        <f>MOD($G$6*B732 + $G$7, $G$8)</f>
      </c>
      <c r="C733" s="11" t="str">
        <f>B733/$G$8</f>
      </c>
      <c r="D733" s="11" t="s">
        <v>80</v>
      </c>
    </row>
    <row r="734">
      <c r="A734" s="12">
        <v>730</v>
      </c>
      <c r="B734" s="12" t="str">
        <f>MOD($G$6*B733 + $G$7, $G$8)</f>
      </c>
      <c r="C734" s="12" t="str">
        <f>B734/$G$8</f>
      </c>
      <c r="D734" s="12" t="s">
        <v>80</v>
      </c>
    </row>
    <row r="735">
      <c r="A735" s="11">
        <v>731</v>
      </c>
      <c r="B735" s="11" t="str">
        <f>MOD($G$6*B734 + $G$7, $G$8)</f>
      </c>
      <c r="C735" s="11" t="str">
        <f>B735/$G$8</f>
      </c>
      <c r="D735" s="11" t="s">
        <v>80</v>
      </c>
    </row>
    <row r="736">
      <c r="A736" s="12">
        <v>732</v>
      </c>
      <c r="B736" s="12" t="str">
        <f>MOD($G$6*B735 + $G$7, $G$8)</f>
      </c>
      <c r="C736" s="12" t="str">
        <f>B736/$G$8</f>
      </c>
      <c r="D736" s="12" t="s">
        <v>80</v>
      </c>
    </row>
    <row r="737">
      <c r="A737" s="11">
        <v>733</v>
      </c>
      <c r="B737" s="11" t="str">
        <f>MOD($G$6*B736 + $G$7, $G$8)</f>
      </c>
      <c r="C737" s="11" t="str">
        <f>B737/$G$8</f>
      </c>
      <c r="D737" s="11" t="s">
        <v>80</v>
      </c>
    </row>
    <row r="738">
      <c r="A738" s="12">
        <v>734</v>
      </c>
      <c r="B738" s="12" t="str">
        <f>MOD($G$6*B737 + $G$7, $G$8)</f>
      </c>
      <c r="C738" s="12" t="str">
        <f>B738/$G$8</f>
      </c>
      <c r="D738" s="12" t="s">
        <v>80</v>
      </c>
    </row>
    <row r="739">
      <c r="A739" s="11">
        <v>735</v>
      </c>
      <c r="B739" s="11" t="str">
        <f>MOD($G$6*B738 + $G$7, $G$8)</f>
      </c>
      <c r="C739" s="11" t="str">
        <f>B739/$G$8</f>
      </c>
      <c r="D739" s="11" t="s">
        <v>80</v>
      </c>
    </row>
    <row r="740">
      <c r="A740" s="12">
        <v>736</v>
      </c>
      <c r="B740" s="12" t="str">
        <f>MOD($G$6*B739 + $G$7, $G$8)</f>
      </c>
      <c r="C740" s="12" t="str">
        <f>B740/$G$8</f>
      </c>
      <c r="D740" s="12" t="s">
        <v>80</v>
      </c>
    </row>
    <row r="741">
      <c r="A741" s="11">
        <v>737</v>
      </c>
      <c r="B741" s="11" t="str">
        <f>MOD($G$6*B740 + $G$7, $G$8)</f>
      </c>
      <c r="C741" s="11" t="str">
        <f>B741/$G$8</f>
      </c>
      <c r="D741" s="11" t="s">
        <v>80</v>
      </c>
    </row>
    <row r="742">
      <c r="A742" s="12">
        <v>738</v>
      </c>
      <c r="B742" s="12" t="str">
        <f>MOD($G$6*B741 + $G$7, $G$8)</f>
      </c>
      <c r="C742" s="12" t="str">
        <f>B742/$G$8</f>
      </c>
      <c r="D742" s="12" t="s">
        <v>80</v>
      </c>
    </row>
    <row r="743">
      <c r="A743" s="11">
        <v>739</v>
      </c>
      <c r="B743" s="11" t="str">
        <f>MOD($G$6*B742 + $G$7, $G$8)</f>
      </c>
      <c r="C743" s="11" t="str">
        <f>B743/$G$8</f>
      </c>
      <c r="D743" s="11" t="s">
        <v>80</v>
      </c>
    </row>
    <row r="744">
      <c r="A744" s="12">
        <v>740</v>
      </c>
      <c r="B744" s="12" t="str">
        <f>MOD($G$6*B743 + $G$7, $G$8)</f>
      </c>
      <c r="C744" s="12" t="str">
        <f>B744/$G$8</f>
      </c>
      <c r="D744" s="12" t="s">
        <v>80</v>
      </c>
    </row>
    <row r="745">
      <c r="A745" s="11">
        <v>741</v>
      </c>
      <c r="B745" s="11" t="str">
        <f>MOD($G$6*B744 + $G$7, $G$8)</f>
      </c>
      <c r="C745" s="11" t="str">
        <f>B745/$G$8</f>
      </c>
      <c r="D745" s="11" t="s">
        <v>80</v>
      </c>
    </row>
    <row r="746">
      <c r="A746" s="12">
        <v>742</v>
      </c>
      <c r="B746" s="12" t="str">
        <f>MOD($G$6*B745 + $G$7, $G$8)</f>
      </c>
      <c r="C746" s="12" t="str">
        <f>B746/$G$8</f>
      </c>
      <c r="D746" s="12" t="s">
        <v>80</v>
      </c>
    </row>
    <row r="747">
      <c r="A747" s="11">
        <v>743</v>
      </c>
      <c r="B747" s="11" t="str">
        <f>MOD($G$6*B746 + $G$7, $G$8)</f>
      </c>
      <c r="C747" s="11" t="str">
        <f>B747/$G$8</f>
      </c>
      <c r="D747" s="11" t="s">
        <v>80</v>
      </c>
    </row>
    <row r="748">
      <c r="A748" s="12">
        <v>744</v>
      </c>
      <c r="B748" s="12" t="str">
        <f>MOD($G$6*B747 + $G$7, $G$8)</f>
      </c>
      <c r="C748" s="12" t="str">
        <f>B748/$G$8</f>
      </c>
      <c r="D748" s="12" t="s">
        <v>80</v>
      </c>
    </row>
    <row r="749">
      <c r="A749" s="11">
        <v>745</v>
      </c>
      <c r="B749" s="11" t="str">
        <f>MOD($G$6*B748 + $G$7, $G$8)</f>
      </c>
      <c r="C749" s="11" t="str">
        <f>B749/$G$8</f>
      </c>
      <c r="D749" s="11" t="s">
        <v>80</v>
      </c>
    </row>
    <row r="750">
      <c r="A750" s="12">
        <v>746</v>
      </c>
      <c r="B750" s="12" t="str">
        <f>MOD($G$6*B749 + $G$7, $G$8)</f>
      </c>
      <c r="C750" s="12" t="str">
        <f>B750/$G$8</f>
      </c>
      <c r="D750" s="12" t="s">
        <v>80</v>
      </c>
    </row>
    <row r="751">
      <c r="A751" s="11">
        <v>747</v>
      </c>
      <c r="B751" s="11" t="str">
        <f>MOD($G$6*B750 + $G$7, $G$8)</f>
      </c>
      <c r="C751" s="11" t="str">
        <f>B751/$G$8</f>
      </c>
      <c r="D751" s="11" t="s">
        <v>80</v>
      </c>
    </row>
    <row r="752">
      <c r="A752" s="12">
        <v>748</v>
      </c>
      <c r="B752" s="12" t="str">
        <f>MOD($G$6*B751 + $G$7, $G$8)</f>
      </c>
      <c r="C752" s="12" t="str">
        <f>B752/$G$8</f>
      </c>
      <c r="D752" s="12" t="s">
        <v>80</v>
      </c>
    </row>
    <row r="753">
      <c r="A753" s="11">
        <v>749</v>
      </c>
      <c r="B753" s="11" t="str">
        <f>MOD($G$6*B752 + $G$7, $G$8)</f>
      </c>
      <c r="C753" s="11" t="str">
        <f>B753/$G$8</f>
      </c>
      <c r="D753" s="11" t="s">
        <v>80</v>
      </c>
    </row>
    <row r="754">
      <c r="A754" s="12">
        <v>750</v>
      </c>
      <c r="B754" s="12" t="str">
        <f>MOD($G$6*B753 + $G$7, $G$8)</f>
      </c>
      <c r="C754" s="12" t="str">
        <f>B754/$G$8</f>
      </c>
      <c r="D754" s="12" t="s">
        <v>80</v>
      </c>
    </row>
    <row r="755">
      <c r="A755" s="11">
        <v>751</v>
      </c>
      <c r="B755" s="11" t="str">
        <f>MOD($G$6*B754 + $G$7, $G$8)</f>
      </c>
      <c r="C755" s="11" t="str">
        <f>B755/$G$8</f>
      </c>
      <c r="D755" s="11" t="s">
        <v>80</v>
      </c>
    </row>
    <row r="756">
      <c r="A756" s="12">
        <v>752</v>
      </c>
      <c r="B756" s="12" t="str">
        <f>MOD($G$6*B755 + $G$7, $G$8)</f>
      </c>
      <c r="C756" s="12" t="str">
        <f>B756/$G$8</f>
      </c>
      <c r="D756" s="12" t="s">
        <v>80</v>
      </c>
    </row>
    <row r="757">
      <c r="A757" s="11">
        <v>753</v>
      </c>
      <c r="B757" s="11" t="str">
        <f>MOD($G$6*B756 + $G$7, $G$8)</f>
      </c>
      <c r="C757" s="11" t="str">
        <f>B757/$G$8</f>
      </c>
      <c r="D757" s="11" t="s">
        <v>80</v>
      </c>
    </row>
    <row r="758">
      <c r="A758" s="12">
        <v>754</v>
      </c>
      <c r="B758" s="12" t="str">
        <f>MOD($G$6*B757 + $G$7, $G$8)</f>
      </c>
      <c r="C758" s="12" t="str">
        <f>B758/$G$8</f>
      </c>
      <c r="D758" s="12" t="s">
        <v>80</v>
      </c>
    </row>
    <row r="759">
      <c r="A759" s="11">
        <v>755</v>
      </c>
      <c r="B759" s="11" t="str">
        <f>MOD($G$6*B758 + $G$7, $G$8)</f>
      </c>
      <c r="C759" s="11" t="str">
        <f>B759/$G$8</f>
      </c>
      <c r="D759" s="11" t="s">
        <v>80</v>
      </c>
    </row>
    <row r="760">
      <c r="A760" s="12">
        <v>756</v>
      </c>
      <c r="B760" s="12" t="str">
        <f>MOD($G$6*B759 + $G$7, $G$8)</f>
      </c>
      <c r="C760" s="12" t="str">
        <f>B760/$G$8</f>
      </c>
      <c r="D760" s="12" t="s">
        <v>80</v>
      </c>
    </row>
    <row r="761">
      <c r="A761" s="11">
        <v>757</v>
      </c>
      <c r="B761" s="11" t="str">
        <f>MOD($G$6*B760 + $G$7, $G$8)</f>
      </c>
      <c r="C761" s="11" t="str">
        <f>B761/$G$8</f>
      </c>
      <c r="D761" s="11" t="s">
        <v>80</v>
      </c>
    </row>
    <row r="762">
      <c r="A762" s="12">
        <v>758</v>
      </c>
      <c r="B762" s="12" t="str">
        <f>MOD($G$6*B761 + $G$7, $G$8)</f>
      </c>
      <c r="C762" s="12" t="str">
        <f>B762/$G$8</f>
      </c>
      <c r="D762" s="12" t="s">
        <v>80</v>
      </c>
    </row>
    <row r="763">
      <c r="A763" s="11">
        <v>759</v>
      </c>
      <c r="B763" s="11" t="str">
        <f>MOD($G$6*B762 + $G$7, $G$8)</f>
      </c>
      <c r="C763" s="11" t="str">
        <f>B763/$G$8</f>
      </c>
      <c r="D763" s="11" t="s">
        <v>80</v>
      </c>
    </row>
    <row r="764">
      <c r="A764" s="12">
        <v>760</v>
      </c>
      <c r="B764" s="12" t="str">
        <f>MOD($G$6*B763 + $G$7, $G$8)</f>
      </c>
      <c r="C764" s="12" t="str">
        <f>B764/$G$8</f>
      </c>
      <c r="D764" s="12" t="s">
        <v>80</v>
      </c>
    </row>
    <row r="765">
      <c r="A765" s="11">
        <v>761</v>
      </c>
      <c r="B765" s="11" t="str">
        <f>MOD($G$6*B764 + $G$7, $G$8)</f>
      </c>
      <c r="C765" s="11" t="str">
        <f>B765/$G$8</f>
      </c>
      <c r="D765" s="11" t="s">
        <v>80</v>
      </c>
    </row>
    <row r="766">
      <c r="A766" s="12">
        <v>762</v>
      </c>
      <c r="B766" s="12" t="str">
        <f>MOD($G$6*B765 + $G$7, $G$8)</f>
      </c>
      <c r="C766" s="12" t="str">
        <f>B766/$G$8</f>
      </c>
      <c r="D766" s="12" t="s">
        <v>80</v>
      </c>
    </row>
    <row r="767">
      <c r="A767" s="11">
        <v>763</v>
      </c>
      <c r="B767" s="11" t="str">
        <f>MOD($G$6*B766 + $G$7, $G$8)</f>
      </c>
      <c r="C767" s="11" t="str">
        <f>B767/$G$8</f>
      </c>
      <c r="D767" s="11" t="s">
        <v>80</v>
      </c>
    </row>
    <row r="768">
      <c r="A768" s="12">
        <v>764</v>
      </c>
      <c r="B768" s="12" t="str">
        <f>MOD($G$6*B767 + $G$7, $G$8)</f>
      </c>
      <c r="C768" s="12" t="str">
        <f>B768/$G$8</f>
      </c>
      <c r="D768" s="12" t="s">
        <v>80</v>
      </c>
    </row>
    <row r="769">
      <c r="A769" s="11">
        <v>765</v>
      </c>
      <c r="B769" s="11" t="str">
        <f>MOD($G$6*B768 + $G$7, $G$8)</f>
      </c>
      <c r="C769" s="11" t="str">
        <f>B769/$G$8</f>
      </c>
      <c r="D769" s="11" t="s">
        <v>80</v>
      </c>
    </row>
    <row r="770">
      <c r="A770" s="12">
        <v>766</v>
      </c>
      <c r="B770" s="12" t="str">
        <f>MOD($G$6*B769 + $G$7, $G$8)</f>
      </c>
      <c r="C770" s="12" t="str">
        <f>B770/$G$8</f>
      </c>
      <c r="D770" s="12" t="s">
        <v>80</v>
      </c>
    </row>
    <row r="771">
      <c r="A771" s="11">
        <v>767</v>
      </c>
      <c r="B771" s="11" t="str">
        <f>MOD($G$6*B770 + $G$7, $G$8)</f>
      </c>
      <c r="C771" s="11" t="str">
        <f>B771/$G$8</f>
      </c>
      <c r="D771" s="11" t="s">
        <v>80</v>
      </c>
    </row>
    <row r="772">
      <c r="A772" s="12">
        <v>768</v>
      </c>
      <c r="B772" s="12" t="str">
        <f>MOD($G$6*B771 + $G$7, $G$8)</f>
      </c>
      <c r="C772" s="12" t="str">
        <f>B772/$G$8</f>
      </c>
      <c r="D772" s="12" t="s">
        <v>80</v>
      </c>
    </row>
    <row r="773">
      <c r="A773" s="11">
        <v>769</v>
      </c>
      <c r="B773" s="11" t="str">
        <f>MOD($G$6*B772 + $G$7, $G$8)</f>
      </c>
      <c r="C773" s="11" t="str">
        <f>B773/$G$8</f>
      </c>
      <c r="D773" s="11" t="s">
        <v>80</v>
      </c>
    </row>
    <row r="774">
      <c r="A774" s="12">
        <v>770</v>
      </c>
      <c r="B774" s="12" t="str">
        <f>MOD($G$6*B773 + $G$7, $G$8)</f>
      </c>
      <c r="C774" s="12" t="str">
        <f>B774/$G$8</f>
      </c>
      <c r="D774" s="12" t="s">
        <v>80</v>
      </c>
    </row>
    <row r="775">
      <c r="A775" s="11">
        <v>771</v>
      </c>
      <c r="B775" s="11" t="str">
        <f>MOD($G$6*B774 + $G$7, $G$8)</f>
      </c>
      <c r="C775" s="11" t="str">
        <f>B775/$G$8</f>
      </c>
      <c r="D775" s="11" t="s">
        <v>80</v>
      </c>
    </row>
    <row r="776">
      <c r="A776" s="12">
        <v>772</v>
      </c>
      <c r="B776" s="12" t="str">
        <f>MOD($G$6*B775 + $G$7, $G$8)</f>
      </c>
      <c r="C776" s="12" t="str">
        <f>B776/$G$8</f>
      </c>
      <c r="D776" s="12" t="s">
        <v>80</v>
      </c>
    </row>
    <row r="777">
      <c r="A777" s="11">
        <v>773</v>
      </c>
      <c r="B777" s="11" t="str">
        <f>MOD($G$6*B776 + $G$7, $G$8)</f>
      </c>
      <c r="C777" s="11" t="str">
        <f>B777/$G$8</f>
      </c>
      <c r="D777" s="11" t="s">
        <v>80</v>
      </c>
    </row>
    <row r="778">
      <c r="A778" s="12">
        <v>774</v>
      </c>
      <c r="B778" s="12" t="str">
        <f>MOD($G$6*B777 + $G$7, $G$8)</f>
      </c>
      <c r="C778" s="12" t="str">
        <f>B778/$G$8</f>
      </c>
      <c r="D778" s="12" t="s">
        <v>80</v>
      </c>
    </row>
    <row r="779">
      <c r="A779" s="11">
        <v>775</v>
      </c>
      <c r="B779" s="11" t="str">
        <f>MOD($G$6*B778 + $G$7, $G$8)</f>
      </c>
      <c r="C779" s="11" t="str">
        <f>B779/$G$8</f>
      </c>
      <c r="D779" s="11" t="s">
        <v>80</v>
      </c>
    </row>
    <row r="780">
      <c r="A780" s="12">
        <v>776</v>
      </c>
      <c r="B780" s="12" t="str">
        <f>MOD($G$6*B779 + $G$7, $G$8)</f>
      </c>
      <c r="C780" s="12" t="str">
        <f>B780/$G$8</f>
      </c>
      <c r="D780" s="12" t="s">
        <v>80</v>
      </c>
    </row>
    <row r="781">
      <c r="A781" s="11">
        <v>777</v>
      </c>
      <c r="B781" s="11" t="str">
        <f>MOD($G$6*B780 + $G$7, $G$8)</f>
      </c>
      <c r="C781" s="11" t="str">
        <f>B781/$G$8</f>
      </c>
      <c r="D781" s="11" t="s">
        <v>80</v>
      </c>
    </row>
    <row r="782">
      <c r="A782" s="12">
        <v>778</v>
      </c>
      <c r="B782" s="12" t="str">
        <f>MOD($G$6*B781 + $G$7, $G$8)</f>
      </c>
      <c r="C782" s="12" t="str">
        <f>B782/$G$8</f>
      </c>
      <c r="D782" s="12" t="s">
        <v>80</v>
      </c>
    </row>
    <row r="783">
      <c r="A783" s="11">
        <v>779</v>
      </c>
      <c r="B783" s="11" t="str">
        <f>MOD($G$6*B782 + $G$7, $G$8)</f>
      </c>
      <c r="C783" s="11" t="str">
        <f>B783/$G$8</f>
      </c>
      <c r="D783" s="11" t="s">
        <v>80</v>
      </c>
    </row>
    <row r="784">
      <c r="A784" s="12">
        <v>780</v>
      </c>
      <c r="B784" s="12" t="str">
        <f>MOD($G$6*B783 + $G$7, $G$8)</f>
      </c>
      <c r="C784" s="12" t="str">
        <f>B784/$G$8</f>
      </c>
      <c r="D784" s="12" t="s">
        <v>80</v>
      </c>
    </row>
    <row r="785">
      <c r="A785" s="11">
        <v>781</v>
      </c>
      <c r="B785" s="11" t="str">
        <f>MOD($G$6*B784 + $G$7, $G$8)</f>
      </c>
      <c r="C785" s="11" t="str">
        <f>B785/$G$8</f>
      </c>
      <c r="D785" s="11" t="s">
        <v>80</v>
      </c>
    </row>
    <row r="786">
      <c r="A786" s="12">
        <v>782</v>
      </c>
      <c r="B786" s="12" t="str">
        <f>MOD($G$6*B785 + $G$7, $G$8)</f>
      </c>
      <c r="C786" s="12" t="str">
        <f>B786/$G$8</f>
      </c>
      <c r="D786" s="12" t="s">
        <v>80</v>
      </c>
    </row>
    <row r="787">
      <c r="A787" s="11">
        <v>783</v>
      </c>
      <c r="B787" s="11" t="str">
        <f>MOD($G$6*B786 + $G$7, $G$8)</f>
      </c>
      <c r="C787" s="11" t="str">
        <f>B787/$G$8</f>
      </c>
      <c r="D787" s="11" t="s">
        <v>80</v>
      </c>
    </row>
    <row r="788">
      <c r="A788" s="12">
        <v>784</v>
      </c>
      <c r="B788" s="12" t="str">
        <f>MOD($G$6*B787 + $G$7, $G$8)</f>
      </c>
      <c r="C788" s="12" t="str">
        <f>B788/$G$8</f>
      </c>
      <c r="D788" s="12" t="s">
        <v>80</v>
      </c>
    </row>
    <row r="789">
      <c r="A789" s="11">
        <v>785</v>
      </c>
      <c r="B789" s="11" t="str">
        <f>MOD($G$6*B788 + $G$7, $G$8)</f>
      </c>
      <c r="C789" s="11" t="str">
        <f>B789/$G$8</f>
      </c>
      <c r="D789" s="11" t="s">
        <v>80</v>
      </c>
    </row>
    <row r="790">
      <c r="A790" s="12">
        <v>786</v>
      </c>
      <c r="B790" s="12" t="str">
        <f>MOD($G$6*B789 + $G$7, $G$8)</f>
      </c>
      <c r="C790" s="12" t="str">
        <f>B790/$G$8</f>
      </c>
      <c r="D790" s="12" t="s">
        <v>80</v>
      </c>
    </row>
    <row r="791">
      <c r="A791" s="11">
        <v>787</v>
      </c>
      <c r="B791" s="11" t="str">
        <f>MOD($G$6*B790 + $G$7, $G$8)</f>
      </c>
      <c r="C791" s="11" t="str">
        <f>B791/$G$8</f>
      </c>
      <c r="D791" s="11" t="s">
        <v>80</v>
      </c>
    </row>
    <row r="792">
      <c r="A792" s="12">
        <v>788</v>
      </c>
      <c r="B792" s="12" t="str">
        <f>MOD($G$6*B791 + $G$7, $G$8)</f>
      </c>
      <c r="C792" s="12" t="str">
        <f>B792/$G$8</f>
      </c>
      <c r="D792" s="12" t="s">
        <v>80</v>
      </c>
    </row>
    <row r="793">
      <c r="A793" s="11">
        <v>789</v>
      </c>
      <c r="B793" s="11" t="str">
        <f>MOD($G$6*B792 + $G$7, $G$8)</f>
      </c>
      <c r="C793" s="11" t="str">
        <f>B793/$G$8</f>
      </c>
      <c r="D793" s="11" t="s">
        <v>80</v>
      </c>
    </row>
    <row r="794">
      <c r="A794" s="12">
        <v>790</v>
      </c>
      <c r="B794" s="12" t="str">
        <f>MOD($G$6*B793 + $G$7, $G$8)</f>
      </c>
      <c r="C794" s="12" t="str">
        <f>B794/$G$8</f>
      </c>
      <c r="D794" s="12" t="s">
        <v>80</v>
      </c>
    </row>
    <row r="795">
      <c r="A795" s="11">
        <v>791</v>
      </c>
      <c r="B795" s="11" t="str">
        <f>MOD($G$6*B794 + $G$7, $G$8)</f>
      </c>
      <c r="C795" s="11" t="str">
        <f>B795/$G$8</f>
      </c>
      <c r="D795" s="11" t="s">
        <v>80</v>
      </c>
    </row>
    <row r="796">
      <c r="A796" s="12">
        <v>792</v>
      </c>
      <c r="B796" s="12" t="str">
        <f>MOD($G$6*B795 + $G$7, $G$8)</f>
      </c>
      <c r="C796" s="12" t="str">
        <f>B796/$G$8</f>
      </c>
      <c r="D796" s="12" t="s">
        <v>80</v>
      </c>
    </row>
    <row r="797">
      <c r="A797" s="11">
        <v>793</v>
      </c>
      <c r="B797" s="11" t="str">
        <f>MOD($G$6*B796 + $G$7, $G$8)</f>
      </c>
      <c r="C797" s="11" t="str">
        <f>B797/$G$8</f>
      </c>
      <c r="D797" s="11" t="s">
        <v>80</v>
      </c>
    </row>
    <row r="798">
      <c r="A798" s="12">
        <v>794</v>
      </c>
      <c r="B798" s="12" t="str">
        <f>MOD($G$6*B797 + $G$7, $G$8)</f>
      </c>
      <c r="C798" s="12" t="str">
        <f>B798/$G$8</f>
      </c>
      <c r="D798" s="12" t="s">
        <v>80</v>
      </c>
    </row>
    <row r="799">
      <c r="A799" s="11">
        <v>795</v>
      </c>
      <c r="B799" s="11" t="str">
        <f>MOD($G$6*B798 + $G$7, $G$8)</f>
      </c>
      <c r="C799" s="11" t="str">
        <f>B799/$G$8</f>
      </c>
      <c r="D799" s="11" t="s">
        <v>80</v>
      </c>
    </row>
    <row r="800">
      <c r="A800" s="12">
        <v>796</v>
      </c>
      <c r="B800" s="12" t="str">
        <f>MOD($G$6*B799 + $G$7, $G$8)</f>
      </c>
      <c r="C800" s="12" t="str">
        <f>B800/$G$8</f>
      </c>
      <c r="D800" s="12" t="s">
        <v>80</v>
      </c>
    </row>
    <row r="801">
      <c r="A801" s="11">
        <v>797</v>
      </c>
      <c r="B801" s="11" t="str">
        <f>MOD($G$6*B800 + $G$7, $G$8)</f>
      </c>
      <c r="C801" s="11" t="str">
        <f>B801/$G$8</f>
      </c>
      <c r="D801" s="11" t="s">
        <v>80</v>
      </c>
    </row>
    <row r="802">
      <c r="A802" s="12">
        <v>798</v>
      </c>
      <c r="B802" s="12" t="str">
        <f>MOD($G$6*B801 + $G$7, $G$8)</f>
      </c>
      <c r="C802" s="12" t="str">
        <f>B802/$G$8</f>
      </c>
      <c r="D802" s="12" t="s">
        <v>80</v>
      </c>
    </row>
    <row r="803">
      <c r="A803" s="11">
        <v>799</v>
      </c>
      <c r="B803" s="11" t="str">
        <f>MOD($G$6*B802 + $G$7, $G$8)</f>
      </c>
      <c r="C803" s="11" t="str">
        <f>B803/$G$8</f>
      </c>
      <c r="D803" s="11" t="s">
        <v>80</v>
      </c>
    </row>
    <row r="804">
      <c r="A804" s="12">
        <v>800</v>
      </c>
      <c r="B804" s="12" t="str">
        <f>MOD($G$6*B803 + $G$7, $G$8)</f>
      </c>
      <c r="C804" s="12" t="str">
        <f>B804/$G$8</f>
      </c>
      <c r="D804" s="12" t="s">
        <v>80</v>
      </c>
    </row>
    <row r="805">
      <c r="A805" s="11">
        <v>801</v>
      </c>
      <c r="B805" s="11" t="str">
        <f>MOD($G$6*B804 + $G$7, $G$8)</f>
      </c>
      <c r="C805" s="11" t="str">
        <f>B805/$G$8</f>
      </c>
      <c r="D805" s="11" t="s">
        <v>80</v>
      </c>
    </row>
    <row r="806">
      <c r="A806" s="12">
        <v>802</v>
      </c>
      <c r="B806" s="12" t="str">
        <f>MOD($G$6*B805 + $G$7, $G$8)</f>
      </c>
      <c r="C806" s="12" t="str">
        <f>B806/$G$8</f>
      </c>
      <c r="D806" s="12" t="s">
        <v>80</v>
      </c>
    </row>
    <row r="807">
      <c r="A807" s="11">
        <v>803</v>
      </c>
      <c r="B807" s="11" t="str">
        <f>MOD($G$6*B806 + $G$7, $G$8)</f>
      </c>
      <c r="C807" s="11" t="str">
        <f>B807/$G$8</f>
      </c>
      <c r="D807" s="11" t="s">
        <v>80</v>
      </c>
    </row>
    <row r="808">
      <c r="A808" s="12">
        <v>804</v>
      </c>
      <c r="B808" s="12" t="str">
        <f>MOD($G$6*B807 + $G$7, $G$8)</f>
      </c>
      <c r="C808" s="12" t="str">
        <f>B808/$G$8</f>
      </c>
      <c r="D808" s="12" t="s">
        <v>80</v>
      </c>
    </row>
    <row r="809">
      <c r="A809" s="11">
        <v>805</v>
      </c>
      <c r="B809" s="11" t="str">
        <f>MOD($G$6*B808 + $G$7, $G$8)</f>
      </c>
      <c r="C809" s="11" t="str">
        <f>B809/$G$8</f>
      </c>
      <c r="D809" s="11" t="s">
        <v>80</v>
      </c>
    </row>
    <row r="810">
      <c r="A810" s="12">
        <v>806</v>
      </c>
      <c r="B810" s="12" t="str">
        <f>MOD($G$6*B809 + $G$7, $G$8)</f>
      </c>
      <c r="C810" s="12" t="str">
        <f>B810/$G$8</f>
      </c>
      <c r="D810" s="12" t="s">
        <v>80</v>
      </c>
    </row>
    <row r="811">
      <c r="A811" s="11">
        <v>807</v>
      </c>
      <c r="B811" s="11" t="str">
        <f>MOD($G$6*B810 + $G$7, $G$8)</f>
      </c>
      <c r="C811" s="11" t="str">
        <f>B811/$G$8</f>
      </c>
      <c r="D811" s="11" t="s">
        <v>80</v>
      </c>
    </row>
    <row r="812">
      <c r="A812" s="12">
        <v>808</v>
      </c>
      <c r="B812" s="12" t="str">
        <f>MOD($G$6*B811 + $G$7, $G$8)</f>
      </c>
      <c r="C812" s="12" t="str">
        <f>B812/$G$8</f>
      </c>
      <c r="D812" s="12" t="s">
        <v>80</v>
      </c>
    </row>
    <row r="813">
      <c r="A813" s="11">
        <v>809</v>
      </c>
      <c r="B813" s="11" t="str">
        <f>MOD($G$6*B812 + $G$7, $G$8)</f>
      </c>
      <c r="C813" s="11" t="str">
        <f>B813/$G$8</f>
      </c>
      <c r="D813" s="11" t="s">
        <v>80</v>
      </c>
    </row>
    <row r="814">
      <c r="A814" s="12">
        <v>810</v>
      </c>
      <c r="B814" s="12" t="str">
        <f>MOD($G$6*B813 + $G$7, $G$8)</f>
      </c>
      <c r="C814" s="12" t="str">
        <f>B814/$G$8</f>
      </c>
      <c r="D814" s="12" t="s">
        <v>80</v>
      </c>
    </row>
    <row r="815">
      <c r="A815" s="11">
        <v>811</v>
      </c>
      <c r="B815" s="11" t="str">
        <f>MOD($G$6*B814 + $G$7, $G$8)</f>
      </c>
      <c r="C815" s="11" t="str">
        <f>B815/$G$8</f>
      </c>
      <c r="D815" s="11" t="s">
        <v>80</v>
      </c>
    </row>
    <row r="816">
      <c r="A816" s="12">
        <v>812</v>
      </c>
      <c r="B816" s="12" t="str">
        <f>MOD($G$6*B815 + $G$7, $G$8)</f>
      </c>
      <c r="C816" s="12" t="str">
        <f>B816/$G$8</f>
      </c>
      <c r="D816" s="12" t="s">
        <v>80</v>
      </c>
    </row>
    <row r="817">
      <c r="A817" s="11">
        <v>813</v>
      </c>
      <c r="B817" s="11" t="str">
        <f>MOD($G$6*B816 + $G$7, $G$8)</f>
      </c>
      <c r="C817" s="11" t="str">
        <f>B817/$G$8</f>
      </c>
      <c r="D817" s="11" t="s">
        <v>80</v>
      </c>
    </row>
    <row r="818">
      <c r="A818" s="12">
        <v>814</v>
      </c>
      <c r="B818" s="12" t="str">
        <f>MOD($G$6*B817 + $G$7, $G$8)</f>
      </c>
      <c r="C818" s="12" t="str">
        <f>B818/$G$8</f>
      </c>
      <c r="D818" s="12" t="s">
        <v>80</v>
      </c>
    </row>
    <row r="819">
      <c r="A819" s="11">
        <v>815</v>
      </c>
      <c r="B819" s="11" t="str">
        <f>MOD($G$6*B818 + $G$7, $G$8)</f>
      </c>
      <c r="C819" s="11" t="str">
        <f>B819/$G$8</f>
      </c>
      <c r="D819" s="11" t="s">
        <v>80</v>
      </c>
    </row>
    <row r="820">
      <c r="A820" s="12">
        <v>816</v>
      </c>
      <c r="B820" s="12" t="str">
        <f>MOD($G$6*B819 + $G$7, $G$8)</f>
      </c>
      <c r="C820" s="12" t="str">
        <f>B820/$G$8</f>
      </c>
      <c r="D820" s="12" t="s">
        <v>80</v>
      </c>
    </row>
    <row r="821">
      <c r="A821" s="11">
        <v>817</v>
      </c>
      <c r="B821" s="11" t="str">
        <f>MOD($G$6*B820 + $G$7, $G$8)</f>
      </c>
      <c r="C821" s="11" t="str">
        <f>B821/$G$8</f>
      </c>
      <c r="D821" s="11" t="s">
        <v>80</v>
      </c>
    </row>
    <row r="822">
      <c r="A822" s="12">
        <v>818</v>
      </c>
      <c r="B822" s="12" t="str">
        <f>MOD($G$6*B821 + $G$7, $G$8)</f>
      </c>
      <c r="C822" s="12" t="str">
        <f>B822/$G$8</f>
      </c>
      <c r="D822" s="12" t="s">
        <v>80</v>
      </c>
    </row>
    <row r="823">
      <c r="A823" s="11">
        <v>819</v>
      </c>
      <c r="B823" s="11" t="str">
        <f>MOD($G$6*B822 + $G$7, $G$8)</f>
      </c>
      <c r="C823" s="11" t="str">
        <f>B823/$G$8</f>
      </c>
      <c r="D823" s="11" t="s">
        <v>80</v>
      </c>
    </row>
    <row r="824">
      <c r="A824" s="12">
        <v>820</v>
      </c>
      <c r="B824" s="12" t="str">
        <f>MOD($G$6*B823 + $G$7, $G$8)</f>
      </c>
      <c r="C824" s="12" t="str">
        <f>B824/$G$8</f>
      </c>
      <c r="D824" s="12" t="s">
        <v>80</v>
      </c>
    </row>
    <row r="825">
      <c r="A825" s="11">
        <v>821</v>
      </c>
      <c r="B825" s="11" t="str">
        <f>MOD($G$6*B824 + $G$7, $G$8)</f>
      </c>
      <c r="C825" s="11" t="str">
        <f>B825/$G$8</f>
      </c>
      <c r="D825" s="11" t="s">
        <v>80</v>
      </c>
    </row>
    <row r="826">
      <c r="A826" s="12">
        <v>822</v>
      </c>
      <c r="B826" s="12" t="str">
        <f>MOD($G$6*B825 + $G$7, $G$8)</f>
      </c>
      <c r="C826" s="12" t="str">
        <f>B826/$G$8</f>
      </c>
      <c r="D826" s="12" t="s">
        <v>80</v>
      </c>
    </row>
    <row r="827">
      <c r="A827" s="11">
        <v>823</v>
      </c>
      <c r="B827" s="11" t="str">
        <f>MOD($G$6*B826 + $G$7, $G$8)</f>
      </c>
      <c r="C827" s="11" t="str">
        <f>B827/$G$8</f>
      </c>
      <c r="D827" s="11" t="s">
        <v>80</v>
      </c>
    </row>
    <row r="828">
      <c r="A828" s="12">
        <v>824</v>
      </c>
      <c r="B828" s="12" t="str">
        <f>MOD($G$6*B827 + $G$7, $G$8)</f>
      </c>
      <c r="C828" s="12" t="str">
        <f>B828/$G$8</f>
      </c>
      <c r="D828" s="12" t="s">
        <v>80</v>
      </c>
    </row>
    <row r="829">
      <c r="A829" s="11">
        <v>825</v>
      </c>
      <c r="B829" s="11" t="str">
        <f>MOD($G$6*B828 + $G$7, $G$8)</f>
      </c>
      <c r="C829" s="11" t="str">
        <f>B829/$G$8</f>
      </c>
      <c r="D829" s="11" t="s">
        <v>80</v>
      </c>
    </row>
    <row r="830">
      <c r="A830" s="12">
        <v>826</v>
      </c>
      <c r="B830" s="12" t="str">
        <f>MOD($G$6*B829 + $G$7, $G$8)</f>
      </c>
      <c r="C830" s="12" t="str">
        <f>B830/$G$8</f>
      </c>
      <c r="D830" s="12" t="s">
        <v>80</v>
      </c>
    </row>
    <row r="831">
      <c r="A831" s="11">
        <v>827</v>
      </c>
      <c r="B831" s="11" t="str">
        <f>MOD($G$6*B830 + $G$7, $G$8)</f>
      </c>
      <c r="C831" s="11" t="str">
        <f>B831/$G$8</f>
      </c>
      <c r="D831" s="11" t="s">
        <v>80</v>
      </c>
    </row>
    <row r="832">
      <c r="A832" s="12">
        <v>828</v>
      </c>
      <c r="B832" s="12" t="str">
        <f>MOD($G$6*B831 + $G$7, $G$8)</f>
      </c>
      <c r="C832" s="12" t="str">
        <f>B832/$G$8</f>
      </c>
      <c r="D832" s="12" t="s">
        <v>80</v>
      </c>
    </row>
    <row r="833">
      <c r="A833" s="11">
        <v>829</v>
      </c>
      <c r="B833" s="11" t="str">
        <f>MOD($G$6*B832 + $G$7, $G$8)</f>
      </c>
      <c r="C833" s="11" t="str">
        <f>B833/$G$8</f>
      </c>
      <c r="D833" s="11" t="s">
        <v>80</v>
      </c>
    </row>
    <row r="834">
      <c r="A834" s="12">
        <v>830</v>
      </c>
      <c r="B834" s="12" t="str">
        <f>MOD($G$6*B833 + $G$7, $G$8)</f>
      </c>
      <c r="C834" s="12" t="str">
        <f>B834/$G$8</f>
      </c>
      <c r="D834" s="12" t="s">
        <v>80</v>
      </c>
    </row>
    <row r="835">
      <c r="A835" s="11">
        <v>831</v>
      </c>
      <c r="B835" s="11" t="str">
        <f>MOD($G$6*B834 + $G$7, $G$8)</f>
      </c>
      <c r="C835" s="11" t="str">
        <f>B835/$G$8</f>
      </c>
      <c r="D835" s="11" t="s">
        <v>80</v>
      </c>
    </row>
    <row r="836">
      <c r="A836" s="12">
        <v>832</v>
      </c>
      <c r="B836" s="12" t="str">
        <f>MOD($G$6*B835 + $G$7, $G$8)</f>
      </c>
      <c r="C836" s="12" t="str">
        <f>B836/$G$8</f>
      </c>
      <c r="D836" s="12" t="s">
        <v>80</v>
      </c>
    </row>
    <row r="837">
      <c r="A837" s="11">
        <v>833</v>
      </c>
      <c r="B837" s="11" t="str">
        <f>MOD($G$6*B836 + $G$7, $G$8)</f>
      </c>
      <c r="C837" s="11" t="str">
        <f>B837/$G$8</f>
      </c>
      <c r="D837" s="11" t="s">
        <v>80</v>
      </c>
    </row>
    <row r="838">
      <c r="A838" s="12">
        <v>834</v>
      </c>
      <c r="B838" s="12" t="str">
        <f>MOD($G$6*B837 + $G$7, $G$8)</f>
      </c>
      <c r="C838" s="12" t="str">
        <f>B838/$G$8</f>
      </c>
      <c r="D838" s="12" t="s">
        <v>80</v>
      </c>
    </row>
    <row r="839">
      <c r="A839" s="11">
        <v>835</v>
      </c>
      <c r="B839" s="11" t="str">
        <f>MOD($G$6*B838 + $G$7, $G$8)</f>
      </c>
      <c r="C839" s="11" t="str">
        <f>B839/$G$8</f>
      </c>
      <c r="D839" s="11" t="s">
        <v>80</v>
      </c>
    </row>
    <row r="840">
      <c r="A840" s="12">
        <v>836</v>
      </c>
      <c r="B840" s="12" t="str">
        <f>MOD($G$6*B839 + $G$7, $G$8)</f>
      </c>
      <c r="C840" s="12" t="str">
        <f>B840/$G$8</f>
      </c>
      <c r="D840" s="12" t="s">
        <v>80</v>
      </c>
    </row>
    <row r="841">
      <c r="A841" s="11">
        <v>837</v>
      </c>
      <c r="B841" s="11" t="str">
        <f>MOD($G$6*B840 + $G$7, $G$8)</f>
      </c>
      <c r="C841" s="11" t="str">
        <f>B841/$G$8</f>
      </c>
      <c r="D841" s="11" t="s">
        <v>80</v>
      </c>
    </row>
    <row r="842">
      <c r="A842" s="12">
        <v>838</v>
      </c>
      <c r="B842" s="12" t="str">
        <f>MOD($G$6*B841 + $G$7, $G$8)</f>
      </c>
      <c r="C842" s="12" t="str">
        <f>B842/$G$8</f>
      </c>
      <c r="D842" s="12" t="s">
        <v>80</v>
      </c>
    </row>
    <row r="843">
      <c r="A843" s="11">
        <v>839</v>
      </c>
      <c r="B843" s="11" t="str">
        <f>MOD($G$6*B842 + $G$7, $G$8)</f>
      </c>
      <c r="C843" s="11" t="str">
        <f>B843/$G$8</f>
      </c>
      <c r="D843" s="11" t="s">
        <v>80</v>
      </c>
    </row>
    <row r="844">
      <c r="A844" s="12">
        <v>840</v>
      </c>
      <c r="B844" s="12" t="str">
        <f>MOD($G$6*B843 + $G$7, $G$8)</f>
      </c>
      <c r="C844" s="12" t="str">
        <f>B844/$G$8</f>
      </c>
      <c r="D844" s="12" t="s">
        <v>80</v>
      </c>
    </row>
    <row r="845">
      <c r="A845" s="11">
        <v>841</v>
      </c>
      <c r="B845" s="11" t="str">
        <f>MOD($G$6*B844 + $G$7, $G$8)</f>
      </c>
      <c r="C845" s="11" t="str">
        <f>B845/$G$8</f>
      </c>
      <c r="D845" s="11" t="s">
        <v>80</v>
      </c>
    </row>
    <row r="846">
      <c r="A846" s="12">
        <v>842</v>
      </c>
      <c r="B846" s="12" t="str">
        <f>MOD($G$6*B845 + $G$7, $G$8)</f>
      </c>
      <c r="C846" s="12" t="str">
        <f>B846/$G$8</f>
      </c>
      <c r="D846" s="12" t="s">
        <v>80</v>
      </c>
    </row>
    <row r="847">
      <c r="A847" s="11">
        <v>843</v>
      </c>
      <c r="B847" s="11" t="str">
        <f>MOD($G$6*B846 + $G$7, $G$8)</f>
      </c>
      <c r="C847" s="11" t="str">
        <f>B847/$G$8</f>
      </c>
      <c r="D847" s="11" t="s">
        <v>80</v>
      </c>
    </row>
    <row r="848">
      <c r="A848" s="12">
        <v>844</v>
      </c>
      <c r="B848" s="12" t="str">
        <f>MOD($G$6*B847 + $G$7, $G$8)</f>
      </c>
      <c r="C848" s="12" t="str">
        <f>B848/$G$8</f>
      </c>
      <c r="D848" s="12" t="s">
        <v>80</v>
      </c>
    </row>
    <row r="849">
      <c r="A849" s="11">
        <v>845</v>
      </c>
      <c r="B849" s="11" t="str">
        <f>MOD($G$6*B848 + $G$7, $G$8)</f>
      </c>
      <c r="C849" s="11" t="str">
        <f>B849/$G$8</f>
      </c>
      <c r="D849" s="11" t="s">
        <v>80</v>
      </c>
    </row>
    <row r="850">
      <c r="A850" s="12">
        <v>846</v>
      </c>
      <c r="B850" s="12" t="str">
        <f>MOD($G$6*B849 + $G$7, $G$8)</f>
      </c>
      <c r="C850" s="12" t="str">
        <f>B850/$G$8</f>
      </c>
      <c r="D850" s="12" t="s">
        <v>80</v>
      </c>
    </row>
    <row r="851">
      <c r="A851" s="11">
        <v>847</v>
      </c>
      <c r="B851" s="11" t="str">
        <f>MOD($G$6*B850 + $G$7, $G$8)</f>
      </c>
      <c r="C851" s="11" t="str">
        <f>B851/$G$8</f>
      </c>
      <c r="D851" s="11" t="s">
        <v>80</v>
      </c>
    </row>
    <row r="852">
      <c r="A852" s="12">
        <v>848</v>
      </c>
      <c r="B852" s="12" t="str">
        <f>MOD($G$6*B851 + $G$7, $G$8)</f>
      </c>
      <c r="C852" s="12" t="str">
        <f>B852/$G$8</f>
      </c>
      <c r="D852" s="12" t="s">
        <v>80</v>
      </c>
    </row>
    <row r="853">
      <c r="A853" s="11">
        <v>849</v>
      </c>
      <c r="B853" s="11" t="str">
        <f>MOD($G$6*B852 + $G$7, $G$8)</f>
      </c>
      <c r="C853" s="11" t="str">
        <f>B853/$G$8</f>
      </c>
      <c r="D853" s="11" t="s">
        <v>80</v>
      </c>
    </row>
    <row r="854">
      <c r="A854" s="12">
        <v>850</v>
      </c>
      <c r="B854" s="12" t="str">
        <f>MOD($G$6*B853 + $G$7, $G$8)</f>
      </c>
      <c r="C854" s="12" t="str">
        <f>B854/$G$8</f>
      </c>
      <c r="D854" s="12" t="s">
        <v>80</v>
      </c>
    </row>
    <row r="855">
      <c r="A855" s="11">
        <v>851</v>
      </c>
      <c r="B855" s="11" t="str">
        <f>MOD($G$6*B854 + $G$7, $G$8)</f>
      </c>
      <c r="C855" s="11" t="str">
        <f>B855/$G$8</f>
      </c>
      <c r="D855" s="11" t="s">
        <v>80</v>
      </c>
    </row>
    <row r="856">
      <c r="A856" s="12">
        <v>852</v>
      </c>
      <c r="B856" s="12" t="str">
        <f>MOD($G$6*B855 + $G$7, $G$8)</f>
      </c>
      <c r="C856" s="12" t="str">
        <f>B856/$G$8</f>
      </c>
      <c r="D856" s="12" t="s">
        <v>80</v>
      </c>
    </row>
    <row r="857">
      <c r="A857" s="11">
        <v>853</v>
      </c>
      <c r="B857" s="11" t="str">
        <f>MOD($G$6*B856 + $G$7, $G$8)</f>
      </c>
      <c r="C857" s="11" t="str">
        <f>B857/$G$8</f>
      </c>
      <c r="D857" s="11" t="s">
        <v>80</v>
      </c>
    </row>
    <row r="858">
      <c r="A858" s="12">
        <v>854</v>
      </c>
      <c r="B858" s="12" t="str">
        <f>MOD($G$6*B857 + $G$7, $G$8)</f>
      </c>
      <c r="C858" s="12" t="str">
        <f>B858/$G$8</f>
      </c>
      <c r="D858" s="12" t="s">
        <v>80</v>
      </c>
    </row>
    <row r="859">
      <c r="A859" s="11">
        <v>855</v>
      </c>
      <c r="B859" s="11" t="str">
        <f>MOD($G$6*B858 + $G$7, $G$8)</f>
      </c>
      <c r="C859" s="11" t="str">
        <f>B859/$G$8</f>
      </c>
      <c r="D859" s="11" t="s">
        <v>80</v>
      </c>
    </row>
    <row r="860">
      <c r="A860" s="12">
        <v>856</v>
      </c>
      <c r="B860" s="12" t="str">
        <f>MOD($G$6*B859 + $G$7, $G$8)</f>
      </c>
      <c r="C860" s="12" t="str">
        <f>B860/$G$8</f>
      </c>
      <c r="D860" s="12" t="s">
        <v>80</v>
      </c>
    </row>
    <row r="861">
      <c r="A861" s="11">
        <v>857</v>
      </c>
      <c r="B861" s="11" t="str">
        <f>MOD($G$6*B860 + $G$7, $G$8)</f>
      </c>
      <c r="C861" s="11" t="str">
        <f>B861/$G$8</f>
      </c>
      <c r="D861" s="11" t="s">
        <v>80</v>
      </c>
    </row>
    <row r="862">
      <c r="A862" s="12">
        <v>858</v>
      </c>
      <c r="B862" s="12" t="str">
        <f>MOD($G$6*B861 + $G$7, $G$8)</f>
      </c>
      <c r="C862" s="12" t="str">
        <f>B862/$G$8</f>
      </c>
      <c r="D862" s="12" t="s">
        <v>80</v>
      </c>
    </row>
    <row r="863">
      <c r="A863" s="11">
        <v>859</v>
      </c>
      <c r="B863" s="11" t="str">
        <f>MOD($G$6*B862 + $G$7, $G$8)</f>
      </c>
      <c r="C863" s="11" t="str">
        <f>B863/$G$8</f>
      </c>
      <c r="D863" s="11" t="s">
        <v>80</v>
      </c>
    </row>
    <row r="864">
      <c r="A864" s="12">
        <v>860</v>
      </c>
      <c r="B864" s="12" t="str">
        <f>MOD($G$6*B863 + $G$7, $G$8)</f>
      </c>
      <c r="C864" s="12" t="str">
        <f>B864/$G$8</f>
      </c>
      <c r="D864" s="12" t="s">
        <v>80</v>
      </c>
    </row>
    <row r="865">
      <c r="A865" s="11">
        <v>861</v>
      </c>
      <c r="B865" s="11" t="str">
        <f>MOD($G$6*B864 + $G$7, $G$8)</f>
      </c>
      <c r="C865" s="11" t="str">
        <f>B865/$G$8</f>
      </c>
      <c r="D865" s="11" t="s">
        <v>80</v>
      </c>
    </row>
    <row r="866">
      <c r="A866" s="12">
        <v>862</v>
      </c>
      <c r="B866" s="12" t="str">
        <f>MOD($G$6*B865 + $G$7, $G$8)</f>
      </c>
      <c r="C866" s="12" t="str">
        <f>B866/$G$8</f>
      </c>
      <c r="D866" s="12" t="s">
        <v>80</v>
      </c>
    </row>
    <row r="867">
      <c r="A867" s="11">
        <v>863</v>
      </c>
      <c r="B867" s="11" t="str">
        <f>MOD($G$6*B866 + $G$7, $G$8)</f>
      </c>
      <c r="C867" s="11" t="str">
        <f>B867/$G$8</f>
      </c>
      <c r="D867" s="11" t="s">
        <v>80</v>
      </c>
    </row>
    <row r="868">
      <c r="A868" s="12">
        <v>864</v>
      </c>
      <c r="B868" s="12" t="str">
        <f>MOD($G$6*B867 + $G$7, $G$8)</f>
      </c>
      <c r="C868" s="12" t="str">
        <f>B868/$G$8</f>
      </c>
      <c r="D868" s="12" t="s">
        <v>80</v>
      </c>
    </row>
    <row r="869">
      <c r="A869" s="11">
        <v>865</v>
      </c>
      <c r="B869" s="11" t="str">
        <f>MOD($G$6*B868 + $G$7, $G$8)</f>
      </c>
      <c r="C869" s="11" t="str">
        <f>B869/$G$8</f>
      </c>
      <c r="D869" s="11" t="s">
        <v>80</v>
      </c>
    </row>
    <row r="870">
      <c r="A870" s="12">
        <v>866</v>
      </c>
      <c r="B870" s="12" t="str">
        <f>MOD($G$6*B869 + $G$7, $G$8)</f>
      </c>
      <c r="C870" s="12" t="str">
        <f>B870/$G$8</f>
      </c>
      <c r="D870" s="12" t="s">
        <v>80</v>
      </c>
    </row>
    <row r="871">
      <c r="A871" s="11">
        <v>867</v>
      </c>
      <c r="B871" s="11" t="str">
        <f>MOD($G$6*B870 + $G$7, $G$8)</f>
      </c>
      <c r="C871" s="11" t="str">
        <f>B871/$G$8</f>
      </c>
      <c r="D871" s="11" t="s">
        <v>80</v>
      </c>
    </row>
    <row r="872">
      <c r="A872" s="12">
        <v>868</v>
      </c>
      <c r="B872" s="12" t="str">
        <f>MOD($G$6*B871 + $G$7, $G$8)</f>
      </c>
      <c r="C872" s="12" t="str">
        <f>B872/$G$8</f>
      </c>
      <c r="D872" s="12" t="s">
        <v>80</v>
      </c>
    </row>
    <row r="873">
      <c r="A873" s="11">
        <v>869</v>
      </c>
      <c r="B873" s="11" t="str">
        <f>MOD($G$6*B872 + $G$7, $G$8)</f>
      </c>
      <c r="C873" s="11" t="str">
        <f>B873/$G$8</f>
      </c>
      <c r="D873" s="11" t="s">
        <v>80</v>
      </c>
    </row>
    <row r="874">
      <c r="A874" s="12">
        <v>870</v>
      </c>
      <c r="B874" s="12" t="str">
        <f>MOD($G$6*B873 + $G$7, $G$8)</f>
      </c>
      <c r="C874" s="12" t="str">
        <f>B874/$G$8</f>
      </c>
      <c r="D874" s="12" t="s">
        <v>80</v>
      </c>
    </row>
    <row r="875">
      <c r="A875" s="11">
        <v>871</v>
      </c>
      <c r="B875" s="11" t="str">
        <f>MOD($G$6*B874 + $G$7, $G$8)</f>
      </c>
      <c r="C875" s="11" t="str">
        <f>B875/$G$8</f>
      </c>
      <c r="D875" s="11" t="s">
        <v>80</v>
      </c>
    </row>
    <row r="876">
      <c r="A876" s="12">
        <v>872</v>
      </c>
      <c r="B876" s="12" t="str">
        <f>MOD($G$6*B875 + $G$7, $G$8)</f>
      </c>
      <c r="C876" s="12" t="str">
        <f>B876/$G$8</f>
      </c>
      <c r="D876" s="12" t="s">
        <v>80</v>
      </c>
    </row>
    <row r="877">
      <c r="A877" s="11">
        <v>873</v>
      </c>
      <c r="B877" s="11" t="str">
        <f>MOD($G$6*B876 + $G$7, $G$8)</f>
      </c>
      <c r="C877" s="11" t="str">
        <f>B877/$G$8</f>
      </c>
      <c r="D877" s="11" t="s">
        <v>80</v>
      </c>
    </row>
    <row r="878">
      <c r="A878" s="12">
        <v>874</v>
      </c>
      <c r="B878" s="12" t="str">
        <f>MOD($G$6*B877 + $G$7, $G$8)</f>
      </c>
      <c r="C878" s="12" t="str">
        <f>B878/$G$8</f>
      </c>
      <c r="D878" s="12" t="s">
        <v>80</v>
      </c>
    </row>
    <row r="879">
      <c r="A879" s="11">
        <v>875</v>
      </c>
      <c r="B879" s="11" t="str">
        <f>MOD($G$6*B878 + $G$7, $G$8)</f>
      </c>
      <c r="C879" s="11" t="str">
        <f>B879/$G$8</f>
      </c>
      <c r="D879" s="11" t="s">
        <v>80</v>
      </c>
    </row>
    <row r="880">
      <c r="A880" s="12">
        <v>876</v>
      </c>
      <c r="B880" s="12" t="str">
        <f>MOD($G$6*B879 + $G$7, $G$8)</f>
      </c>
      <c r="C880" s="12" t="str">
        <f>B880/$G$8</f>
      </c>
      <c r="D880" s="12" t="s">
        <v>80</v>
      </c>
    </row>
    <row r="881">
      <c r="A881" s="11">
        <v>877</v>
      </c>
      <c r="B881" s="11" t="str">
        <f>MOD($G$6*B880 + $G$7, $G$8)</f>
      </c>
      <c r="C881" s="11" t="str">
        <f>B881/$G$8</f>
      </c>
      <c r="D881" s="11" t="s">
        <v>80</v>
      </c>
    </row>
    <row r="882">
      <c r="A882" s="12">
        <v>878</v>
      </c>
      <c r="B882" s="12" t="str">
        <f>MOD($G$6*B881 + $G$7, $G$8)</f>
      </c>
      <c r="C882" s="12" t="str">
        <f>B882/$G$8</f>
      </c>
      <c r="D882" s="12" t="s">
        <v>80</v>
      </c>
    </row>
    <row r="883">
      <c r="A883" s="11">
        <v>879</v>
      </c>
      <c r="B883" s="11" t="str">
        <f>MOD($G$6*B882 + $G$7, $G$8)</f>
      </c>
      <c r="C883" s="11" t="str">
        <f>B883/$G$8</f>
      </c>
      <c r="D883" s="11" t="s">
        <v>80</v>
      </c>
    </row>
    <row r="884">
      <c r="A884" s="12">
        <v>880</v>
      </c>
      <c r="B884" s="12" t="str">
        <f>MOD($G$6*B883 + $G$7, $G$8)</f>
      </c>
      <c r="C884" s="12" t="str">
        <f>B884/$G$8</f>
      </c>
      <c r="D884" s="12" t="s">
        <v>80</v>
      </c>
    </row>
    <row r="885">
      <c r="A885" s="11">
        <v>881</v>
      </c>
      <c r="B885" s="11" t="str">
        <f>MOD($G$6*B884 + $G$7, $G$8)</f>
      </c>
      <c r="C885" s="11" t="str">
        <f>B885/$G$8</f>
      </c>
      <c r="D885" s="11" t="s">
        <v>80</v>
      </c>
    </row>
    <row r="886">
      <c r="A886" s="12">
        <v>882</v>
      </c>
      <c r="B886" s="12" t="str">
        <f>MOD($G$6*B885 + $G$7, $G$8)</f>
      </c>
      <c r="C886" s="12" t="str">
        <f>B886/$G$8</f>
      </c>
      <c r="D886" s="12" t="s">
        <v>80</v>
      </c>
    </row>
    <row r="887">
      <c r="A887" s="11">
        <v>883</v>
      </c>
      <c r="B887" s="11" t="str">
        <f>MOD($G$6*B886 + $G$7, $G$8)</f>
      </c>
      <c r="C887" s="11" t="str">
        <f>B887/$G$8</f>
      </c>
      <c r="D887" s="11" t="s">
        <v>80</v>
      </c>
    </row>
    <row r="888">
      <c r="A888" s="12">
        <v>884</v>
      </c>
      <c r="B888" s="12" t="str">
        <f>MOD($G$6*B887 + $G$7, $G$8)</f>
      </c>
      <c r="C888" s="12" t="str">
        <f>B888/$G$8</f>
      </c>
      <c r="D888" s="12" t="s">
        <v>80</v>
      </c>
    </row>
    <row r="889">
      <c r="A889" s="11">
        <v>885</v>
      </c>
      <c r="B889" s="11" t="str">
        <f>MOD($G$6*B888 + $G$7, $G$8)</f>
      </c>
      <c r="C889" s="11" t="str">
        <f>B889/$G$8</f>
      </c>
      <c r="D889" s="11" t="s">
        <v>80</v>
      </c>
    </row>
    <row r="890">
      <c r="A890" s="12">
        <v>886</v>
      </c>
      <c r="B890" s="12" t="str">
        <f>MOD($G$6*B889 + $G$7, $G$8)</f>
      </c>
      <c r="C890" s="12" t="str">
        <f>B890/$G$8</f>
      </c>
      <c r="D890" s="12" t="s">
        <v>80</v>
      </c>
    </row>
    <row r="891">
      <c r="A891" s="11">
        <v>887</v>
      </c>
      <c r="B891" s="11" t="str">
        <f>MOD($G$6*B890 + $G$7, $G$8)</f>
      </c>
      <c r="C891" s="11" t="str">
        <f>B891/$G$8</f>
      </c>
      <c r="D891" s="11" t="s">
        <v>80</v>
      </c>
    </row>
    <row r="892">
      <c r="A892" s="12">
        <v>888</v>
      </c>
      <c r="B892" s="12" t="str">
        <f>MOD($G$6*B891 + $G$7, $G$8)</f>
      </c>
      <c r="C892" s="12" t="str">
        <f>B892/$G$8</f>
      </c>
      <c r="D892" s="12" t="s">
        <v>80</v>
      </c>
    </row>
    <row r="893">
      <c r="A893" s="11">
        <v>889</v>
      </c>
      <c r="B893" s="11" t="str">
        <f>MOD($G$6*B892 + $G$7, $G$8)</f>
      </c>
      <c r="C893" s="11" t="str">
        <f>B893/$G$8</f>
      </c>
      <c r="D893" s="11" t="s">
        <v>80</v>
      </c>
    </row>
    <row r="894">
      <c r="A894" s="12">
        <v>890</v>
      </c>
      <c r="B894" s="12" t="str">
        <f>MOD($G$6*B893 + $G$7, $G$8)</f>
      </c>
      <c r="C894" s="12" t="str">
        <f>B894/$G$8</f>
      </c>
      <c r="D894" s="12" t="s">
        <v>80</v>
      </c>
    </row>
    <row r="895">
      <c r="A895" s="11">
        <v>891</v>
      </c>
      <c r="B895" s="11" t="str">
        <f>MOD($G$6*B894 + $G$7, $G$8)</f>
      </c>
      <c r="C895" s="11" t="str">
        <f>B895/$G$8</f>
      </c>
      <c r="D895" s="11" t="s">
        <v>80</v>
      </c>
    </row>
    <row r="896">
      <c r="A896" s="12">
        <v>892</v>
      </c>
      <c r="B896" s="12" t="str">
        <f>MOD($G$6*B895 + $G$7, $G$8)</f>
      </c>
      <c r="C896" s="12" t="str">
        <f>B896/$G$8</f>
      </c>
      <c r="D896" s="12" t="s">
        <v>80</v>
      </c>
    </row>
    <row r="897">
      <c r="A897" s="11">
        <v>893</v>
      </c>
      <c r="B897" s="11" t="str">
        <f>MOD($G$6*B896 + $G$7, $G$8)</f>
      </c>
      <c r="C897" s="11" t="str">
        <f>B897/$G$8</f>
      </c>
      <c r="D897" s="11" t="s">
        <v>80</v>
      </c>
    </row>
    <row r="898">
      <c r="A898" s="12">
        <v>894</v>
      </c>
      <c r="B898" s="12" t="str">
        <f>MOD($G$6*B897 + $G$7, $G$8)</f>
      </c>
      <c r="C898" s="12" t="str">
        <f>B898/$G$8</f>
      </c>
      <c r="D898" s="12" t="s">
        <v>80</v>
      </c>
    </row>
    <row r="899">
      <c r="A899" s="11">
        <v>895</v>
      </c>
      <c r="B899" s="11" t="str">
        <f>MOD($G$6*B898 + $G$7, $G$8)</f>
      </c>
      <c r="C899" s="11" t="str">
        <f>B899/$G$8</f>
      </c>
      <c r="D899" s="11" t="s">
        <v>80</v>
      </c>
    </row>
    <row r="900">
      <c r="A900" s="12">
        <v>896</v>
      </c>
      <c r="B900" s="12" t="str">
        <f>MOD($G$6*B899 + $G$7, $G$8)</f>
      </c>
      <c r="C900" s="12" t="str">
        <f>B900/$G$8</f>
      </c>
      <c r="D900" s="12" t="s">
        <v>80</v>
      </c>
    </row>
    <row r="901">
      <c r="A901" s="11">
        <v>897</v>
      </c>
      <c r="B901" s="11" t="str">
        <f>MOD($G$6*B900 + $G$7, $G$8)</f>
      </c>
      <c r="C901" s="11" t="str">
        <f>B901/$G$8</f>
      </c>
      <c r="D901" s="11" t="s">
        <v>80</v>
      </c>
    </row>
    <row r="902">
      <c r="A902" s="12">
        <v>898</v>
      </c>
      <c r="B902" s="12" t="str">
        <f>MOD($G$6*B901 + $G$7, $G$8)</f>
      </c>
      <c r="C902" s="12" t="str">
        <f>B902/$G$8</f>
      </c>
      <c r="D902" s="12" t="s">
        <v>80</v>
      </c>
    </row>
    <row r="903">
      <c r="A903" s="11">
        <v>899</v>
      </c>
      <c r="B903" s="11" t="str">
        <f>MOD($G$6*B902 + $G$7, $G$8)</f>
      </c>
      <c r="C903" s="11" t="str">
        <f>B903/$G$8</f>
      </c>
      <c r="D903" s="11" t="s">
        <v>80</v>
      </c>
    </row>
    <row r="904">
      <c r="A904" s="12">
        <v>900</v>
      </c>
      <c r="B904" s="12" t="str">
        <f>MOD($G$6*B903 + $G$7, $G$8)</f>
      </c>
      <c r="C904" s="12" t="str">
        <f>B904/$G$8</f>
      </c>
      <c r="D904" s="12" t="s">
        <v>80</v>
      </c>
    </row>
    <row r="905">
      <c r="A905" s="11">
        <v>901</v>
      </c>
      <c r="B905" s="11" t="str">
        <f>MOD($G$6*B904 + $G$7, $G$8)</f>
      </c>
      <c r="C905" s="11" t="str">
        <f>B905/$G$8</f>
      </c>
      <c r="D905" s="11" t="s">
        <v>80</v>
      </c>
    </row>
    <row r="906">
      <c r="A906" s="12">
        <v>902</v>
      </c>
      <c r="B906" s="12" t="str">
        <f>MOD($G$6*B905 + $G$7, $G$8)</f>
      </c>
      <c r="C906" s="12" t="str">
        <f>B906/$G$8</f>
      </c>
      <c r="D906" s="12" t="s">
        <v>80</v>
      </c>
    </row>
    <row r="907">
      <c r="A907" s="11">
        <v>903</v>
      </c>
      <c r="B907" s="11" t="str">
        <f>MOD($G$6*B906 + $G$7, $G$8)</f>
      </c>
      <c r="C907" s="11" t="str">
        <f>B907/$G$8</f>
      </c>
      <c r="D907" s="11" t="s">
        <v>80</v>
      </c>
    </row>
    <row r="908">
      <c r="A908" s="12">
        <v>904</v>
      </c>
      <c r="B908" s="12" t="str">
        <f>MOD($G$6*B907 + $G$7, $G$8)</f>
      </c>
      <c r="C908" s="12" t="str">
        <f>B908/$G$8</f>
      </c>
      <c r="D908" s="12" t="s">
        <v>80</v>
      </c>
    </row>
    <row r="909">
      <c r="A909" s="11">
        <v>905</v>
      </c>
      <c r="B909" s="11" t="str">
        <f>MOD($G$6*B908 + $G$7, $G$8)</f>
      </c>
      <c r="C909" s="11" t="str">
        <f>B909/$G$8</f>
      </c>
      <c r="D909" s="11" t="s">
        <v>80</v>
      </c>
    </row>
    <row r="910">
      <c r="A910" s="12">
        <v>906</v>
      </c>
      <c r="B910" s="12" t="str">
        <f>MOD($G$6*B909 + $G$7, $G$8)</f>
      </c>
      <c r="C910" s="12" t="str">
        <f>B910/$G$8</f>
      </c>
      <c r="D910" s="12" t="s">
        <v>80</v>
      </c>
    </row>
    <row r="911">
      <c r="A911" s="11">
        <v>907</v>
      </c>
      <c r="B911" s="11" t="str">
        <f>MOD($G$6*B910 + $G$7, $G$8)</f>
      </c>
      <c r="C911" s="11" t="str">
        <f>B911/$G$8</f>
      </c>
      <c r="D911" s="11" t="s">
        <v>80</v>
      </c>
    </row>
    <row r="912">
      <c r="A912" s="12">
        <v>908</v>
      </c>
      <c r="B912" s="12" t="str">
        <f>MOD($G$6*B911 + $G$7, $G$8)</f>
      </c>
      <c r="C912" s="12" t="str">
        <f>B912/$G$8</f>
      </c>
      <c r="D912" s="12" t="s">
        <v>80</v>
      </c>
    </row>
    <row r="913">
      <c r="A913" s="11">
        <v>909</v>
      </c>
      <c r="B913" s="11" t="str">
        <f>MOD($G$6*B912 + $G$7, $G$8)</f>
      </c>
      <c r="C913" s="11" t="str">
        <f>B913/$G$8</f>
      </c>
      <c r="D913" s="11" t="s">
        <v>80</v>
      </c>
    </row>
    <row r="914">
      <c r="A914" s="12">
        <v>910</v>
      </c>
      <c r="B914" s="12" t="str">
        <f>MOD($G$6*B913 + $G$7, $G$8)</f>
      </c>
      <c r="C914" s="12" t="str">
        <f>B914/$G$8</f>
      </c>
      <c r="D914" s="12" t="s">
        <v>80</v>
      </c>
    </row>
    <row r="915">
      <c r="A915" s="11">
        <v>911</v>
      </c>
      <c r="B915" s="11" t="str">
        <f>MOD($G$6*B914 + $G$7, $G$8)</f>
      </c>
      <c r="C915" s="11" t="str">
        <f>B915/$G$8</f>
      </c>
      <c r="D915" s="11" t="s">
        <v>80</v>
      </c>
    </row>
    <row r="916">
      <c r="A916" s="12">
        <v>912</v>
      </c>
      <c r="B916" s="12" t="str">
        <f>MOD($G$6*B915 + $G$7, $G$8)</f>
      </c>
      <c r="C916" s="12" t="str">
        <f>B916/$G$8</f>
      </c>
      <c r="D916" s="12" t="s">
        <v>80</v>
      </c>
    </row>
    <row r="917">
      <c r="A917" s="11">
        <v>913</v>
      </c>
      <c r="B917" s="11" t="str">
        <f>MOD($G$6*B916 + $G$7, $G$8)</f>
      </c>
      <c r="C917" s="11" t="str">
        <f>B917/$G$8</f>
      </c>
      <c r="D917" s="11" t="s">
        <v>80</v>
      </c>
    </row>
    <row r="918">
      <c r="A918" s="12">
        <v>914</v>
      </c>
      <c r="B918" s="12" t="str">
        <f>MOD($G$6*B917 + $G$7, $G$8)</f>
      </c>
      <c r="C918" s="12" t="str">
        <f>B918/$G$8</f>
      </c>
      <c r="D918" s="12" t="s">
        <v>80</v>
      </c>
    </row>
    <row r="919">
      <c r="A919" s="11">
        <v>915</v>
      </c>
      <c r="B919" s="11" t="str">
        <f>MOD($G$6*B918 + $G$7, $G$8)</f>
      </c>
      <c r="C919" s="11" t="str">
        <f>B919/$G$8</f>
      </c>
      <c r="D919" s="11" t="s">
        <v>80</v>
      </c>
    </row>
    <row r="920">
      <c r="A920" s="12">
        <v>916</v>
      </c>
      <c r="B920" s="12" t="str">
        <f>MOD($G$6*B919 + $G$7, $G$8)</f>
      </c>
      <c r="C920" s="12" t="str">
        <f>B920/$G$8</f>
      </c>
      <c r="D920" s="12" t="s">
        <v>80</v>
      </c>
    </row>
    <row r="921">
      <c r="A921" s="11">
        <v>917</v>
      </c>
      <c r="B921" s="11" t="str">
        <f>MOD($G$6*B920 + $G$7, $G$8)</f>
      </c>
      <c r="C921" s="11" t="str">
        <f>B921/$G$8</f>
      </c>
      <c r="D921" s="11" t="s">
        <v>80</v>
      </c>
    </row>
    <row r="922">
      <c r="A922" s="12">
        <v>918</v>
      </c>
      <c r="B922" s="12" t="str">
        <f>MOD($G$6*B921 + $G$7, $G$8)</f>
      </c>
      <c r="C922" s="12" t="str">
        <f>B922/$G$8</f>
      </c>
      <c r="D922" s="12" t="s">
        <v>80</v>
      </c>
    </row>
    <row r="923">
      <c r="A923" s="11">
        <v>919</v>
      </c>
      <c r="B923" s="11" t="str">
        <f>MOD($G$6*B922 + $G$7, $G$8)</f>
      </c>
      <c r="C923" s="11" t="str">
        <f>B923/$G$8</f>
      </c>
      <c r="D923" s="11" t="s">
        <v>80</v>
      </c>
    </row>
    <row r="924">
      <c r="A924" s="12">
        <v>920</v>
      </c>
      <c r="B924" s="12" t="str">
        <f>MOD($G$6*B923 + $G$7, $G$8)</f>
      </c>
      <c r="C924" s="12" t="str">
        <f>B924/$G$8</f>
      </c>
      <c r="D924" s="12" t="s">
        <v>80</v>
      </c>
    </row>
    <row r="925">
      <c r="A925" s="11">
        <v>921</v>
      </c>
      <c r="B925" s="11" t="str">
        <f>MOD($G$6*B924 + $G$7, $G$8)</f>
      </c>
      <c r="C925" s="11" t="str">
        <f>B925/$G$8</f>
      </c>
      <c r="D925" s="11" t="s">
        <v>80</v>
      </c>
    </row>
    <row r="926">
      <c r="A926" s="12">
        <v>922</v>
      </c>
      <c r="B926" s="12" t="str">
        <f>MOD($G$6*B925 + $G$7, $G$8)</f>
      </c>
      <c r="C926" s="12" t="str">
        <f>B926/$G$8</f>
      </c>
      <c r="D926" s="12" t="s">
        <v>80</v>
      </c>
    </row>
    <row r="927">
      <c r="A927" s="11">
        <v>923</v>
      </c>
      <c r="B927" s="11" t="str">
        <f>MOD($G$6*B926 + $G$7, $G$8)</f>
      </c>
      <c r="C927" s="11" t="str">
        <f>B927/$G$8</f>
      </c>
      <c r="D927" s="11" t="s">
        <v>80</v>
      </c>
    </row>
    <row r="928">
      <c r="A928" s="12">
        <v>924</v>
      </c>
      <c r="B928" s="12" t="str">
        <f>MOD($G$6*B927 + $G$7, $G$8)</f>
      </c>
      <c r="C928" s="12" t="str">
        <f>B928/$G$8</f>
      </c>
      <c r="D928" s="12" t="s">
        <v>80</v>
      </c>
    </row>
    <row r="929">
      <c r="A929" s="11">
        <v>925</v>
      </c>
      <c r="B929" s="11" t="str">
        <f>MOD($G$6*B928 + $G$7, $G$8)</f>
      </c>
      <c r="C929" s="11" t="str">
        <f>B929/$G$8</f>
      </c>
      <c r="D929" s="11" t="s">
        <v>80</v>
      </c>
    </row>
    <row r="930">
      <c r="A930" s="12">
        <v>926</v>
      </c>
      <c r="B930" s="12" t="str">
        <f>MOD($G$6*B929 + $G$7, $G$8)</f>
      </c>
      <c r="C930" s="12" t="str">
        <f>B930/$G$8</f>
      </c>
      <c r="D930" s="12" t="s">
        <v>80</v>
      </c>
    </row>
    <row r="931">
      <c r="A931" s="11">
        <v>927</v>
      </c>
      <c r="B931" s="11" t="str">
        <f>MOD($G$6*B930 + $G$7, $G$8)</f>
      </c>
      <c r="C931" s="11" t="str">
        <f>B931/$G$8</f>
      </c>
      <c r="D931" s="11" t="s">
        <v>80</v>
      </c>
    </row>
    <row r="932">
      <c r="A932" s="12">
        <v>928</v>
      </c>
      <c r="B932" s="12" t="str">
        <f>MOD($G$6*B931 + $G$7, $G$8)</f>
      </c>
      <c r="C932" s="12" t="str">
        <f>B932/$G$8</f>
      </c>
      <c r="D932" s="12" t="s">
        <v>80</v>
      </c>
    </row>
    <row r="933">
      <c r="A933" s="11">
        <v>929</v>
      </c>
      <c r="B933" s="11" t="str">
        <f>MOD($G$6*B932 + $G$7, $G$8)</f>
      </c>
      <c r="C933" s="11" t="str">
        <f>B933/$G$8</f>
      </c>
      <c r="D933" s="11" t="s">
        <v>80</v>
      </c>
    </row>
    <row r="934">
      <c r="A934" s="12">
        <v>930</v>
      </c>
      <c r="B934" s="12" t="str">
        <f>MOD($G$6*B933 + $G$7, $G$8)</f>
      </c>
      <c r="C934" s="12" t="str">
        <f>B934/$G$8</f>
      </c>
      <c r="D934" s="12" t="s">
        <v>80</v>
      </c>
    </row>
    <row r="935">
      <c r="A935" s="11">
        <v>931</v>
      </c>
      <c r="B935" s="11" t="str">
        <f>MOD($G$6*B934 + $G$7, $G$8)</f>
      </c>
      <c r="C935" s="11" t="str">
        <f>B935/$G$8</f>
      </c>
      <c r="D935" s="11" t="s">
        <v>80</v>
      </c>
    </row>
    <row r="936">
      <c r="A936" s="12">
        <v>932</v>
      </c>
      <c r="B936" s="12" t="str">
        <f>MOD($G$6*B935 + $G$7, $G$8)</f>
      </c>
      <c r="C936" s="12" t="str">
        <f>B936/$G$8</f>
      </c>
      <c r="D936" s="12" t="s">
        <v>80</v>
      </c>
    </row>
    <row r="937">
      <c r="A937" s="11">
        <v>933</v>
      </c>
      <c r="B937" s="11" t="str">
        <f>MOD($G$6*B936 + $G$7, $G$8)</f>
      </c>
      <c r="C937" s="11" t="str">
        <f>B937/$G$8</f>
      </c>
      <c r="D937" s="11" t="s">
        <v>80</v>
      </c>
    </row>
    <row r="938">
      <c r="A938" s="12">
        <v>934</v>
      </c>
      <c r="B938" s="12" t="str">
        <f>MOD($G$6*B937 + $G$7, $G$8)</f>
      </c>
      <c r="C938" s="12" t="str">
        <f>B938/$G$8</f>
      </c>
      <c r="D938" s="12" t="s">
        <v>80</v>
      </c>
    </row>
    <row r="939">
      <c r="A939" s="11">
        <v>935</v>
      </c>
      <c r="B939" s="11" t="str">
        <f>MOD($G$6*B938 + $G$7, $G$8)</f>
      </c>
      <c r="C939" s="11" t="str">
        <f>B939/$G$8</f>
      </c>
      <c r="D939" s="11" t="s">
        <v>80</v>
      </c>
    </row>
    <row r="940">
      <c r="A940" s="12">
        <v>936</v>
      </c>
      <c r="B940" s="12" t="str">
        <f>MOD($G$6*B939 + $G$7, $G$8)</f>
      </c>
      <c r="C940" s="12" t="str">
        <f>B940/$G$8</f>
      </c>
      <c r="D940" s="12" t="s">
        <v>80</v>
      </c>
    </row>
    <row r="941">
      <c r="A941" s="11">
        <v>937</v>
      </c>
      <c r="B941" s="11" t="str">
        <f>MOD($G$6*B940 + $G$7, $G$8)</f>
      </c>
      <c r="C941" s="11" t="str">
        <f>B941/$G$8</f>
      </c>
      <c r="D941" s="11" t="s">
        <v>80</v>
      </c>
    </row>
    <row r="942">
      <c r="A942" s="12">
        <v>938</v>
      </c>
      <c r="B942" s="12" t="str">
        <f>MOD($G$6*B941 + $G$7, $G$8)</f>
      </c>
      <c r="C942" s="12" t="str">
        <f>B942/$G$8</f>
      </c>
      <c r="D942" s="12" t="s">
        <v>80</v>
      </c>
    </row>
    <row r="943">
      <c r="A943" s="11">
        <v>939</v>
      </c>
      <c r="B943" s="11" t="str">
        <f>MOD($G$6*B942 + $G$7, $G$8)</f>
      </c>
      <c r="C943" s="11" t="str">
        <f>B943/$G$8</f>
      </c>
      <c r="D943" s="11" t="s">
        <v>80</v>
      </c>
    </row>
    <row r="944">
      <c r="A944" s="12">
        <v>940</v>
      </c>
      <c r="B944" s="12" t="str">
        <f>MOD($G$6*B943 + $G$7, $G$8)</f>
      </c>
      <c r="C944" s="12" t="str">
        <f>B944/$G$8</f>
      </c>
      <c r="D944" s="12" t="s">
        <v>80</v>
      </c>
    </row>
    <row r="945">
      <c r="A945" s="11">
        <v>941</v>
      </c>
      <c r="B945" s="11" t="str">
        <f>MOD($G$6*B944 + $G$7, $G$8)</f>
      </c>
      <c r="C945" s="11" t="str">
        <f>B945/$G$8</f>
      </c>
      <c r="D945" s="11" t="s">
        <v>80</v>
      </c>
    </row>
    <row r="946">
      <c r="A946" s="12">
        <v>942</v>
      </c>
      <c r="B946" s="12" t="str">
        <f>MOD($G$6*B945 + $G$7, $G$8)</f>
      </c>
      <c r="C946" s="12" t="str">
        <f>B946/$G$8</f>
      </c>
      <c r="D946" s="12" t="s">
        <v>80</v>
      </c>
    </row>
    <row r="947">
      <c r="A947" s="11">
        <v>943</v>
      </c>
      <c r="B947" s="11" t="str">
        <f>MOD($G$6*B946 + $G$7, $G$8)</f>
      </c>
      <c r="C947" s="11" t="str">
        <f>B947/$G$8</f>
      </c>
      <c r="D947" s="11" t="s">
        <v>80</v>
      </c>
    </row>
    <row r="948">
      <c r="A948" s="12">
        <v>944</v>
      </c>
      <c r="B948" s="12" t="str">
        <f>MOD($G$6*B947 + $G$7, $G$8)</f>
      </c>
      <c r="C948" s="12" t="str">
        <f>B948/$G$8</f>
      </c>
      <c r="D948" s="12" t="s">
        <v>80</v>
      </c>
    </row>
    <row r="949">
      <c r="A949" s="11">
        <v>945</v>
      </c>
      <c r="B949" s="11" t="str">
        <f>MOD($G$6*B948 + $G$7, $G$8)</f>
      </c>
      <c r="C949" s="11" t="str">
        <f>B949/$G$8</f>
      </c>
      <c r="D949" s="11" t="s">
        <v>80</v>
      </c>
    </row>
    <row r="950">
      <c r="A950" s="12">
        <v>946</v>
      </c>
      <c r="B950" s="12" t="str">
        <f>MOD($G$6*B949 + $G$7, $G$8)</f>
      </c>
      <c r="C950" s="12" t="str">
        <f>B950/$G$8</f>
      </c>
      <c r="D950" s="12" t="s">
        <v>80</v>
      </c>
    </row>
    <row r="951">
      <c r="A951" s="11">
        <v>947</v>
      </c>
      <c r="B951" s="11" t="str">
        <f>MOD($G$6*B950 + $G$7, $G$8)</f>
      </c>
      <c r="C951" s="11" t="str">
        <f>B951/$G$8</f>
      </c>
      <c r="D951" s="11" t="s">
        <v>80</v>
      </c>
    </row>
    <row r="952">
      <c r="A952" s="12">
        <v>948</v>
      </c>
      <c r="B952" s="12" t="str">
        <f>MOD($G$6*B951 + $G$7, $G$8)</f>
      </c>
      <c r="C952" s="12" t="str">
        <f>B952/$G$8</f>
      </c>
      <c r="D952" s="12" t="s">
        <v>80</v>
      </c>
    </row>
    <row r="953">
      <c r="A953" s="11">
        <v>949</v>
      </c>
      <c r="B953" s="11" t="str">
        <f>MOD($G$6*B952 + $G$7, $G$8)</f>
      </c>
      <c r="C953" s="11" t="str">
        <f>B953/$G$8</f>
      </c>
      <c r="D953" s="11" t="s">
        <v>80</v>
      </c>
    </row>
    <row r="954">
      <c r="A954" s="12">
        <v>950</v>
      </c>
      <c r="B954" s="12" t="str">
        <f>MOD($G$6*B953 + $G$7, $G$8)</f>
      </c>
      <c r="C954" s="12" t="str">
        <f>B954/$G$8</f>
      </c>
      <c r="D954" s="12" t="s">
        <v>80</v>
      </c>
    </row>
    <row r="955">
      <c r="A955" s="11">
        <v>951</v>
      </c>
      <c r="B955" s="11" t="str">
        <f>MOD($G$6*B954 + $G$7, $G$8)</f>
      </c>
      <c r="C955" s="11" t="str">
        <f>B955/$G$8</f>
      </c>
      <c r="D955" s="11" t="s">
        <v>80</v>
      </c>
    </row>
    <row r="956">
      <c r="A956" s="12">
        <v>952</v>
      </c>
      <c r="B956" s="12" t="str">
        <f>MOD($G$6*B955 + $G$7, $G$8)</f>
      </c>
      <c r="C956" s="12" t="str">
        <f>B956/$G$8</f>
      </c>
      <c r="D956" s="12" t="s">
        <v>80</v>
      </c>
    </row>
    <row r="957">
      <c r="A957" s="11">
        <v>953</v>
      </c>
      <c r="B957" s="11" t="str">
        <f>MOD($G$6*B956 + $G$7, $G$8)</f>
      </c>
      <c r="C957" s="11" t="str">
        <f>B957/$G$8</f>
      </c>
      <c r="D957" s="11" t="s">
        <v>80</v>
      </c>
    </row>
    <row r="958">
      <c r="A958" s="12">
        <v>954</v>
      </c>
      <c r="B958" s="12" t="str">
        <f>MOD($G$6*B957 + $G$7, $G$8)</f>
      </c>
      <c r="C958" s="12" t="str">
        <f>B958/$G$8</f>
      </c>
      <c r="D958" s="12" t="s">
        <v>80</v>
      </c>
    </row>
    <row r="959">
      <c r="A959" s="11">
        <v>955</v>
      </c>
      <c r="B959" s="11" t="str">
        <f>MOD($G$6*B958 + $G$7, $G$8)</f>
      </c>
      <c r="C959" s="11" t="str">
        <f>B959/$G$8</f>
      </c>
      <c r="D959" s="11" t="s">
        <v>80</v>
      </c>
    </row>
    <row r="960">
      <c r="A960" s="12">
        <v>956</v>
      </c>
      <c r="B960" s="12" t="str">
        <f>MOD($G$6*B959 + $G$7, $G$8)</f>
      </c>
      <c r="C960" s="12" t="str">
        <f>B960/$G$8</f>
      </c>
      <c r="D960" s="12" t="s">
        <v>80</v>
      </c>
    </row>
    <row r="961">
      <c r="A961" s="11">
        <v>957</v>
      </c>
      <c r="B961" s="11" t="str">
        <f>MOD($G$6*B960 + $G$7, $G$8)</f>
      </c>
      <c r="C961" s="11" t="str">
        <f>B961/$G$8</f>
      </c>
      <c r="D961" s="11" t="s">
        <v>80</v>
      </c>
    </row>
    <row r="962">
      <c r="A962" s="12">
        <v>958</v>
      </c>
      <c r="B962" s="12" t="str">
        <f>MOD($G$6*B961 + $G$7, $G$8)</f>
      </c>
      <c r="C962" s="12" t="str">
        <f>B962/$G$8</f>
      </c>
      <c r="D962" s="12" t="s">
        <v>80</v>
      </c>
    </row>
    <row r="963">
      <c r="A963" s="11">
        <v>959</v>
      </c>
      <c r="B963" s="11" t="str">
        <f>MOD($G$6*B962 + $G$7, $G$8)</f>
      </c>
      <c r="C963" s="11" t="str">
        <f>B963/$G$8</f>
      </c>
      <c r="D963" s="11" t="s">
        <v>80</v>
      </c>
    </row>
    <row r="964">
      <c r="A964" s="12">
        <v>960</v>
      </c>
      <c r="B964" s="12" t="str">
        <f>MOD($G$6*B963 + $G$7, $G$8)</f>
      </c>
      <c r="C964" s="12" t="str">
        <f>B964/$G$8</f>
      </c>
      <c r="D964" s="12" t="s">
        <v>80</v>
      </c>
    </row>
    <row r="965">
      <c r="A965" s="11">
        <v>961</v>
      </c>
      <c r="B965" s="11" t="str">
        <f>MOD($G$6*B964 + $G$7, $G$8)</f>
      </c>
      <c r="C965" s="11" t="str">
        <f>B965/$G$8</f>
      </c>
      <c r="D965" s="11" t="s">
        <v>80</v>
      </c>
    </row>
    <row r="966">
      <c r="A966" s="12">
        <v>962</v>
      </c>
      <c r="B966" s="12" t="str">
        <f>MOD($G$6*B965 + $G$7, $G$8)</f>
      </c>
      <c r="C966" s="12" t="str">
        <f>B966/$G$8</f>
      </c>
      <c r="D966" s="12" t="s">
        <v>80</v>
      </c>
    </row>
    <row r="967">
      <c r="A967" s="11">
        <v>963</v>
      </c>
      <c r="B967" s="11" t="str">
        <f>MOD($G$6*B966 + $G$7, $G$8)</f>
      </c>
      <c r="C967" s="11" t="str">
        <f>B967/$G$8</f>
      </c>
      <c r="D967" s="11" t="s">
        <v>80</v>
      </c>
    </row>
    <row r="968">
      <c r="A968" s="12">
        <v>964</v>
      </c>
      <c r="B968" s="12" t="str">
        <f>MOD($G$6*B967 + $G$7, $G$8)</f>
      </c>
      <c r="C968" s="12" t="str">
        <f>B968/$G$8</f>
      </c>
      <c r="D968" s="12" t="s">
        <v>80</v>
      </c>
    </row>
    <row r="969">
      <c r="A969" s="11">
        <v>965</v>
      </c>
      <c r="B969" s="11" t="str">
        <f>MOD($G$6*B968 + $G$7, $G$8)</f>
      </c>
      <c r="C969" s="11" t="str">
        <f>B969/$G$8</f>
      </c>
      <c r="D969" s="11" t="s">
        <v>80</v>
      </c>
    </row>
    <row r="970">
      <c r="A970" s="12">
        <v>966</v>
      </c>
      <c r="B970" s="12" t="str">
        <f>MOD($G$6*B969 + $G$7, $G$8)</f>
      </c>
      <c r="C970" s="12" t="str">
        <f>B970/$G$8</f>
      </c>
      <c r="D970" s="12" t="s">
        <v>80</v>
      </c>
    </row>
    <row r="971">
      <c r="A971" s="11">
        <v>967</v>
      </c>
      <c r="B971" s="11" t="str">
        <f>MOD($G$6*B970 + $G$7, $G$8)</f>
      </c>
      <c r="C971" s="11" t="str">
        <f>B971/$G$8</f>
      </c>
      <c r="D971" s="11" t="s">
        <v>80</v>
      </c>
    </row>
    <row r="972">
      <c r="A972" s="12">
        <v>968</v>
      </c>
      <c r="B972" s="12" t="str">
        <f>MOD($G$6*B971 + $G$7, $G$8)</f>
      </c>
      <c r="C972" s="12" t="str">
        <f>B972/$G$8</f>
      </c>
      <c r="D972" s="12" t="s">
        <v>80</v>
      </c>
    </row>
    <row r="973">
      <c r="A973" s="11">
        <v>969</v>
      </c>
      <c r="B973" s="11" t="str">
        <f>MOD($G$6*B972 + $G$7, $G$8)</f>
      </c>
      <c r="C973" s="11" t="str">
        <f>B973/$G$8</f>
      </c>
      <c r="D973" s="11" t="s">
        <v>80</v>
      </c>
    </row>
    <row r="974">
      <c r="A974" s="12">
        <v>970</v>
      </c>
      <c r="B974" s="12" t="str">
        <f>MOD($G$6*B973 + $G$7, $G$8)</f>
      </c>
      <c r="C974" s="12" t="str">
        <f>B974/$G$8</f>
      </c>
      <c r="D974" s="12" t="s">
        <v>80</v>
      </c>
    </row>
    <row r="975">
      <c r="A975" s="11">
        <v>971</v>
      </c>
      <c r="B975" s="11" t="str">
        <f>MOD($G$6*B974 + $G$7, $G$8)</f>
      </c>
      <c r="C975" s="11" t="str">
        <f>B975/$G$8</f>
      </c>
      <c r="D975" s="11" t="s">
        <v>80</v>
      </c>
    </row>
    <row r="976">
      <c r="A976" s="12">
        <v>972</v>
      </c>
      <c r="B976" s="12" t="str">
        <f>MOD($G$6*B975 + $G$7, $G$8)</f>
      </c>
      <c r="C976" s="12" t="str">
        <f>B976/$G$8</f>
      </c>
      <c r="D976" s="12" t="s">
        <v>80</v>
      </c>
    </row>
    <row r="977">
      <c r="A977" s="11">
        <v>973</v>
      </c>
      <c r="B977" s="11" t="str">
        <f>MOD($G$6*B976 + $G$7, $G$8)</f>
      </c>
      <c r="C977" s="11" t="str">
        <f>B977/$G$8</f>
      </c>
      <c r="D977" s="11" t="s">
        <v>80</v>
      </c>
    </row>
    <row r="978">
      <c r="A978" s="12">
        <v>974</v>
      </c>
      <c r="B978" s="12" t="str">
        <f>MOD($G$6*B977 + $G$7, $G$8)</f>
      </c>
      <c r="C978" s="12" t="str">
        <f>B978/$G$8</f>
      </c>
      <c r="D978" s="12" t="s">
        <v>80</v>
      </c>
    </row>
    <row r="979">
      <c r="A979" s="11">
        <v>975</v>
      </c>
      <c r="B979" s="11" t="str">
        <f>MOD($G$6*B978 + $G$7, $G$8)</f>
      </c>
      <c r="C979" s="11" t="str">
        <f>B979/$G$8</f>
      </c>
      <c r="D979" s="11" t="s">
        <v>80</v>
      </c>
    </row>
    <row r="980">
      <c r="A980" s="12">
        <v>976</v>
      </c>
      <c r="B980" s="12" t="str">
        <f>MOD($G$6*B979 + $G$7, $G$8)</f>
      </c>
      <c r="C980" s="12" t="str">
        <f>B980/$G$8</f>
      </c>
      <c r="D980" s="12" t="s">
        <v>80</v>
      </c>
    </row>
    <row r="981">
      <c r="A981" s="11">
        <v>977</v>
      </c>
      <c r="B981" s="11" t="str">
        <f>MOD($G$6*B980 + $G$7, $G$8)</f>
      </c>
      <c r="C981" s="11" t="str">
        <f>B981/$G$8</f>
      </c>
      <c r="D981" s="11" t="s">
        <v>80</v>
      </c>
    </row>
    <row r="982">
      <c r="A982" s="12">
        <v>978</v>
      </c>
      <c r="B982" s="12" t="str">
        <f>MOD($G$6*B981 + $G$7, $G$8)</f>
      </c>
      <c r="C982" s="12" t="str">
        <f>B982/$G$8</f>
      </c>
      <c r="D982" s="12" t="s">
        <v>80</v>
      </c>
    </row>
    <row r="983">
      <c r="A983" s="11">
        <v>979</v>
      </c>
      <c r="B983" s="11" t="str">
        <f>MOD($G$6*B982 + $G$7, $G$8)</f>
      </c>
      <c r="C983" s="11" t="str">
        <f>B983/$G$8</f>
      </c>
      <c r="D983" s="11" t="s">
        <v>80</v>
      </c>
    </row>
    <row r="984">
      <c r="A984" s="12">
        <v>980</v>
      </c>
      <c r="B984" s="12" t="str">
        <f>MOD($G$6*B983 + $G$7, $G$8)</f>
      </c>
      <c r="C984" s="12" t="str">
        <f>B984/$G$8</f>
      </c>
      <c r="D984" s="12" t="s">
        <v>80</v>
      </c>
    </row>
    <row r="985">
      <c r="A985" s="11">
        <v>981</v>
      </c>
      <c r="B985" s="11" t="str">
        <f>MOD($G$6*B984 + $G$7, $G$8)</f>
      </c>
      <c r="C985" s="11" t="str">
        <f>B985/$G$8</f>
      </c>
      <c r="D985" s="11" t="s">
        <v>80</v>
      </c>
    </row>
    <row r="986">
      <c r="A986" s="12">
        <v>982</v>
      </c>
      <c r="B986" s="12" t="str">
        <f>MOD($G$6*B985 + $G$7, $G$8)</f>
      </c>
      <c r="C986" s="12" t="str">
        <f>B986/$G$8</f>
      </c>
      <c r="D986" s="12" t="s">
        <v>80</v>
      </c>
    </row>
    <row r="987">
      <c r="A987" s="11">
        <v>983</v>
      </c>
      <c r="B987" s="11" t="str">
        <f>MOD($G$6*B986 + $G$7, $G$8)</f>
      </c>
      <c r="C987" s="11" t="str">
        <f>B987/$G$8</f>
      </c>
      <c r="D987" s="11" t="s">
        <v>80</v>
      </c>
    </row>
    <row r="988">
      <c r="A988" s="12">
        <v>984</v>
      </c>
      <c r="B988" s="12" t="str">
        <f>MOD($G$6*B987 + $G$7, $G$8)</f>
      </c>
      <c r="C988" s="12" t="str">
        <f>B988/$G$8</f>
      </c>
      <c r="D988" s="12" t="s">
        <v>80</v>
      </c>
    </row>
    <row r="989">
      <c r="A989" s="11">
        <v>985</v>
      </c>
      <c r="B989" s="11" t="str">
        <f>MOD($G$6*B988 + $G$7, $G$8)</f>
      </c>
      <c r="C989" s="11" t="str">
        <f>B989/$G$8</f>
      </c>
      <c r="D989" s="11" t="s">
        <v>80</v>
      </c>
    </row>
    <row r="990">
      <c r="A990" s="12">
        <v>986</v>
      </c>
      <c r="B990" s="12" t="str">
        <f>MOD($G$6*B989 + $G$7, $G$8)</f>
      </c>
      <c r="C990" s="12" t="str">
        <f>B990/$G$8</f>
      </c>
      <c r="D990" s="12" t="s">
        <v>80</v>
      </c>
    </row>
    <row r="991">
      <c r="A991" s="11">
        <v>987</v>
      </c>
      <c r="B991" s="11" t="str">
        <f>MOD($G$6*B990 + $G$7, $G$8)</f>
      </c>
      <c r="C991" s="11" t="str">
        <f>B991/$G$8</f>
      </c>
      <c r="D991" s="11" t="s">
        <v>80</v>
      </c>
    </row>
    <row r="992">
      <c r="A992" s="12">
        <v>988</v>
      </c>
      <c r="B992" s="12" t="str">
        <f>MOD($G$6*B991 + $G$7, $G$8)</f>
      </c>
      <c r="C992" s="12" t="str">
        <f>B992/$G$8</f>
      </c>
      <c r="D992" s="12" t="s">
        <v>80</v>
      </c>
    </row>
    <row r="993">
      <c r="A993" s="11">
        <v>989</v>
      </c>
      <c r="B993" s="11" t="str">
        <f>MOD($G$6*B992 + $G$7, $G$8)</f>
      </c>
      <c r="C993" s="11" t="str">
        <f>B993/$G$8</f>
      </c>
      <c r="D993" s="11" t="s">
        <v>80</v>
      </c>
    </row>
    <row r="994">
      <c r="A994" s="12">
        <v>990</v>
      </c>
      <c r="B994" s="12" t="str">
        <f>MOD($G$6*B993 + $G$7, $G$8)</f>
      </c>
      <c r="C994" s="12" t="str">
        <f>B994/$G$8</f>
      </c>
      <c r="D994" s="12" t="s">
        <v>80</v>
      </c>
    </row>
    <row r="995">
      <c r="A995" s="11">
        <v>991</v>
      </c>
      <c r="B995" s="11" t="str">
        <f>MOD($G$6*B994 + $G$7, $G$8)</f>
      </c>
      <c r="C995" s="11" t="str">
        <f>B995/$G$8</f>
      </c>
      <c r="D995" s="11" t="s">
        <v>80</v>
      </c>
    </row>
    <row r="996">
      <c r="A996" s="12">
        <v>992</v>
      </c>
      <c r="B996" s="12" t="str">
        <f>MOD($G$6*B995 + $G$7, $G$8)</f>
      </c>
      <c r="C996" s="12" t="str">
        <f>B996/$G$8</f>
      </c>
      <c r="D996" s="12" t="s">
        <v>80</v>
      </c>
    </row>
    <row r="997">
      <c r="A997" s="11">
        <v>993</v>
      </c>
      <c r="B997" s="11" t="str">
        <f>MOD($G$6*B996 + $G$7, $G$8)</f>
      </c>
      <c r="C997" s="11" t="str">
        <f>B997/$G$8</f>
      </c>
      <c r="D997" s="11" t="s">
        <v>80</v>
      </c>
    </row>
    <row r="998">
      <c r="A998" s="12">
        <v>994</v>
      </c>
      <c r="B998" s="12" t="str">
        <f>MOD($G$6*B997 + $G$7, $G$8)</f>
      </c>
      <c r="C998" s="12" t="str">
        <f>B998/$G$8</f>
      </c>
      <c r="D998" s="12" t="s">
        <v>80</v>
      </c>
    </row>
    <row r="999">
      <c r="A999" s="11">
        <v>995</v>
      </c>
      <c r="B999" s="11" t="str">
        <f>MOD($G$6*B998 + $G$7, $G$8)</f>
      </c>
      <c r="C999" s="11" t="str">
        <f>B999/$G$8</f>
      </c>
      <c r="D999" s="11" t="s">
        <v>80</v>
      </c>
    </row>
    <row r="1000">
      <c r="A1000" s="12">
        <v>996</v>
      </c>
      <c r="B1000" s="12" t="str">
        <f>MOD($G$6*B999 + $G$7, $G$8)</f>
      </c>
      <c r="C1000" s="12" t="str">
        <f>B1000/$G$8</f>
      </c>
      <c r="D1000" s="12" t="s">
        <v>80</v>
      </c>
    </row>
    <row r="1001">
      <c r="A1001" s="11">
        <v>997</v>
      </c>
      <c r="B1001" s="11" t="str">
        <f>MOD($G$6*B1000 + $G$7, $G$8)</f>
      </c>
      <c r="C1001" s="11" t="str">
        <f>B1001/$G$8</f>
      </c>
      <c r="D1001" s="11" t="s">
        <v>80</v>
      </c>
    </row>
    <row r="1002">
      <c r="A1002" s="12">
        <v>998</v>
      </c>
      <c r="B1002" s="12" t="str">
        <f>MOD($G$6*B1001 + $G$7, $G$8)</f>
      </c>
      <c r="C1002" s="12" t="str">
        <f>B1002/$G$8</f>
      </c>
      <c r="D1002" s="12" t="s">
        <v>80</v>
      </c>
    </row>
    <row r="1003">
      <c r="A1003" s="11">
        <v>999</v>
      </c>
      <c r="B1003" s="11" t="str">
        <f>MOD($G$6*B1002 + $G$7, $G$8)</f>
      </c>
      <c r="C1003" s="11" t="str">
        <f>B1003/$G$8</f>
      </c>
      <c r="D1003" s="11" t="s">
        <v>80</v>
      </c>
    </row>
    <row r="1004">
      <c r="A1004" s="12">
        <v>1000</v>
      </c>
      <c r="B1004" s="12" t="str">
        <f>MOD($G$6*B1003 + $G$7, $G$8)</f>
      </c>
      <c r="C1004" s="12" t="str">
        <f>B1004/$G$8</f>
      </c>
      <c r="D1004" s="12" t="s">
        <v>80</v>
      </c>
    </row>
    <row r="1005">
      <c r="A1005" s="11">
        <v>1001</v>
      </c>
      <c r="B1005" s="11" t="str">
        <f>MOD($G$6*B1004 + $G$7, $G$8)</f>
      </c>
      <c r="C1005" s="11" t="str">
        <f>B1005/$G$8</f>
      </c>
      <c r="D1005" s="11" t="s">
        <v>80</v>
      </c>
    </row>
    <row r="1006">
      <c r="A1006" s="12">
        <v>1002</v>
      </c>
      <c r="B1006" s="12" t="str">
        <f>MOD($G$6*B1005 + $G$7, $G$8)</f>
      </c>
      <c r="C1006" s="12" t="str">
        <f>B1006/$G$8</f>
      </c>
      <c r="D1006" s="12" t="s">
        <v>80</v>
      </c>
    </row>
    <row r="1007">
      <c r="A1007" s="11">
        <v>1003</v>
      </c>
      <c r="B1007" s="11" t="str">
        <f>MOD($G$6*B1006 + $G$7, $G$8)</f>
      </c>
      <c r="C1007" s="11" t="str">
        <f>B1007/$G$8</f>
      </c>
      <c r="D1007" s="11" t="s">
        <v>80</v>
      </c>
    </row>
    <row r="1008">
      <c r="A1008" s="12">
        <v>1004</v>
      </c>
      <c r="B1008" s="12" t="str">
        <f>MOD($G$6*B1007 + $G$7, $G$8)</f>
      </c>
      <c r="C1008" s="12" t="str">
        <f>B1008/$G$8</f>
      </c>
      <c r="D1008" s="12" t="s">
        <v>80</v>
      </c>
    </row>
    <row r="1009">
      <c r="A1009" s="11">
        <v>1005</v>
      </c>
      <c r="B1009" s="11" t="str">
        <f>MOD($G$6*B1008 + $G$7, $G$8)</f>
      </c>
      <c r="C1009" s="11" t="str">
        <f>B1009/$G$8</f>
      </c>
      <c r="D1009" s="11" t="s">
        <v>80</v>
      </c>
    </row>
    <row r="1010">
      <c r="A1010" s="12">
        <v>1006</v>
      </c>
      <c r="B1010" s="12" t="str">
        <f>MOD($G$6*B1009 + $G$7, $G$8)</f>
      </c>
      <c r="C1010" s="12" t="str">
        <f>B1010/$G$8</f>
      </c>
      <c r="D1010" s="12" t="s">
        <v>80</v>
      </c>
    </row>
    <row r="1011">
      <c r="A1011" s="11">
        <v>1007</v>
      </c>
      <c r="B1011" s="11" t="str">
        <f>MOD($G$6*B1010 + $G$7, $G$8)</f>
      </c>
      <c r="C1011" s="11" t="str">
        <f>B1011/$G$8</f>
      </c>
      <c r="D1011" s="11" t="s">
        <v>80</v>
      </c>
    </row>
    <row r="1012">
      <c r="A1012" s="12">
        <v>1008</v>
      </c>
      <c r="B1012" s="12" t="str">
        <f>MOD($G$6*B1011 + $G$7, $G$8)</f>
      </c>
      <c r="C1012" s="12" t="str">
        <f>B1012/$G$8</f>
      </c>
      <c r="D1012" s="12" t="s">
        <v>80</v>
      </c>
    </row>
    <row r="1013">
      <c r="A1013" s="11">
        <v>1009</v>
      </c>
      <c r="B1013" s="11" t="str">
        <f>MOD($G$6*B1012 + $G$7, $G$8)</f>
      </c>
      <c r="C1013" s="11" t="str">
        <f>B1013/$G$8</f>
      </c>
      <c r="D1013" s="11" t="s">
        <v>80</v>
      </c>
    </row>
    <row r="1014">
      <c r="A1014" s="12">
        <v>1010</v>
      </c>
      <c r="B1014" s="12" t="str">
        <f>MOD($G$6*B1013 + $G$7, $G$8)</f>
      </c>
      <c r="C1014" s="12" t="str">
        <f>B1014/$G$8</f>
      </c>
      <c r="D1014" s="12" t="s">
        <v>80</v>
      </c>
    </row>
    <row r="1015">
      <c r="A1015" s="11">
        <v>1011</v>
      </c>
      <c r="B1015" s="11" t="str">
        <f>MOD($G$6*B1014 + $G$7, $G$8)</f>
      </c>
      <c r="C1015" s="11" t="str">
        <f>B1015/$G$8</f>
      </c>
      <c r="D1015" s="11" t="s">
        <v>80</v>
      </c>
    </row>
    <row r="1016">
      <c r="A1016" s="12">
        <v>1012</v>
      </c>
      <c r="B1016" s="12" t="str">
        <f>MOD($G$6*B1015 + $G$7, $G$8)</f>
      </c>
      <c r="C1016" s="12" t="str">
        <f>B1016/$G$8</f>
      </c>
      <c r="D1016" s="12" t="s">
        <v>80</v>
      </c>
    </row>
    <row r="1017">
      <c r="A1017" s="11">
        <v>1013</v>
      </c>
      <c r="B1017" s="11" t="str">
        <f>MOD($G$6*B1016 + $G$7, $G$8)</f>
      </c>
      <c r="C1017" s="11" t="str">
        <f>B1017/$G$8</f>
      </c>
      <c r="D1017" s="11" t="s">
        <v>80</v>
      </c>
    </row>
    <row r="1018">
      <c r="A1018" s="12">
        <v>1014</v>
      </c>
      <c r="B1018" s="12" t="str">
        <f>MOD($G$6*B1017 + $G$7, $G$8)</f>
      </c>
      <c r="C1018" s="12" t="str">
        <f>B1018/$G$8</f>
      </c>
      <c r="D1018" s="12" t="s">
        <v>80</v>
      </c>
    </row>
    <row r="1019">
      <c r="A1019" s="11">
        <v>1015</v>
      </c>
      <c r="B1019" s="11" t="str">
        <f>MOD($G$6*B1018 + $G$7, $G$8)</f>
      </c>
      <c r="C1019" s="11" t="str">
        <f>B1019/$G$8</f>
      </c>
      <c r="D1019" s="11" t="s">
        <v>80</v>
      </c>
    </row>
    <row r="1020">
      <c r="A1020" s="12">
        <v>1016</v>
      </c>
      <c r="B1020" s="12" t="str">
        <f>MOD($G$6*B1019 + $G$7, $G$8)</f>
      </c>
      <c r="C1020" s="12" t="str">
        <f>B1020/$G$8</f>
      </c>
      <c r="D1020" s="12" t="s">
        <v>80</v>
      </c>
    </row>
    <row r="1021">
      <c r="A1021" s="11">
        <v>1017</v>
      </c>
      <c r="B1021" s="11" t="str">
        <f>MOD($G$6*B1020 + $G$7, $G$8)</f>
      </c>
      <c r="C1021" s="11" t="str">
        <f>B1021/$G$8</f>
      </c>
      <c r="D1021" s="11" t="s">
        <v>80</v>
      </c>
    </row>
    <row r="1022">
      <c r="A1022" s="12">
        <v>1018</v>
      </c>
      <c r="B1022" s="12" t="str">
        <f>MOD($G$6*B1021 + $G$7, $G$8)</f>
      </c>
      <c r="C1022" s="12" t="str">
        <f>B1022/$G$8</f>
      </c>
      <c r="D1022" s="12" t="s">
        <v>80</v>
      </c>
    </row>
    <row r="1023">
      <c r="A1023" s="11">
        <v>1019</v>
      </c>
      <c r="B1023" s="11" t="str">
        <f>MOD($G$6*B1022 + $G$7, $G$8)</f>
      </c>
      <c r="C1023" s="11" t="str">
        <f>B1023/$G$8</f>
      </c>
      <c r="D1023" s="11" t="s">
        <v>80</v>
      </c>
    </row>
    <row r="1024">
      <c r="A1024" s="12">
        <v>1020</v>
      </c>
      <c r="B1024" s="12" t="str">
        <f>MOD($G$6*B1023 + $G$7, $G$8)</f>
      </c>
      <c r="C1024" s="12" t="str">
        <f>B1024/$G$8</f>
      </c>
      <c r="D1024" s="12" t="s">
        <v>80</v>
      </c>
    </row>
    <row r="1025">
      <c r="A1025" s="11">
        <v>1021</v>
      </c>
      <c r="B1025" s="11" t="str">
        <f>MOD($G$6*B1024 + $G$7, $G$8)</f>
      </c>
      <c r="C1025" s="11" t="str">
        <f>B1025/$G$8</f>
      </c>
      <c r="D1025" s="11" t="s">
        <v>80</v>
      </c>
    </row>
    <row r="1026">
      <c r="A1026" s="12">
        <v>1022</v>
      </c>
      <c r="B1026" s="12" t="str">
        <f>MOD($G$6*B1025 + $G$7, $G$8)</f>
      </c>
      <c r="C1026" s="12" t="str">
        <f>B1026/$G$8</f>
      </c>
      <c r="D1026" s="12" t="s">
        <v>80</v>
      </c>
    </row>
    <row r="1027">
      <c r="A1027" s="11">
        <v>1023</v>
      </c>
      <c r="B1027" s="11" t="str">
        <f>MOD($G$6*B1026 + $G$7, $G$8)</f>
      </c>
      <c r="C1027" s="11" t="str">
        <f>B1027/$G$8</f>
      </c>
      <c r="D1027" s="11" t="s">
        <v>80</v>
      </c>
    </row>
    <row r="1028">
      <c r="A1028" s="12">
        <v>1024</v>
      </c>
      <c r="B1028" s="12" t="str">
        <f>MOD($G$6*B1027 + $G$7, $G$8)</f>
      </c>
      <c r="C1028" s="12" t="str">
        <f>B1028/$G$8</f>
      </c>
      <c r="D1028" s="12" t="s">
        <v>80</v>
      </c>
    </row>
    <row r="1029">
      <c r="A1029" s="11">
        <v>1025</v>
      </c>
      <c r="B1029" s="11" t="str">
        <f>MOD($G$6*B1028 + $G$7, $G$8)</f>
      </c>
      <c r="C1029" s="11" t="str">
        <f>B1029/$G$8</f>
      </c>
      <c r="D1029" s="11" t="s">
        <v>80</v>
      </c>
    </row>
    <row r="1030">
      <c r="A1030" s="12">
        <v>1026</v>
      </c>
      <c r="B1030" s="12" t="str">
        <f>MOD($G$6*B1029 + $G$7, $G$8)</f>
      </c>
      <c r="C1030" s="12" t="str">
        <f>B1030/$G$8</f>
      </c>
      <c r="D1030" s="12" t="s">
        <v>80</v>
      </c>
    </row>
    <row r="1031">
      <c r="A1031" s="11">
        <v>1027</v>
      </c>
      <c r="B1031" s="11" t="str">
        <f>MOD($G$6*B1030 + $G$7, $G$8)</f>
      </c>
      <c r="C1031" s="11" t="str">
        <f>B1031/$G$8</f>
      </c>
      <c r="D1031" s="11" t="s">
        <v>80</v>
      </c>
    </row>
    <row r="1032">
      <c r="A1032" s="12">
        <v>1028</v>
      </c>
      <c r="B1032" s="12" t="str">
        <f>MOD($G$6*B1031 + $G$7, $G$8)</f>
      </c>
      <c r="C1032" s="12" t="str">
        <f>B1032/$G$8</f>
      </c>
      <c r="D1032" s="12" t="s">
        <v>80</v>
      </c>
    </row>
    <row r="1033">
      <c r="A1033" s="11">
        <v>1029</v>
      </c>
      <c r="B1033" s="11" t="str">
        <f>MOD($G$6*B1032 + $G$7, $G$8)</f>
      </c>
      <c r="C1033" s="11" t="str">
        <f>B1033/$G$8</f>
      </c>
      <c r="D1033" s="11" t="s">
        <v>80</v>
      </c>
    </row>
    <row r="1034">
      <c r="A1034" s="12">
        <v>1030</v>
      </c>
      <c r="B1034" s="12" t="str">
        <f>MOD($G$6*B1033 + $G$7, $G$8)</f>
      </c>
      <c r="C1034" s="12" t="str">
        <f>B1034/$G$8</f>
      </c>
      <c r="D1034" s="12" t="s">
        <v>80</v>
      </c>
    </row>
    <row r="1035">
      <c r="A1035" s="11">
        <v>1031</v>
      </c>
      <c r="B1035" s="11" t="str">
        <f>MOD($G$6*B1034 + $G$7, $G$8)</f>
      </c>
      <c r="C1035" s="11" t="str">
        <f>B1035/$G$8</f>
      </c>
      <c r="D1035" s="11" t="s">
        <v>80</v>
      </c>
    </row>
    <row r="1036">
      <c r="A1036" s="12">
        <v>1032</v>
      </c>
      <c r="B1036" s="12" t="str">
        <f>MOD($G$6*B1035 + $G$7, $G$8)</f>
      </c>
      <c r="C1036" s="12" t="str">
        <f>B1036/$G$8</f>
      </c>
      <c r="D1036" s="12" t="s">
        <v>80</v>
      </c>
    </row>
    <row r="1037">
      <c r="A1037" s="11">
        <v>1033</v>
      </c>
      <c r="B1037" s="11" t="str">
        <f>MOD($G$6*B1036 + $G$7, $G$8)</f>
      </c>
      <c r="C1037" s="11" t="str">
        <f>B1037/$G$8</f>
      </c>
      <c r="D1037" s="11" t="s">
        <v>80</v>
      </c>
    </row>
    <row r="1038">
      <c r="A1038" s="12">
        <v>1034</v>
      </c>
      <c r="B1038" s="12" t="str">
        <f>MOD($G$6*B1037 + $G$7, $G$8)</f>
      </c>
      <c r="C1038" s="12" t="str">
        <f>B1038/$G$8</f>
      </c>
      <c r="D1038" s="12" t="s">
        <v>80</v>
      </c>
    </row>
    <row r="1039">
      <c r="A1039" s="11">
        <v>1035</v>
      </c>
      <c r="B1039" s="11" t="str">
        <f>MOD($G$6*B1038 + $G$7, $G$8)</f>
      </c>
      <c r="C1039" s="11" t="str">
        <f>B1039/$G$8</f>
      </c>
      <c r="D1039" s="11" t="s">
        <v>80</v>
      </c>
    </row>
    <row r="1040">
      <c r="A1040" s="12">
        <v>1036</v>
      </c>
      <c r="B1040" s="12" t="str">
        <f>MOD($G$6*B1039 + $G$7, $G$8)</f>
      </c>
      <c r="C1040" s="12" t="str">
        <f>B1040/$G$8</f>
      </c>
      <c r="D1040" s="12" t="s">
        <v>80</v>
      </c>
    </row>
    <row r="1041">
      <c r="A1041" s="11">
        <v>1037</v>
      </c>
      <c r="B1041" s="11" t="str">
        <f>MOD($G$6*B1040 + $G$7, $G$8)</f>
      </c>
      <c r="C1041" s="11" t="str">
        <f>B1041/$G$8</f>
      </c>
      <c r="D1041" s="11" t="s">
        <v>80</v>
      </c>
    </row>
    <row r="1042">
      <c r="A1042" s="12">
        <v>1038</v>
      </c>
      <c r="B1042" s="12" t="str">
        <f>MOD($G$6*B1041 + $G$7, $G$8)</f>
      </c>
      <c r="C1042" s="12" t="str">
        <f>B1042/$G$8</f>
      </c>
      <c r="D1042" s="12" t="s">
        <v>80</v>
      </c>
    </row>
    <row r="1043">
      <c r="A1043" s="11">
        <v>1039</v>
      </c>
      <c r="B1043" s="11" t="str">
        <f>MOD($G$6*B1042 + $G$7, $G$8)</f>
      </c>
      <c r="C1043" s="11" t="str">
        <f>B1043/$G$8</f>
      </c>
      <c r="D1043" s="11" t="s">
        <v>80</v>
      </c>
    </row>
    <row r="1044">
      <c r="A1044" s="12">
        <v>1040</v>
      </c>
      <c r="B1044" s="12" t="str">
        <f>MOD($G$6*B1043 + $G$7, $G$8)</f>
      </c>
      <c r="C1044" s="12" t="str">
        <f>B1044/$G$8</f>
      </c>
      <c r="D1044" s="12" t="s">
        <v>80</v>
      </c>
    </row>
    <row r="1045">
      <c r="A1045" s="11">
        <v>1041</v>
      </c>
      <c r="B1045" s="11" t="str">
        <f>MOD($G$6*B1044 + $G$7, $G$8)</f>
      </c>
      <c r="C1045" s="11" t="str">
        <f>B1045/$G$8</f>
      </c>
      <c r="D1045" s="11" t="s">
        <v>80</v>
      </c>
    </row>
    <row r="1046">
      <c r="A1046" s="12">
        <v>1042</v>
      </c>
      <c r="B1046" s="12" t="str">
        <f>MOD($G$6*B1045 + $G$7, $G$8)</f>
      </c>
      <c r="C1046" s="12" t="str">
        <f>B1046/$G$8</f>
      </c>
      <c r="D1046" s="12" t="s">
        <v>80</v>
      </c>
    </row>
    <row r="1047">
      <c r="A1047" s="11">
        <v>1043</v>
      </c>
      <c r="B1047" s="11" t="str">
        <f>MOD($G$6*B1046 + $G$7, $G$8)</f>
      </c>
      <c r="C1047" s="11" t="str">
        <f>B1047/$G$8</f>
      </c>
      <c r="D1047" s="11" t="s">
        <v>80</v>
      </c>
    </row>
    <row r="1048">
      <c r="A1048" s="12">
        <v>1044</v>
      </c>
      <c r="B1048" s="12" t="str">
        <f>MOD($G$6*B1047 + $G$7, $G$8)</f>
      </c>
      <c r="C1048" s="12" t="str">
        <f>B1048/$G$8</f>
      </c>
      <c r="D1048" s="12" t="s">
        <v>80</v>
      </c>
    </row>
    <row r="1049">
      <c r="A1049" s="11">
        <v>1045</v>
      </c>
      <c r="B1049" s="11" t="str">
        <f>MOD($G$6*B1048 + $G$7, $G$8)</f>
      </c>
      <c r="C1049" s="11" t="str">
        <f>B1049/$G$8</f>
      </c>
      <c r="D1049" s="11" t="s">
        <v>80</v>
      </c>
    </row>
    <row r="1050">
      <c r="A1050" s="12">
        <v>1046</v>
      </c>
      <c r="B1050" s="12" t="str">
        <f>MOD($G$6*B1049 + $G$7, $G$8)</f>
      </c>
      <c r="C1050" s="12" t="str">
        <f>B1050/$G$8</f>
      </c>
      <c r="D1050" s="12" t="s">
        <v>80</v>
      </c>
    </row>
    <row r="1051">
      <c r="A1051" s="11">
        <v>1047</v>
      </c>
      <c r="B1051" s="11" t="str">
        <f>MOD($G$6*B1050 + $G$7, $G$8)</f>
      </c>
      <c r="C1051" s="11" t="str">
        <f>B1051/$G$8</f>
      </c>
      <c r="D1051" s="11" t="s">
        <v>80</v>
      </c>
    </row>
    <row r="1052">
      <c r="A1052" s="12">
        <v>1048</v>
      </c>
      <c r="B1052" s="12" t="str">
        <f>MOD($G$6*B1051 + $G$7, $G$8)</f>
      </c>
      <c r="C1052" s="12" t="str">
        <f>B1052/$G$8</f>
      </c>
      <c r="D1052" s="12" t="s">
        <v>80</v>
      </c>
    </row>
    <row r="1053">
      <c r="A1053" s="11">
        <v>1049</v>
      </c>
      <c r="B1053" s="11" t="str">
        <f>MOD($G$6*B1052 + $G$7, $G$8)</f>
      </c>
      <c r="C1053" s="11" t="str">
        <f>B1053/$G$8</f>
      </c>
      <c r="D1053" s="11" t="s">
        <v>80</v>
      </c>
    </row>
    <row r="1054">
      <c r="A1054" s="12">
        <v>1050</v>
      </c>
      <c r="B1054" s="12" t="str">
        <f>MOD($G$6*B1053 + $G$7, $G$8)</f>
      </c>
      <c r="C1054" s="12" t="str">
        <f>B1054/$G$8</f>
      </c>
      <c r="D1054" s="12" t="s">
        <v>80</v>
      </c>
    </row>
    <row r="1055">
      <c r="A1055" s="11">
        <v>1051</v>
      </c>
      <c r="B1055" s="11" t="str">
        <f>MOD($G$6*B1054 + $G$7, $G$8)</f>
      </c>
      <c r="C1055" s="11" t="str">
        <f>B1055/$G$8</f>
      </c>
      <c r="D1055" s="11" t="s">
        <v>80</v>
      </c>
    </row>
    <row r="1056">
      <c r="A1056" s="12">
        <v>1052</v>
      </c>
      <c r="B1056" s="12" t="str">
        <f>MOD($G$6*B1055 + $G$7, $G$8)</f>
      </c>
      <c r="C1056" s="12" t="str">
        <f>B1056/$G$8</f>
      </c>
      <c r="D1056" s="12" t="s">
        <v>80</v>
      </c>
    </row>
    <row r="1057">
      <c r="A1057" s="11">
        <v>1053</v>
      </c>
      <c r="B1057" s="11" t="str">
        <f>MOD($G$6*B1056 + $G$7, $G$8)</f>
      </c>
      <c r="C1057" s="11" t="str">
        <f>B1057/$G$8</f>
      </c>
      <c r="D1057" s="11" t="s">
        <v>80</v>
      </c>
    </row>
    <row r="1058">
      <c r="A1058" s="12">
        <v>1054</v>
      </c>
      <c r="B1058" s="12" t="str">
        <f>MOD($G$6*B1057 + $G$7, $G$8)</f>
      </c>
      <c r="C1058" s="12" t="str">
        <f>B1058/$G$8</f>
      </c>
      <c r="D1058" s="12" t="s">
        <v>80</v>
      </c>
    </row>
    <row r="1059">
      <c r="A1059" s="11">
        <v>1055</v>
      </c>
      <c r="B1059" s="11" t="str">
        <f>MOD($G$6*B1058 + $G$7, $G$8)</f>
      </c>
      <c r="C1059" s="11" t="str">
        <f>B1059/$G$8</f>
      </c>
      <c r="D1059" s="11" t="s">
        <v>80</v>
      </c>
    </row>
    <row r="1060">
      <c r="A1060" s="12">
        <v>1056</v>
      </c>
      <c r="B1060" s="12" t="str">
        <f>MOD($G$6*B1059 + $G$7, $G$8)</f>
      </c>
      <c r="C1060" s="12" t="str">
        <f>B1060/$G$8</f>
      </c>
      <c r="D1060" s="12" t="s">
        <v>80</v>
      </c>
    </row>
    <row r="1061">
      <c r="A1061" s="11">
        <v>1057</v>
      </c>
      <c r="B1061" s="11" t="str">
        <f>MOD($G$6*B1060 + $G$7, $G$8)</f>
      </c>
      <c r="C1061" s="11" t="str">
        <f>B1061/$G$8</f>
      </c>
      <c r="D1061" s="11" t="s">
        <v>80</v>
      </c>
    </row>
    <row r="1062">
      <c r="A1062" s="12">
        <v>1058</v>
      </c>
      <c r="B1062" s="12" t="str">
        <f>MOD($G$6*B1061 + $G$7, $G$8)</f>
      </c>
      <c r="C1062" s="12" t="str">
        <f>B1062/$G$8</f>
      </c>
      <c r="D1062" s="12" t="s">
        <v>80</v>
      </c>
    </row>
    <row r="1063">
      <c r="A1063" s="11">
        <v>1059</v>
      </c>
      <c r="B1063" s="11" t="str">
        <f>MOD($G$6*B1062 + $G$7, $G$8)</f>
      </c>
      <c r="C1063" s="11" t="str">
        <f>B1063/$G$8</f>
      </c>
      <c r="D1063" s="11" t="s">
        <v>80</v>
      </c>
    </row>
    <row r="1064">
      <c r="A1064" s="12">
        <v>1060</v>
      </c>
      <c r="B1064" s="12" t="str">
        <f>MOD($G$6*B1063 + $G$7, $G$8)</f>
      </c>
      <c r="C1064" s="12" t="str">
        <f>B1064/$G$8</f>
      </c>
      <c r="D1064" s="12" t="s">
        <v>80</v>
      </c>
    </row>
    <row r="1065">
      <c r="A1065" s="11">
        <v>1061</v>
      </c>
      <c r="B1065" s="11" t="str">
        <f>MOD($G$6*B1064 + $G$7, $G$8)</f>
      </c>
      <c r="C1065" s="11" t="str">
        <f>B1065/$G$8</f>
      </c>
      <c r="D1065" s="11" t="s">
        <v>80</v>
      </c>
    </row>
    <row r="1066">
      <c r="A1066" s="12">
        <v>1062</v>
      </c>
      <c r="B1066" s="12" t="str">
        <f>MOD($G$6*B1065 + $G$7, $G$8)</f>
      </c>
      <c r="C1066" s="12" t="str">
        <f>B1066/$G$8</f>
      </c>
      <c r="D1066" s="12" t="s">
        <v>80</v>
      </c>
    </row>
    <row r="1067">
      <c r="A1067" s="11">
        <v>1063</v>
      </c>
      <c r="B1067" s="11" t="str">
        <f>MOD($G$6*B1066 + $G$7, $G$8)</f>
      </c>
      <c r="C1067" s="11" t="str">
        <f>B1067/$G$8</f>
      </c>
      <c r="D1067" s="11" t="s">
        <v>80</v>
      </c>
    </row>
    <row r="1068">
      <c r="A1068" s="12">
        <v>1064</v>
      </c>
      <c r="B1068" s="12" t="str">
        <f>MOD($G$6*B1067 + $G$7, $G$8)</f>
      </c>
      <c r="C1068" s="12" t="str">
        <f>B1068/$G$8</f>
      </c>
      <c r="D1068" s="12" t="s">
        <v>80</v>
      </c>
    </row>
    <row r="1069">
      <c r="A1069" s="11">
        <v>1065</v>
      </c>
      <c r="B1069" s="11" t="str">
        <f>MOD($G$6*B1068 + $G$7, $G$8)</f>
      </c>
      <c r="C1069" s="11" t="str">
        <f>B1069/$G$8</f>
      </c>
      <c r="D1069" s="11" t="s">
        <v>80</v>
      </c>
    </row>
    <row r="1070">
      <c r="A1070" s="12">
        <v>1066</v>
      </c>
      <c r="B1070" s="12" t="str">
        <f>MOD($G$6*B1069 + $G$7, $G$8)</f>
      </c>
      <c r="C1070" s="12" t="str">
        <f>B1070/$G$8</f>
      </c>
      <c r="D1070" s="12" t="s">
        <v>80</v>
      </c>
    </row>
    <row r="1071">
      <c r="A1071" s="11">
        <v>1067</v>
      </c>
      <c r="B1071" s="11" t="str">
        <f>MOD($G$6*B1070 + $G$7, $G$8)</f>
      </c>
      <c r="C1071" s="11" t="str">
        <f>B1071/$G$8</f>
      </c>
      <c r="D1071" s="11" t="s">
        <v>80</v>
      </c>
    </row>
    <row r="1072">
      <c r="A1072" s="12">
        <v>1068</v>
      </c>
      <c r="B1072" s="12" t="str">
        <f>MOD($G$6*B1071 + $G$7, $G$8)</f>
      </c>
      <c r="C1072" s="12" t="str">
        <f>B1072/$G$8</f>
      </c>
      <c r="D1072" s="12" t="s">
        <v>80</v>
      </c>
    </row>
    <row r="1073">
      <c r="A1073" s="11">
        <v>1069</v>
      </c>
      <c r="B1073" s="11" t="str">
        <f>MOD($G$6*B1072 + $G$7, $G$8)</f>
      </c>
      <c r="C1073" s="11" t="str">
        <f>B1073/$G$8</f>
      </c>
      <c r="D1073" s="11" t="s">
        <v>80</v>
      </c>
    </row>
    <row r="1074">
      <c r="A1074" s="12">
        <v>1070</v>
      </c>
      <c r="B1074" s="12" t="str">
        <f>MOD($G$6*B1073 + $G$7, $G$8)</f>
      </c>
      <c r="C1074" s="12" t="str">
        <f>B1074/$G$8</f>
      </c>
      <c r="D1074" s="12" t="s">
        <v>80</v>
      </c>
    </row>
    <row r="1075">
      <c r="A1075" s="11">
        <v>1071</v>
      </c>
      <c r="B1075" s="11" t="str">
        <f>MOD($G$6*B1074 + $G$7, $G$8)</f>
      </c>
      <c r="C1075" s="11" t="str">
        <f>B1075/$G$8</f>
      </c>
      <c r="D1075" s="11" t="s">
        <v>80</v>
      </c>
    </row>
    <row r="1076">
      <c r="A1076" s="12">
        <v>1072</v>
      </c>
      <c r="B1076" s="12" t="str">
        <f>MOD($G$6*B1075 + $G$7, $G$8)</f>
      </c>
      <c r="C1076" s="12" t="str">
        <f>B1076/$G$8</f>
      </c>
      <c r="D1076" s="12" t="s">
        <v>80</v>
      </c>
    </row>
    <row r="1077">
      <c r="A1077" s="11">
        <v>1073</v>
      </c>
      <c r="B1077" s="11" t="str">
        <f>MOD($G$6*B1076 + $G$7, $G$8)</f>
      </c>
      <c r="C1077" s="11" t="str">
        <f>B1077/$G$8</f>
      </c>
      <c r="D1077" s="11" t="s">
        <v>80</v>
      </c>
    </row>
    <row r="1078">
      <c r="A1078" s="12">
        <v>1074</v>
      </c>
      <c r="B1078" s="12" t="str">
        <f>MOD($G$6*B1077 + $G$7, $G$8)</f>
      </c>
      <c r="C1078" s="12" t="str">
        <f>B1078/$G$8</f>
      </c>
      <c r="D1078" s="12" t="s">
        <v>80</v>
      </c>
    </row>
    <row r="1079">
      <c r="A1079" s="11">
        <v>1075</v>
      </c>
      <c r="B1079" s="11" t="str">
        <f>MOD($G$6*B1078 + $G$7, $G$8)</f>
      </c>
      <c r="C1079" s="11" t="str">
        <f>B1079/$G$8</f>
      </c>
      <c r="D1079" s="11" t="s">
        <v>80</v>
      </c>
    </row>
    <row r="1080">
      <c r="A1080" s="12">
        <v>1076</v>
      </c>
      <c r="B1080" s="12" t="str">
        <f>MOD($G$6*B1079 + $G$7, $G$8)</f>
      </c>
      <c r="C1080" s="12" t="str">
        <f>B1080/$G$8</f>
      </c>
      <c r="D1080" s="12" t="s">
        <v>80</v>
      </c>
    </row>
    <row r="1081">
      <c r="A1081" s="11">
        <v>1077</v>
      </c>
      <c r="B1081" s="11" t="str">
        <f>MOD($G$6*B1080 + $G$7, $G$8)</f>
      </c>
      <c r="C1081" s="11" t="str">
        <f>B1081/$G$8</f>
      </c>
      <c r="D1081" s="11" t="s">
        <v>80</v>
      </c>
    </row>
    <row r="1082">
      <c r="A1082" s="12">
        <v>1078</v>
      </c>
      <c r="B1082" s="12" t="str">
        <f>MOD($G$6*B1081 + $G$7, $G$8)</f>
      </c>
      <c r="C1082" s="12" t="str">
        <f>B1082/$G$8</f>
      </c>
      <c r="D1082" s="12" t="s">
        <v>80</v>
      </c>
    </row>
    <row r="1083">
      <c r="A1083" s="11">
        <v>1079</v>
      </c>
      <c r="B1083" s="11" t="str">
        <f>MOD($G$6*B1082 + $G$7, $G$8)</f>
      </c>
      <c r="C1083" s="11" t="str">
        <f>B1083/$G$8</f>
      </c>
      <c r="D1083" s="11" t="s">
        <v>80</v>
      </c>
    </row>
    <row r="1084">
      <c r="A1084" s="12">
        <v>1080</v>
      </c>
      <c r="B1084" s="12" t="str">
        <f>MOD($G$6*B1083 + $G$7, $G$8)</f>
      </c>
      <c r="C1084" s="12" t="str">
        <f>B1084/$G$8</f>
      </c>
      <c r="D1084" s="12" t="s">
        <v>80</v>
      </c>
    </row>
    <row r="1085">
      <c r="A1085" s="11">
        <v>1081</v>
      </c>
      <c r="B1085" s="11" t="str">
        <f>MOD($G$6*B1084 + $G$7, $G$8)</f>
      </c>
      <c r="C1085" s="11" t="str">
        <f>B1085/$G$8</f>
      </c>
      <c r="D1085" s="11" t="s">
        <v>80</v>
      </c>
    </row>
    <row r="1086">
      <c r="A1086" s="12">
        <v>1082</v>
      </c>
      <c r="B1086" s="12" t="str">
        <f>MOD($G$6*B1085 + $G$7, $G$8)</f>
      </c>
      <c r="C1086" s="12" t="str">
        <f>B1086/$G$8</f>
      </c>
      <c r="D1086" s="12" t="s">
        <v>80</v>
      </c>
    </row>
    <row r="1087">
      <c r="A1087" s="11">
        <v>1083</v>
      </c>
      <c r="B1087" s="11" t="str">
        <f>MOD($G$6*B1086 + $G$7, $G$8)</f>
      </c>
      <c r="C1087" s="11" t="str">
        <f>B1087/$G$8</f>
      </c>
      <c r="D1087" s="11" t="s">
        <v>80</v>
      </c>
    </row>
    <row r="1088">
      <c r="A1088" s="12">
        <v>1084</v>
      </c>
      <c r="B1088" s="12" t="str">
        <f>MOD($G$6*B1087 + $G$7, $G$8)</f>
      </c>
      <c r="C1088" s="12" t="str">
        <f>B1088/$G$8</f>
      </c>
      <c r="D1088" s="12" t="s">
        <v>80</v>
      </c>
    </row>
    <row r="1089">
      <c r="A1089" s="11">
        <v>1085</v>
      </c>
      <c r="B1089" s="11" t="str">
        <f>MOD($G$6*B1088 + $G$7, $G$8)</f>
      </c>
      <c r="C1089" s="11" t="str">
        <f>B1089/$G$8</f>
      </c>
      <c r="D1089" s="11" t="s">
        <v>80</v>
      </c>
    </row>
    <row r="1090">
      <c r="A1090" s="12">
        <v>1086</v>
      </c>
      <c r="B1090" s="12" t="str">
        <f>MOD($G$6*B1089 + $G$7, $G$8)</f>
      </c>
      <c r="C1090" s="12" t="str">
        <f>B1090/$G$8</f>
      </c>
      <c r="D1090" s="12" t="s">
        <v>80</v>
      </c>
    </row>
    <row r="1091">
      <c r="A1091" s="11">
        <v>1087</v>
      </c>
      <c r="B1091" s="11" t="str">
        <f>MOD($G$6*B1090 + $G$7, $G$8)</f>
      </c>
      <c r="C1091" s="11" t="str">
        <f>B1091/$G$8</f>
      </c>
      <c r="D1091" s="11" t="s">
        <v>80</v>
      </c>
    </row>
    <row r="1092">
      <c r="A1092" s="12">
        <v>1088</v>
      </c>
      <c r="B1092" s="12" t="str">
        <f>MOD($G$6*B1091 + $G$7, $G$8)</f>
      </c>
      <c r="C1092" s="12" t="str">
        <f>B1092/$G$8</f>
      </c>
      <c r="D1092" s="12" t="s">
        <v>80</v>
      </c>
    </row>
    <row r="1093">
      <c r="A1093" s="11">
        <v>1089</v>
      </c>
      <c r="B1093" s="11" t="str">
        <f>MOD($G$6*B1092 + $G$7, $G$8)</f>
      </c>
      <c r="C1093" s="11" t="str">
        <f>B1093/$G$8</f>
      </c>
      <c r="D1093" s="11" t="s">
        <v>80</v>
      </c>
    </row>
    <row r="1094">
      <c r="A1094" s="12">
        <v>1090</v>
      </c>
      <c r="B1094" s="12" t="str">
        <f>MOD($G$6*B1093 + $G$7, $G$8)</f>
      </c>
      <c r="C1094" s="12" t="str">
        <f>B1094/$G$8</f>
      </c>
      <c r="D1094" s="12" t="s">
        <v>80</v>
      </c>
    </row>
    <row r="1095">
      <c r="A1095" s="11">
        <v>1091</v>
      </c>
      <c r="B1095" s="11" t="str">
        <f>MOD($G$6*B1094 + $G$7, $G$8)</f>
      </c>
      <c r="C1095" s="11" t="str">
        <f>B1095/$G$8</f>
      </c>
      <c r="D1095" s="11" t="s">
        <v>80</v>
      </c>
    </row>
    <row r="1096">
      <c r="A1096" s="12">
        <v>1092</v>
      </c>
      <c r="B1096" s="12" t="str">
        <f>MOD($G$6*B1095 + $G$7, $G$8)</f>
      </c>
      <c r="C1096" s="12" t="str">
        <f>B1096/$G$8</f>
      </c>
      <c r="D1096" s="12" t="s">
        <v>80</v>
      </c>
    </row>
    <row r="1097">
      <c r="A1097" s="11">
        <v>1093</v>
      </c>
      <c r="B1097" s="11" t="str">
        <f>MOD($G$6*B1096 + $G$7, $G$8)</f>
      </c>
      <c r="C1097" s="11" t="str">
        <f>B1097/$G$8</f>
      </c>
      <c r="D1097" s="11" t="s">
        <v>80</v>
      </c>
    </row>
    <row r="1098">
      <c r="A1098" s="12">
        <v>1094</v>
      </c>
      <c r="B1098" s="12" t="str">
        <f>MOD($G$6*B1097 + $G$7, $G$8)</f>
      </c>
      <c r="C1098" s="12" t="str">
        <f>B1098/$G$8</f>
      </c>
      <c r="D1098" s="12" t="s">
        <v>80</v>
      </c>
    </row>
    <row r="1099">
      <c r="A1099" s="11">
        <v>1095</v>
      </c>
      <c r="B1099" s="11" t="str">
        <f>MOD($G$6*B1098 + $G$7, $G$8)</f>
      </c>
      <c r="C1099" s="11" t="str">
        <f>B1099/$G$8</f>
      </c>
      <c r="D1099" s="11" t="s">
        <v>80</v>
      </c>
    </row>
    <row r="1100">
      <c r="A1100" s="12">
        <v>1096</v>
      </c>
      <c r="B1100" s="12" t="str">
        <f>MOD($G$6*B1099 + $G$7, $G$8)</f>
      </c>
      <c r="C1100" s="12" t="str">
        <f>B1100/$G$8</f>
      </c>
      <c r="D1100" s="12" t="s">
        <v>80</v>
      </c>
    </row>
    <row r="1101">
      <c r="A1101" s="11">
        <v>1097</v>
      </c>
      <c r="B1101" s="11" t="str">
        <f>MOD($G$6*B1100 + $G$7, $G$8)</f>
      </c>
      <c r="C1101" s="11" t="str">
        <f>B1101/$G$8</f>
      </c>
      <c r="D1101" s="11" t="s">
        <v>80</v>
      </c>
    </row>
    <row r="1102">
      <c r="A1102" s="12">
        <v>1098</v>
      </c>
      <c r="B1102" s="12" t="str">
        <f>MOD($G$6*B1101 + $G$7, $G$8)</f>
      </c>
      <c r="C1102" s="12" t="str">
        <f>B1102/$G$8</f>
      </c>
      <c r="D1102" s="12" t="s">
        <v>80</v>
      </c>
    </row>
    <row r="1103">
      <c r="A1103" s="11">
        <v>1099</v>
      </c>
      <c r="B1103" s="11" t="str">
        <f>MOD($G$6*B1102 + $G$7, $G$8)</f>
      </c>
      <c r="C1103" s="11" t="str">
        <f>B1103/$G$8</f>
      </c>
      <c r="D1103" s="11" t="s">
        <v>80</v>
      </c>
    </row>
    <row r="1104">
      <c r="A1104" s="12">
        <v>1100</v>
      </c>
      <c r="B1104" s="12" t="str">
        <f>MOD($G$6*B1103 + $G$7, $G$8)</f>
      </c>
      <c r="C1104" s="12" t="str">
        <f>B1104/$G$8</f>
      </c>
      <c r="D1104" s="12" t="s">
        <v>80</v>
      </c>
    </row>
    <row r="1105">
      <c r="A1105" s="11">
        <v>1101</v>
      </c>
      <c r="B1105" s="11" t="str">
        <f>MOD($G$6*B1104 + $G$7, $G$8)</f>
      </c>
      <c r="C1105" s="11" t="str">
        <f>B1105/$G$8</f>
      </c>
      <c r="D1105" s="11" t="s">
        <v>80</v>
      </c>
    </row>
    <row r="1106">
      <c r="A1106" s="12">
        <v>1102</v>
      </c>
      <c r="B1106" s="12" t="str">
        <f>MOD($G$6*B1105 + $G$7, $G$8)</f>
      </c>
      <c r="C1106" s="12" t="str">
        <f>B1106/$G$8</f>
      </c>
      <c r="D1106" s="12" t="s">
        <v>80</v>
      </c>
    </row>
    <row r="1107">
      <c r="A1107" s="11">
        <v>1103</v>
      </c>
      <c r="B1107" s="11" t="str">
        <f>MOD($G$6*B1106 + $G$7, $G$8)</f>
      </c>
      <c r="C1107" s="11" t="str">
        <f>B1107/$G$8</f>
      </c>
      <c r="D1107" s="11" t="s">
        <v>80</v>
      </c>
    </row>
    <row r="1108">
      <c r="A1108" s="12">
        <v>1104</v>
      </c>
      <c r="B1108" s="12" t="str">
        <f>MOD($G$6*B1107 + $G$7, $G$8)</f>
      </c>
      <c r="C1108" s="12" t="str">
        <f>B1108/$G$8</f>
      </c>
      <c r="D1108" s="12" t="s">
        <v>80</v>
      </c>
    </row>
    <row r="1109">
      <c r="A1109" s="11">
        <v>1105</v>
      </c>
      <c r="B1109" s="11" t="str">
        <f>MOD($G$6*B1108 + $G$7, $G$8)</f>
      </c>
      <c r="C1109" s="11" t="str">
        <f>B1109/$G$8</f>
      </c>
      <c r="D1109" s="11" t="s">
        <v>80</v>
      </c>
    </row>
    <row r="1110">
      <c r="A1110" s="12">
        <v>1106</v>
      </c>
      <c r="B1110" s="12" t="str">
        <f>MOD($G$6*B1109 + $G$7, $G$8)</f>
      </c>
      <c r="C1110" s="12" t="str">
        <f>B1110/$G$8</f>
      </c>
      <c r="D1110" s="12" t="s">
        <v>80</v>
      </c>
    </row>
    <row r="1111">
      <c r="A1111" s="11">
        <v>1107</v>
      </c>
      <c r="B1111" s="11" t="str">
        <f>MOD($G$6*B1110 + $G$7, $G$8)</f>
      </c>
      <c r="C1111" s="11" t="str">
        <f>B1111/$G$8</f>
      </c>
      <c r="D1111" s="11" t="s">
        <v>80</v>
      </c>
    </row>
    <row r="1112">
      <c r="A1112" s="12">
        <v>1108</v>
      </c>
      <c r="B1112" s="12" t="str">
        <f>MOD($G$6*B1111 + $G$7, $G$8)</f>
      </c>
      <c r="C1112" s="12" t="str">
        <f>B1112/$G$8</f>
      </c>
      <c r="D1112" s="12" t="s">
        <v>80</v>
      </c>
    </row>
    <row r="1113">
      <c r="A1113" s="11">
        <v>1109</v>
      </c>
      <c r="B1113" s="11" t="str">
        <f>MOD($G$6*B1112 + $G$7, $G$8)</f>
      </c>
      <c r="C1113" s="11" t="str">
        <f>B1113/$G$8</f>
      </c>
      <c r="D1113" s="11" t="s">
        <v>80</v>
      </c>
    </row>
    <row r="1114">
      <c r="A1114" s="12">
        <v>1110</v>
      </c>
      <c r="B1114" s="12" t="str">
        <f>MOD($G$6*B1113 + $G$7, $G$8)</f>
      </c>
      <c r="C1114" s="12" t="str">
        <f>B1114/$G$8</f>
      </c>
      <c r="D1114" s="12" t="s">
        <v>80</v>
      </c>
    </row>
    <row r="1115">
      <c r="A1115" s="11">
        <v>1111</v>
      </c>
      <c r="B1115" s="11" t="str">
        <f>MOD($G$6*B1114 + $G$7, $G$8)</f>
      </c>
      <c r="C1115" s="11" t="str">
        <f>B1115/$G$8</f>
      </c>
      <c r="D1115" s="11" t="s">
        <v>80</v>
      </c>
    </row>
    <row r="1116">
      <c r="A1116" s="12">
        <v>1112</v>
      </c>
      <c r="B1116" s="12" t="str">
        <f>MOD($G$6*B1115 + $G$7, $G$8)</f>
      </c>
      <c r="C1116" s="12" t="str">
        <f>B1116/$G$8</f>
      </c>
      <c r="D1116" s="12" t="s">
        <v>80</v>
      </c>
    </row>
    <row r="1117">
      <c r="A1117" s="11">
        <v>1113</v>
      </c>
      <c r="B1117" s="11" t="str">
        <f>MOD($G$6*B1116 + $G$7, $G$8)</f>
      </c>
      <c r="C1117" s="11" t="str">
        <f>B1117/$G$8</f>
      </c>
      <c r="D1117" s="11" t="s">
        <v>80</v>
      </c>
    </row>
    <row r="1118">
      <c r="A1118" s="12">
        <v>1114</v>
      </c>
      <c r="B1118" s="12" t="str">
        <f>MOD($G$6*B1117 + $G$7, $G$8)</f>
      </c>
      <c r="C1118" s="12" t="str">
        <f>B1118/$G$8</f>
      </c>
      <c r="D1118" s="12" t="s">
        <v>80</v>
      </c>
    </row>
    <row r="1119">
      <c r="A1119" s="11">
        <v>1115</v>
      </c>
      <c r="B1119" s="11" t="str">
        <f>MOD($G$6*B1118 + $G$7, $G$8)</f>
      </c>
      <c r="C1119" s="11" t="str">
        <f>B1119/$G$8</f>
      </c>
      <c r="D1119" s="11" t="s">
        <v>80</v>
      </c>
    </row>
    <row r="1120">
      <c r="A1120" s="12">
        <v>1116</v>
      </c>
      <c r="B1120" s="12" t="str">
        <f>MOD($G$6*B1119 + $G$7, $G$8)</f>
      </c>
      <c r="C1120" s="12" t="str">
        <f>B1120/$G$8</f>
      </c>
      <c r="D1120" s="12" t="s">
        <v>80</v>
      </c>
    </row>
    <row r="1121">
      <c r="A1121" s="11">
        <v>1117</v>
      </c>
      <c r="B1121" s="11" t="str">
        <f>MOD($G$6*B1120 + $G$7, $G$8)</f>
      </c>
      <c r="C1121" s="11" t="str">
        <f>B1121/$G$8</f>
      </c>
      <c r="D1121" s="11" t="s">
        <v>80</v>
      </c>
    </row>
    <row r="1122">
      <c r="A1122" s="12">
        <v>1118</v>
      </c>
      <c r="B1122" s="12" t="str">
        <f>MOD($G$6*B1121 + $G$7, $G$8)</f>
      </c>
      <c r="C1122" s="12" t="str">
        <f>B1122/$G$8</f>
      </c>
      <c r="D1122" s="12" t="s">
        <v>80</v>
      </c>
    </row>
    <row r="1123">
      <c r="A1123" s="11">
        <v>1119</v>
      </c>
      <c r="B1123" s="11" t="str">
        <f>MOD($G$6*B1122 + $G$7, $G$8)</f>
      </c>
      <c r="C1123" s="11" t="str">
        <f>B1123/$G$8</f>
      </c>
      <c r="D1123" s="11" t="s">
        <v>80</v>
      </c>
    </row>
    <row r="1124">
      <c r="A1124" s="12">
        <v>1120</v>
      </c>
      <c r="B1124" s="12" t="str">
        <f>MOD($G$6*B1123 + $G$7, $G$8)</f>
      </c>
      <c r="C1124" s="12" t="str">
        <f>B1124/$G$8</f>
      </c>
      <c r="D1124" s="12" t="s">
        <v>80</v>
      </c>
    </row>
    <row r="1125">
      <c r="A1125" s="11">
        <v>1121</v>
      </c>
      <c r="B1125" s="11" t="str">
        <f>MOD($G$6*B1124 + $G$7, $G$8)</f>
      </c>
      <c r="C1125" s="11" t="str">
        <f>B1125/$G$8</f>
      </c>
      <c r="D1125" s="11" t="s">
        <v>80</v>
      </c>
    </row>
    <row r="1126">
      <c r="A1126" s="12">
        <v>1122</v>
      </c>
      <c r="B1126" s="12" t="str">
        <f>MOD($G$6*B1125 + $G$7, $G$8)</f>
      </c>
      <c r="C1126" s="12" t="str">
        <f>B1126/$G$8</f>
      </c>
      <c r="D1126" s="12" t="s">
        <v>80</v>
      </c>
    </row>
    <row r="1127">
      <c r="A1127" s="11">
        <v>1123</v>
      </c>
      <c r="B1127" s="11" t="str">
        <f>MOD($G$6*B1126 + $G$7, $G$8)</f>
      </c>
      <c r="C1127" s="11" t="str">
        <f>B1127/$G$8</f>
      </c>
      <c r="D1127" s="11" t="s">
        <v>80</v>
      </c>
    </row>
    <row r="1128">
      <c r="A1128" s="12">
        <v>1124</v>
      </c>
      <c r="B1128" s="12" t="str">
        <f>MOD($G$6*B1127 + $G$7, $G$8)</f>
      </c>
      <c r="C1128" s="12" t="str">
        <f>B1128/$G$8</f>
      </c>
      <c r="D1128" s="12" t="s">
        <v>80</v>
      </c>
    </row>
    <row r="1129">
      <c r="A1129" s="11">
        <v>1125</v>
      </c>
      <c r="B1129" s="11" t="str">
        <f>MOD($G$6*B1128 + $G$7, $G$8)</f>
      </c>
      <c r="C1129" s="11" t="str">
        <f>B1129/$G$8</f>
      </c>
      <c r="D1129" s="11" t="s">
        <v>80</v>
      </c>
    </row>
    <row r="1130">
      <c r="A1130" s="12">
        <v>1126</v>
      </c>
      <c r="B1130" s="12" t="str">
        <f>MOD($G$6*B1129 + $G$7, $G$8)</f>
      </c>
      <c r="C1130" s="12" t="str">
        <f>B1130/$G$8</f>
      </c>
      <c r="D1130" s="12" t="s">
        <v>80</v>
      </c>
    </row>
    <row r="1131">
      <c r="A1131" s="11">
        <v>1127</v>
      </c>
      <c r="B1131" s="11" t="str">
        <f>MOD($G$6*B1130 + $G$7, $G$8)</f>
      </c>
      <c r="C1131" s="11" t="str">
        <f>B1131/$G$8</f>
      </c>
      <c r="D1131" s="11" t="s">
        <v>80</v>
      </c>
    </row>
    <row r="1132">
      <c r="A1132" s="12">
        <v>1128</v>
      </c>
      <c r="B1132" s="12" t="str">
        <f>MOD($G$6*B1131 + $G$7, $G$8)</f>
      </c>
      <c r="C1132" s="12" t="str">
        <f>B1132/$G$8</f>
      </c>
      <c r="D1132" s="12" t="s">
        <v>80</v>
      </c>
    </row>
    <row r="1133">
      <c r="A1133" s="11">
        <v>1129</v>
      </c>
      <c r="B1133" s="11" t="str">
        <f>MOD($G$6*B1132 + $G$7, $G$8)</f>
      </c>
      <c r="C1133" s="11" t="str">
        <f>B1133/$G$8</f>
      </c>
      <c r="D1133" s="11" t="s">
        <v>80</v>
      </c>
    </row>
    <row r="1134">
      <c r="A1134" s="12">
        <v>1130</v>
      </c>
      <c r="B1134" s="12" t="str">
        <f>MOD($G$6*B1133 + $G$7, $G$8)</f>
      </c>
      <c r="C1134" s="12" t="str">
        <f>B1134/$G$8</f>
      </c>
      <c r="D1134" s="12" t="s">
        <v>80</v>
      </c>
    </row>
    <row r="1135">
      <c r="A1135" s="11">
        <v>1131</v>
      </c>
      <c r="B1135" s="11" t="str">
        <f>MOD($G$6*B1134 + $G$7, $G$8)</f>
      </c>
      <c r="C1135" s="11" t="str">
        <f>B1135/$G$8</f>
      </c>
      <c r="D1135" s="11" t="s">
        <v>80</v>
      </c>
    </row>
    <row r="1136">
      <c r="A1136" s="12">
        <v>1132</v>
      </c>
      <c r="B1136" s="12" t="str">
        <f>MOD($G$6*B1135 + $G$7, $G$8)</f>
      </c>
      <c r="C1136" s="12" t="str">
        <f>B1136/$G$8</f>
      </c>
      <c r="D1136" s="12" t="s">
        <v>80</v>
      </c>
    </row>
    <row r="1137">
      <c r="A1137" s="11">
        <v>1133</v>
      </c>
      <c r="B1137" s="11" t="str">
        <f>MOD($G$6*B1136 + $G$7, $G$8)</f>
      </c>
      <c r="C1137" s="11" t="str">
        <f>B1137/$G$8</f>
      </c>
      <c r="D1137" s="11" t="s">
        <v>80</v>
      </c>
    </row>
    <row r="1138">
      <c r="A1138" s="12">
        <v>1134</v>
      </c>
      <c r="B1138" s="12" t="str">
        <f>MOD($G$6*B1137 + $G$7, $G$8)</f>
      </c>
      <c r="C1138" s="12" t="str">
        <f>B1138/$G$8</f>
      </c>
      <c r="D1138" s="12" t="s">
        <v>80</v>
      </c>
    </row>
    <row r="1139">
      <c r="A1139" s="11">
        <v>1135</v>
      </c>
      <c r="B1139" s="11" t="str">
        <f>MOD($G$6*B1138 + $G$7, $G$8)</f>
      </c>
      <c r="C1139" s="11" t="str">
        <f>B1139/$G$8</f>
      </c>
      <c r="D1139" s="11" t="s">
        <v>80</v>
      </c>
    </row>
    <row r="1140">
      <c r="A1140" s="12">
        <v>1136</v>
      </c>
      <c r="B1140" s="12" t="str">
        <f>MOD($G$6*B1139 + $G$7, $G$8)</f>
      </c>
      <c r="C1140" s="12" t="str">
        <f>B1140/$G$8</f>
      </c>
      <c r="D1140" s="12" t="s">
        <v>80</v>
      </c>
    </row>
    <row r="1141">
      <c r="A1141" s="11">
        <v>1137</v>
      </c>
      <c r="B1141" s="11" t="str">
        <f>MOD($G$6*B1140 + $G$7, $G$8)</f>
      </c>
      <c r="C1141" s="11" t="str">
        <f>B1141/$G$8</f>
      </c>
      <c r="D1141" s="11" t="s">
        <v>80</v>
      </c>
    </row>
    <row r="1142">
      <c r="A1142" s="12">
        <v>1138</v>
      </c>
      <c r="B1142" s="12" t="str">
        <f>MOD($G$6*B1141 + $G$7, $G$8)</f>
      </c>
      <c r="C1142" s="12" t="str">
        <f>B1142/$G$8</f>
      </c>
      <c r="D1142" s="12" t="s">
        <v>80</v>
      </c>
    </row>
    <row r="1143">
      <c r="A1143" s="11">
        <v>1139</v>
      </c>
      <c r="B1143" s="11" t="str">
        <f>MOD($G$6*B1142 + $G$7, $G$8)</f>
      </c>
      <c r="C1143" s="11" t="str">
        <f>B1143/$G$8</f>
      </c>
      <c r="D1143" s="11" t="s">
        <v>80</v>
      </c>
    </row>
    <row r="1144">
      <c r="A1144" s="12">
        <v>1140</v>
      </c>
      <c r="B1144" s="12" t="str">
        <f>MOD($G$6*B1143 + $G$7, $G$8)</f>
      </c>
      <c r="C1144" s="12" t="str">
        <f>B1144/$G$8</f>
      </c>
      <c r="D1144" s="12" t="s">
        <v>80</v>
      </c>
    </row>
    <row r="1145">
      <c r="A1145" s="11">
        <v>1141</v>
      </c>
      <c r="B1145" s="11" t="str">
        <f>MOD($G$6*B1144 + $G$7, $G$8)</f>
      </c>
      <c r="C1145" s="11" t="str">
        <f>B1145/$G$8</f>
      </c>
      <c r="D1145" s="11" t="s">
        <v>80</v>
      </c>
    </row>
    <row r="1146">
      <c r="A1146" s="12">
        <v>1142</v>
      </c>
      <c r="B1146" s="12" t="str">
        <f>MOD($G$6*B1145 + $G$7, $G$8)</f>
      </c>
      <c r="C1146" s="12" t="str">
        <f>B1146/$G$8</f>
      </c>
      <c r="D1146" s="12" t="s">
        <v>80</v>
      </c>
    </row>
    <row r="1147">
      <c r="A1147" s="11">
        <v>1143</v>
      </c>
      <c r="B1147" s="11" t="str">
        <f>MOD($G$6*B1146 + $G$7, $G$8)</f>
      </c>
      <c r="C1147" s="11" t="str">
        <f>B1147/$G$8</f>
      </c>
      <c r="D1147" s="11" t="s">
        <v>80</v>
      </c>
    </row>
    <row r="1148">
      <c r="A1148" s="12">
        <v>1144</v>
      </c>
      <c r="B1148" s="12" t="str">
        <f>MOD($G$6*B1147 + $G$7, $G$8)</f>
      </c>
      <c r="C1148" s="12" t="str">
        <f>B1148/$G$8</f>
      </c>
      <c r="D1148" s="12" t="s">
        <v>80</v>
      </c>
    </row>
    <row r="1149">
      <c r="A1149" s="11">
        <v>1145</v>
      </c>
      <c r="B1149" s="11" t="str">
        <f>MOD($G$6*B1148 + $G$7, $G$8)</f>
      </c>
      <c r="C1149" s="11" t="str">
        <f>B1149/$G$8</f>
      </c>
      <c r="D1149" s="11" t="s">
        <v>80</v>
      </c>
    </row>
    <row r="1150">
      <c r="A1150" s="12">
        <v>1146</v>
      </c>
      <c r="B1150" s="12" t="str">
        <f>MOD($G$6*B1149 + $G$7, $G$8)</f>
      </c>
      <c r="C1150" s="12" t="str">
        <f>B1150/$G$8</f>
      </c>
      <c r="D1150" s="12" t="s">
        <v>80</v>
      </c>
    </row>
    <row r="1151">
      <c r="A1151" s="11">
        <v>1147</v>
      </c>
      <c r="B1151" s="11" t="str">
        <f>MOD($G$6*B1150 + $G$7, $G$8)</f>
      </c>
      <c r="C1151" s="11" t="str">
        <f>B1151/$G$8</f>
      </c>
      <c r="D1151" s="11" t="s">
        <v>80</v>
      </c>
    </row>
    <row r="1152">
      <c r="A1152" s="12">
        <v>1148</v>
      </c>
      <c r="B1152" s="12" t="str">
        <f>MOD($G$6*B1151 + $G$7, $G$8)</f>
      </c>
      <c r="C1152" s="12" t="str">
        <f>B1152/$G$8</f>
      </c>
      <c r="D1152" s="12" t="s">
        <v>80</v>
      </c>
    </row>
    <row r="1153">
      <c r="A1153" s="11">
        <v>1149</v>
      </c>
      <c r="B1153" s="11" t="str">
        <f>MOD($G$6*B1152 + $G$7, $G$8)</f>
      </c>
      <c r="C1153" s="11" t="str">
        <f>B1153/$G$8</f>
      </c>
      <c r="D1153" s="11" t="s">
        <v>80</v>
      </c>
    </row>
    <row r="1154">
      <c r="A1154" s="12">
        <v>1150</v>
      </c>
      <c r="B1154" s="12" t="str">
        <f>MOD($G$6*B1153 + $G$7, $G$8)</f>
      </c>
      <c r="C1154" s="12" t="str">
        <f>B1154/$G$8</f>
      </c>
      <c r="D1154" s="12" t="s">
        <v>80</v>
      </c>
    </row>
    <row r="1155">
      <c r="A1155" s="11">
        <v>1151</v>
      </c>
      <c r="B1155" s="11" t="str">
        <f>MOD($G$6*B1154 + $G$7, $G$8)</f>
      </c>
      <c r="C1155" s="11" t="str">
        <f>B1155/$G$8</f>
      </c>
      <c r="D1155" s="11" t="s">
        <v>80</v>
      </c>
    </row>
    <row r="1156">
      <c r="A1156" s="12">
        <v>1152</v>
      </c>
      <c r="B1156" s="12" t="str">
        <f>MOD($G$6*B1155 + $G$7, $G$8)</f>
      </c>
      <c r="C1156" s="12" t="str">
        <f>B1156/$G$8</f>
      </c>
      <c r="D1156" s="12" t="s">
        <v>80</v>
      </c>
    </row>
    <row r="1157">
      <c r="A1157" s="11">
        <v>1153</v>
      </c>
      <c r="B1157" s="11" t="str">
        <f>MOD($G$6*B1156 + $G$7, $G$8)</f>
      </c>
      <c r="C1157" s="11" t="str">
        <f>B1157/$G$8</f>
      </c>
      <c r="D1157" s="11" t="s">
        <v>80</v>
      </c>
    </row>
    <row r="1158">
      <c r="A1158" s="12">
        <v>1154</v>
      </c>
      <c r="B1158" s="12" t="str">
        <f>MOD($G$6*B1157 + $G$7, $G$8)</f>
      </c>
      <c r="C1158" s="12" t="str">
        <f>B1158/$G$8</f>
      </c>
      <c r="D1158" s="12" t="s">
        <v>80</v>
      </c>
    </row>
    <row r="1159">
      <c r="A1159" s="11">
        <v>1155</v>
      </c>
      <c r="B1159" s="11" t="str">
        <f>MOD($G$6*B1158 + $G$7, $G$8)</f>
      </c>
      <c r="C1159" s="11" t="str">
        <f>B1159/$G$8</f>
      </c>
      <c r="D1159" s="11" t="s">
        <v>80</v>
      </c>
    </row>
    <row r="1160">
      <c r="A1160" s="12">
        <v>1156</v>
      </c>
      <c r="B1160" s="12" t="str">
        <f>MOD($G$6*B1159 + $G$7, $G$8)</f>
      </c>
      <c r="C1160" s="12" t="str">
        <f>B1160/$G$8</f>
      </c>
      <c r="D1160" s="12" t="s">
        <v>80</v>
      </c>
    </row>
    <row r="1161">
      <c r="A1161" s="11">
        <v>1157</v>
      </c>
      <c r="B1161" s="11" t="str">
        <f>MOD($G$6*B1160 + $G$7, $G$8)</f>
      </c>
      <c r="C1161" s="11" t="str">
        <f>B1161/$G$8</f>
      </c>
      <c r="D1161" s="11" t="s">
        <v>80</v>
      </c>
    </row>
    <row r="1162">
      <c r="A1162" s="12">
        <v>1158</v>
      </c>
      <c r="B1162" s="12" t="str">
        <f>MOD($G$6*B1161 + $G$7, $G$8)</f>
      </c>
      <c r="C1162" s="12" t="str">
        <f>B1162/$G$8</f>
      </c>
      <c r="D1162" s="12" t="s">
        <v>80</v>
      </c>
    </row>
    <row r="1163">
      <c r="A1163" s="11">
        <v>1159</v>
      </c>
      <c r="B1163" s="11" t="str">
        <f>MOD($G$6*B1162 + $G$7, $G$8)</f>
      </c>
      <c r="C1163" s="11" t="str">
        <f>B1163/$G$8</f>
      </c>
      <c r="D1163" s="11" t="s">
        <v>80</v>
      </c>
    </row>
    <row r="1164">
      <c r="A1164" s="12">
        <v>1160</v>
      </c>
      <c r="B1164" s="12" t="str">
        <f>MOD($G$6*B1163 + $G$7, $G$8)</f>
      </c>
      <c r="C1164" s="12" t="str">
        <f>B1164/$G$8</f>
      </c>
      <c r="D1164" s="12" t="s">
        <v>80</v>
      </c>
    </row>
    <row r="1165">
      <c r="A1165" s="11">
        <v>1161</v>
      </c>
      <c r="B1165" s="11" t="str">
        <f>MOD($G$6*B1164 + $G$7, $G$8)</f>
      </c>
      <c r="C1165" s="11" t="str">
        <f>B1165/$G$8</f>
      </c>
      <c r="D1165" s="11" t="s">
        <v>80</v>
      </c>
    </row>
    <row r="1166">
      <c r="A1166" s="12">
        <v>1162</v>
      </c>
      <c r="B1166" s="12" t="str">
        <f>MOD($G$6*B1165 + $G$7, $G$8)</f>
      </c>
      <c r="C1166" s="12" t="str">
        <f>B1166/$G$8</f>
      </c>
      <c r="D1166" s="12" t="s">
        <v>80</v>
      </c>
    </row>
    <row r="1167">
      <c r="A1167" s="11">
        <v>1163</v>
      </c>
      <c r="B1167" s="11" t="str">
        <f>MOD($G$6*B1166 + $G$7, $G$8)</f>
      </c>
      <c r="C1167" s="11" t="str">
        <f>B1167/$G$8</f>
      </c>
      <c r="D1167" s="11" t="s">
        <v>80</v>
      </c>
    </row>
    <row r="1168">
      <c r="A1168" s="12">
        <v>1164</v>
      </c>
      <c r="B1168" s="12" t="str">
        <f>MOD($G$6*B1167 + $G$7, $G$8)</f>
      </c>
      <c r="C1168" s="12" t="str">
        <f>B1168/$G$8</f>
      </c>
      <c r="D1168" s="12" t="s">
        <v>80</v>
      </c>
    </row>
    <row r="1169">
      <c r="A1169" s="11">
        <v>1165</v>
      </c>
      <c r="B1169" s="11" t="str">
        <f>MOD($G$6*B1168 + $G$7, $G$8)</f>
      </c>
      <c r="C1169" s="11" t="str">
        <f>B1169/$G$8</f>
      </c>
      <c r="D1169" s="11" t="s">
        <v>80</v>
      </c>
    </row>
    <row r="1170">
      <c r="A1170" s="12">
        <v>1166</v>
      </c>
      <c r="B1170" s="12" t="str">
        <f>MOD($G$6*B1169 + $G$7, $G$8)</f>
      </c>
      <c r="C1170" s="12" t="str">
        <f>B1170/$G$8</f>
      </c>
      <c r="D1170" s="12" t="s">
        <v>80</v>
      </c>
    </row>
    <row r="1171">
      <c r="A1171" s="11">
        <v>1167</v>
      </c>
      <c r="B1171" s="11" t="str">
        <f>MOD($G$6*B1170 + $G$7, $G$8)</f>
      </c>
      <c r="C1171" s="11" t="str">
        <f>B1171/$G$8</f>
      </c>
      <c r="D1171" s="11" t="s">
        <v>80</v>
      </c>
    </row>
    <row r="1172">
      <c r="A1172" s="12">
        <v>1168</v>
      </c>
      <c r="B1172" s="12" t="str">
        <f>MOD($G$6*B1171 + $G$7, $G$8)</f>
      </c>
      <c r="C1172" s="12" t="str">
        <f>B1172/$G$8</f>
      </c>
      <c r="D1172" s="12" t="s">
        <v>80</v>
      </c>
    </row>
    <row r="1173">
      <c r="A1173" s="11">
        <v>1169</v>
      </c>
      <c r="B1173" s="11" t="str">
        <f>MOD($G$6*B1172 + $G$7, $G$8)</f>
      </c>
      <c r="C1173" s="11" t="str">
        <f>B1173/$G$8</f>
      </c>
      <c r="D1173" s="11" t="s">
        <v>80</v>
      </c>
    </row>
    <row r="1174">
      <c r="A1174" s="12">
        <v>1170</v>
      </c>
      <c r="B1174" s="12" t="str">
        <f>MOD($G$6*B1173 + $G$7, $G$8)</f>
      </c>
      <c r="C1174" s="12" t="str">
        <f>B1174/$G$8</f>
      </c>
      <c r="D1174" s="12" t="s">
        <v>80</v>
      </c>
    </row>
    <row r="1175">
      <c r="A1175" s="11">
        <v>1171</v>
      </c>
      <c r="B1175" s="11" t="str">
        <f>MOD($G$6*B1174 + $G$7, $G$8)</f>
      </c>
      <c r="C1175" s="11" t="str">
        <f>B1175/$G$8</f>
      </c>
      <c r="D1175" s="11" t="s">
        <v>80</v>
      </c>
    </row>
    <row r="1176">
      <c r="A1176" s="12">
        <v>1172</v>
      </c>
      <c r="B1176" s="12" t="str">
        <f>MOD($G$6*B1175 + $G$7, $G$8)</f>
      </c>
      <c r="C1176" s="12" t="str">
        <f>B1176/$G$8</f>
      </c>
      <c r="D1176" s="12" t="s">
        <v>80</v>
      </c>
    </row>
    <row r="1177">
      <c r="A1177" s="11">
        <v>1173</v>
      </c>
      <c r="B1177" s="11" t="str">
        <f>MOD($G$6*B1176 + $G$7, $G$8)</f>
      </c>
      <c r="C1177" s="11" t="str">
        <f>B1177/$G$8</f>
      </c>
      <c r="D1177" s="11" t="s">
        <v>80</v>
      </c>
    </row>
    <row r="1178">
      <c r="A1178" s="12">
        <v>1174</v>
      </c>
      <c r="B1178" s="12" t="str">
        <f>MOD($G$6*B1177 + $G$7, $G$8)</f>
      </c>
      <c r="C1178" s="12" t="str">
        <f>B1178/$G$8</f>
      </c>
      <c r="D1178" s="12" t="s">
        <v>80</v>
      </c>
    </row>
    <row r="1179">
      <c r="A1179" s="11">
        <v>1175</v>
      </c>
      <c r="B1179" s="11" t="str">
        <f>MOD($G$6*B1178 + $G$7, $G$8)</f>
      </c>
      <c r="C1179" s="11" t="str">
        <f>B1179/$G$8</f>
      </c>
      <c r="D1179" s="11" t="s">
        <v>80</v>
      </c>
    </row>
    <row r="1180">
      <c r="A1180" s="12">
        <v>1176</v>
      </c>
      <c r="B1180" s="12" t="str">
        <f>MOD($G$6*B1179 + $G$7, $G$8)</f>
      </c>
      <c r="C1180" s="12" t="str">
        <f>B1180/$G$8</f>
      </c>
      <c r="D1180" s="12" t="s">
        <v>80</v>
      </c>
    </row>
    <row r="1181">
      <c r="A1181" s="11">
        <v>1177</v>
      </c>
      <c r="B1181" s="11" t="str">
        <f>MOD($G$6*B1180 + $G$7, $G$8)</f>
      </c>
      <c r="C1181" s="11" t="str">
        <f>B1181/$G$8</f>
      </c>
      <c r="D1181" s="11" t="s">
        <v>80</v>
      </c>
    </row>
    <row r="1182">
      <c r="A1182" s="12">
        <v>1178</v>
      </c>
      <c r="B1182" s="12" t="str">
        <f>MOD($G$6*B1181 + $G$7, $G$8)</f>
      </c>
      <c r="C1182" s="12" t="str">
        <f>B1182/$G$8</f>
      </c>
      <c r="D1182" s="12" t="s">
        <v>80</v>
      </c>
    </row>
    <row r="1183">
      <c r="A1183" s="11">
        <v>1179</v>
      </c>
      <c r="B1183" s="11" t="str">
        <f>MOD($G$6*B1182 + $G$7, $G$8)</f>
      </c>
      <c r="C1183" s="11" t="str">
        <f>B1183/$G$8</f>
      </c>
      <c r="D1183" s="11" t="s">
        <v>80</v>
      </c>
    </row>
    <row r="1184">
      <c r="A1184" s="12">
        <v>1180</v>
      </c>
      <c r="B1184" s="12" t="str">
        <f>MOD($G$6*B1183 + $G$7, $G$8)</f>
      </c>
      <c r="C1184" s="12" t="str">
        <f>B1184/$G$8</f>
      </c>
      <c r="D1184" s="12" t="s">
        <v>80</v>
      </c>
    </row>
    <row r="1185">
      <c r="A1185" s="11">
        <v>1181</v>
      </c>
      <c r="B1185" s="11" t="str">
        <f>MOD($G$6*B1184 + $G$7, $G$8)</f>
      </c>
      <c r="C1185" s="11" t="str">
        <f>B1185/$G$8</f>
      </c>
      <c r="D1185" s="11" t="s">
        <v>80</v>
      </c>
    </row>
    <row r="1186">
      <c r="A1186" s="12">
        <v>1182</v>
      </c>
      <c r="B1186" s="12" t="str">
        <f>MOD($G$6*B1185 + $G$7, $G$8)</f>
      </c>
      <c r="C1186" s="12" t="str">
        <f>B1186/$G$8</f>
      </c>
      <c r="D1186" s="12" t="s">
        <v>80</v>
      </c>
    </row>
    <row r="1187">
      <c r="A1187" s="11">
        <v>1183</v>
      </c>
      <c r="B1187" s="11" t="str">
        <f>MOD($G$6*B1186 + $G$7, $G$8)</f>
      </c>
      <c r="C1187" s="11" t="str">
        <f>B1187/$G$8</f>
      </c>
      <c r="D1187" s="11" t="s">
        <v>80</v>
      </c>
    </row>
    <row r="1188">
      <c r="A1188" s="12">
        <v>1184</v>
      </c>
      <c r="B1188" s="12" t="str">
        <f>MOD($G$6*B1187 + $G$7, $G$8)</f>
      </c>
      <c r="C1188" s="12" t="str">
        <f>B1188/$G$8</f>
      </c>
      <c r="D1188" s="12" t="s">
        <v>80</v>
      </c>
    </row>
    <row r="1189">
      <c r="A1189" s="11">
        <v>1185</v>
      </c>
      <c r="B1189" s="11" t="str">
        <f>MOD($G$6*B1188 + $G$7, $G$8)</f>
      </c>
      <c r="C1189" s="11" t="str">
        <f>B1189/$G$8</f>
      </c>
      <c r="D1189" s="11" t="s">
        <v>80</v>
      </c>
    </row>
    <row r="1190">
      <c r="A1190" s="12">
        <v>1186</v>
      </c>
      <c r="B1190" s="12" t="str">
        <f>MOD($G$6*B1189 + $G$7, $G$8)</f>
      </c>
      <c r="C1190" s="12" t="str">
        <f>B1190/$G$8</f>
      </c>
      <c r="D1190" s="12" t="s">
        <v>80</v>
      </c>
    </row>
    <row r="1191">
      <c r="A1191" s="11">
        <v>1187</v>
      </c>
      <c r="B1191" s="11" t="str">
        <f>MOD($G$6*B1190 + $G$7, $G$8)</f>
      </c>
      <c r="C1191" s="11" t="str">
        <f>B1191/$G$8</f>
      </c>
      <c r="D1191" s="11" t="s">
        <v>80</v>
      </c>
    </row>
    <row r="1192">
      <c r="A1192" s="12">
        <v>1188</v>
      </c>
      <c r="B1192" s="12" t="str">
        <f>MOD($G$6*B1191 + $G$7, $G$8)</f>
      </c>
      <c r="C1192" s="12" t="str">
        <f>B1192/$G$8</f>
      </c>
      <c r="D1192" s="12" t="s">
        <v>80</v>
      </c>
    </row>
    <row r="1193">
      <c r="A1193" s="11">
        <v>1189</v>
      </c>
      <c r="B1193" s="11" t="str">
        <f>MOD($G$6*B1192 + $G$7, $G$8)</f>
      </c>
      <c r="C1193" s="11" t="str">
        <f>B1193/$G$8</f>
      </c>
      <c r="D1193" s="11" t="s">
        <v>80</v>
      </c>
    </row>
    <row r="1194">
      <c r="A1194" s="12">
        <v>1190</v>
      </c>
      <c r="B1194" s="12" t="str">
        <f>MOD($G$6*B1193 + $G$7, $G$8)</f>
      </c>
      <c r="C1194" s="12" t="str">
        <f>B1194/$G$8</f>
      </c>
      <c r="D1194" s="12" t="s">
        <v>80</v>
      </c>
    </row>
    <row r="1195">
      <c r="A1195" s="11">
        <v>1191</v>
      </c>
      <c r="B1195" s="11" t="str">
        <f>MOD($G$6*B1194 + $G$7, $G$8)</f>
      </c>
      <c r="C1195" s="11" t="str">
        <f>B1195/$G$8</f>
      </c>
      <c r="D1195" s="11" t="s">
        <v>80</v>
      </c>
    </row>
    <row r="1196">
      <c r="A1196" s="12">
        <v>1192</v>
      </c>
      <c r="B1196" s="12" t="str">
        <f>MOD($G$6*B1195 + $G$7, $G$8)</f>
      </c>
      <c r="C1196" s="12" t="str">
        <f>B1196/$G$8</f>
      </c>
      <c r="D1196" s="12" t="s">
        <v>80</v>
      </c>
    </row>
    <row r="1197">
      <c r="A1197" s="11">
        <v>1193</v>
      </c>
      <c r="B1197" s="11" t="str">
        <f>MOD($G$6*B1196 + $G$7, $G$8)</f>
      </c>
      <c r="C1197" s="11" t="str">
        <f>B1197/$G$8</f>
      </c>
      <c r="D1197" s="11" t="s">
        <v>80</v>
      </c>
    </row>
    <row r="1198">
      <c r="A1198" s="12">
        <v>1194</v>
      </c>
      <c r="B1198" s="12" t="str">
        <f>MOD($G$6*B1197 + $G$7, $G$8)</f>
      </c>
      <c r="C1198" s="12" t="str">
        <f>B1198/$G$8</f>
      </c>
      <c r="D1198" s="12" t="s">
        <v>80</v>
      </c>
    </row>
    <row r="1199">
      <c r="A1199" s="11">
        <v>1195</v>
      </c>
      <c r="B1199" s="11" t="str">
        <f>MOD($G$6*B1198 + $G$7, $G$8)</f>
      </c>
      <c r="C1199" s="11" t="str">
        <f>B1199/$G$8</f>
      </c>
      <c r="D1199" s="11" t="s">
        <v>80</v>
      </c>
    </row>
    <row r="1200">
      <c r="A1200" s="12">
        <v>1196</v>
      </c>
      <c r="B1200" s="12" t="str">
        <f>MOD($G$6*B1199 + $G$7, $G$8)</f>
      </c>
      <c r="C1200" s="12" t="str">
        <f>B1200/$G$8</f>
      </c>
      <c r="D1200" s="12" t="s">
        <v>80</v>
      </c>
    </row>
    <row r="1201">
      <c r="A1201" s="11">
        <v>1197</v>
      </c>
      <c r="B1201" s="11" t="str">
        <f>MOD($G$6*B1200 + $G$7, $G$8)</f>
      </c>
      <c r="C1201" s="11" t="str">
        <f>B1201/$G$8</f>
      </c>
      <c r="D1201" s="11" t="s">
        <v>80</v>
      </c>
    </row>
    <row r="1202">
      <c r="A1202" s="12">
        <v>1198</v>
      </c>
      <c r="B1202" s="12" t="str">
        <f>MOD($G$6*B1201 + $G$7, $G$8)</f>
      </c>
      <c r="C1202" s="12" t="str">
        <f>B1202/$G$8</f>
      </c>
      <c r="D1202" s="12" t="s">
        <v>80</v>
      </c>
    </row>
    <row r="1203">
      <c r="A1203" s="11">
        <v>1199</v>
      </c>
      <c r="B1203" s="11" t="str">
        <f>MOD($G$6*B1202 + $G$7, $G$8)</f>
      </c>
      <c r="C1203" s="11" t="str">
        <f>B1203/$G$8</f>
      </c>
      <c r="D1203" s="11" t="s">
        <v>80</v>
      </c>
    </row>
    <row r="1204">
      <c r="A1204" s="12">
        <v>1200</v>
      </c>
      <c r="B1204" s="12" t="str">
        <f>MOD($G$6*B1203 + $G$7, $G$8)</f>
      </c>
      <c r="C1204" s="12" t="str">
        <f>B1204/$G$8</f>
      </c>
      <c r="D1204" s="12" t="s">
        <v>80</v>
      </c>
    </row>
    <row r="1205">
      <c r="A1205" s="11">
        <v>1201</v>
      </c>
      <c r="B1205" s="11" t="str">
        <f>MOD($G$6*B1204 + $G$7, $G$8)</f>
      </c>
      <c r="C1205" s="11" t="str">
        <f>B1205/$G$8</f>
      </c>
      <c r="D1205" s="11" t="s">
        <v>80</v>
      </c>
    </row>
    <row r="1206">
      <c r="A1206" s="12">
        <v>1202</v>
      </c>
      <c r="B1206" s="12" t="str">
        <f>MOD($G$6*B1205 + $G$7, $G$8)</f>
      </c>
      <c r="C1206" s="12" t="str">
        <f>B1206/$G$8</f>
      </c>
      <c r="D1206" s="12" t="s">
        <v>80</v>
      </c>
    </row>
    <row r="1207">
      <c r="A1207" s="11">
        <v>1203</v>
      </c>
      <c r="B1207" s="11" t="str">
        <f>MOD($G$6*B1206 + $G$7, $G$8)</f>
      </c>
      <c r="C1207" s="11" t="str">
        <f>B1207/$G$8</f>
      </c>
      <c r="D1207" s="11" t="s">
        <v>80</v>
      </c>
    </row>
    <row r="1208">
      <c r="A1208" s="12">
        <v>1204</v>
      </c>
      <c r="B1208" s="12" t="str">
        <f>MOD($G$6*B1207 + $G$7, $G$8)</f>
      </c>
      <c r="C1208" s="12" t="str">
        <f>B1208/$G$8</f>
      </c>
      <c r="D1208" s="12" t="s">
        <v>80</v>
      </c>
    </row>
    <row r="1209">
      <c r="A1209" s="11">
        <v>1205</v>
      </c>
      <c r="B1209" s="11" t="str">
        <f>MOD($G$6*B1208 + $G$7, $G$8)</f>
      </c>
      <c r="C1209" s="11" t="str">
        <f>B1209/$G$8</f>
      </c>
      <c r="D1209" s="11" t="s">
        <v>80</v>
      </c>
    </row>
    <row r="1210">
      <c r="A1210" s="12">
        <v>1206</v>
      </c>
      <c r="B1210" s="12" t="str">
        <f>MOD($G$6*B1209 + $G$7, $G$8)</f>
      </c>
      <c r="C1210" s="12" t="str">
        <f>B1210/$G$8</f>
      </c>
      <c r="D1210" s="12" t="s">
        <v>80</v>
      </c>
    </row>
    <row r="1211">
      <c r="A1211" s="11">
        <v>1207</v>
      </c>
      <c r="B1211" s="11" t="str">
        <f>MOD($G$6*B1210 + $G$7, $G$8)</f>
      </c>
      <c r="C1211" s="11" t="str">
        <f>B1211/$G$8</f>
      </c>
      <c r="D1211" s="11" t="s">
        <v>80</v>
      </c>
    </row>
    <row r="1212">
      <c r="A1212" s="12">
        <v>1208</v>
      </c>
      <c r="B1212" s="12" t="str">
        <f>MOD($G$6*B1211 + $G$7, $G$8)</f>
      </c>
      <c r="C1212" s="12" t="str">
        <f>B1212/$G$8</f>
      </c>
      <c r="D1212" s="12" t="s">
        <v>80</v>
      </c>
    </row>
    <row r="1213">
      <c r="A1213" s="11">
        <v>1209</v>
      </c>
      <c r="B1213" s="11" t="str">
        <f>MOD($G$6*B1212 + $G$7, $G$8)</f>
      </c>
      <c r="C1213" s="11" t="str">
        <f>B1213/$G$8</f>
      </c>
      <c r="D1213" s="11" t="s">
        <v>80</v>
      </c>
    </row>
    <row r="1214">
      <c r="A1214" s="12">
        <v>1210</v>
      </c>
      <c r="B1214" s="12" t="str">
        <f>MOD($G$6*B1213 + $G$7, $G$8)</f>
      </c>
      <c r="C1214" s="12" t="str">
        <f>B1214/$G$8</f>
      </c>
      <c r="D1214" s="12" t="s">
        <v>80</v>
      </c>
    </row>
    <row r="1215">
      <c r="A1215" s="11">
        <v>1211</v>
      </c>
      <c r="B1215" s="11" t="str">
        <f>MOD($G$6*B1214 + $G$7, $G$8)</f>
      </c>
      <c r="C1215" s="11" t="str">
        <f>B1215/$G$8</f>
      </c>
      <c r="D1215" s="11" t="s">
        <v>80</v>
      </c>
    </row>
    <row r="1216">
      <c r="A1216" s="12">
        <v>1212</v>
      </c>
      <c r="B1216" s="12" t="str">
        <f>MOD($G$6*B1215 + $G$7, $G$8)</f>
      </c>
      <c r="C1216" s="12" t="str">
        <f>B1216/$G$8</f>
      </c>
      <c r="D1216" s="12" t="s">
        <v>80</v>
      </c>
    </row>
    <row r="1217">
      <c r="A1217" s="11">
        <v>1213</v>
      </c>
      <c r="B1217" s="11" t="str">
        <f>MOD($G$6*B1216 + $G$7, $G$8)</f>
      </c>
      <c r="C1217" s="11" t="str">
        <f>B1217/$G$8</f>
      </c>
      <c r="D1217" s="11" t="s">
        <v>80</v>
      </c>
    </row>
    <row r="1218">
      <c r="A1218" s="12">
        <v>1214</v>
      </c>
      <c r="B1218" s="12" t="str">
        <f>MOD($G$6*B1217 + $G$7, $G$8)</f>
      </c>
      <c r="C1218" s="12" t="str">
        <f>B1218/$G$8</f>
      </c>
      <c r="D1218" s="12" t="s">
        <v>80</v>
      </c>
    </row>
    <row r="1219">
      <c r="A1219" s="11">
        <v>1215</v>
      </c>
      <c r="B1219" s="11" t="str">
        <f>MOD($G$6*B1218 + $G$7, $G$8)</f>
      </c>
      <c r="C1219" s="11" t="str">
        <f>B1219/$G$8</f>
      </c>
      <c r="D1219" s="11" t="s">
        <v>80</v>
      </c>
    </row>
    <row r="1220">
      <c r="A1220" s="12">
        <v>1216</v>
      </c>
      <c r="B1220" s="12" t="str">
        <f>MOD($G$6*B1219 + $G$7, $G$8)</f>
      </c>
      <c r="C1220" s="12" t="str">
        <f>B1220/$G$8</f>
      </c>
      <c r="D1220" s="12" t="s">
        <v>80</v>
      </c>
    </row>
    <row r="1221">
      <c r="A1221" s="11">
        <v>1217</v>
      </c>
      <c r="B1221" s="11" t="str">
        <f>MOD($G$6*B1220 + $G$7, $G$8)</f>
      </c>
      <c r="C1221" s="11" t="str">
        <f>B1221/$G$8</f>
      </c>
      <c r="D1221" s="11" t="s">
        <v>80</v>
      </c>
    </row>
    <row r="1222">
      <c r="A1222" s="12">
        <v>1218</v>
      </c>
      <c r="B1222" s="12" t="str">
        <f>MOD($G$6*B1221 + $G$7, $G$8)</f>
      </c>
      <c r="C1222" s="12" t="str">
        <f>B1222/$G$8</f>
      </c>
      <c r="D1222" s="12" t="s">
        <v>80</v>
      </c>
    </row>
    <row r="1223">
      <c r="A1223" s="11">
        <v>1219</v>
      </c>
      <c r="B1223" s="11" t="str">
        <f>MOD($G$6*B1222 + $G$7, $G$8)</f>
      </c>
      <c r="C1223" s="11" t="str">
        <f>B1223/$G$8</f>
      </c>
      <c r="D1223" s="11" t="s">
        <v>80</v>
      </c>
    </row>
    <row r="1224">
      <c r="A1224" s="12">
        <v>1220</v>
      </c>
      <c r="B1224" s="12" t="str">
        <f>MOD($G$6*B1223 + $G$7, $G$8)</f>
      </c>
      <c r="C1224" s="12" t="str">
        <f>B1224/$G$8</f>
      </c>
      <c r="D1224" s="12" t="s">
        <v>80</v>
      </c>
    </row>
    <row r="1225">
      <c r="A1225" s="11">
        <v>1221</v>
      </c>
      <c r="B1225" s="11" t="str">
        <f>MOD($G$6*B1224 + $G$7, $G$8)</f>
      </c>
      <c r="C1225" s="11" t="str">
        <f>B1225/$G$8</f>
      </c>
      <c r="D1225" s="11" t="s">
        <v>80</v>
      </c>
    </row>
    <row r="1226">
      <c r="A1226" s="12">
        <v>1222</v>
      </c>
      <c r="B1226" s="12" t="str">
        <f>MOD($G$6*B1225 + $G$7, $G$8)</f>
      </c>
      <c r="C1226" s="12" t="str">
        <f>B1226/$G$8</f>
      </c>
      <c r="D1226" s="12" t="s">
        <v>80</v>
      </c>
    </row>
    <row r="1227">
      <c r="A1227" s="11">
        <v>1223</v>
      </c>
      <c r="B1227" s="11" t="str">
        <f>MOD($G$6*B1226 + $G$7, $G$8)</f>
      </c>
      <c r="C1227" s="11" t="str">
        <f>B1227/$G$8</f>
      </c>
      <c r="D1227" s="11" t="s">
        <v>80</v>
      </c>
    </row>
    <row r="1228">
      <c r="A1228" s="12">
        <v>1224</v>
      </c>
      <c r="B1228" s="12" t="str">
        <f>MOD($G$6*B1227 + $G$7, $G$8)</f>
      </c>
      <c r="C1228" s="12" t="str">
        <f>B1228/$G$8</f>
      </c>
      <c r="D1228" s="12" t="s">
        <v>80</v>
      </c>
    </row>
    <row r="1229">
      <c r="A1229" s="11">
        <v>1225</v>
      </c>
      <c r="B1229" s="11" t="str">
        <f>MOD($G$6*B1228 + $G$7, $G$8)</f>
      </c>
      <c r="C1229" s="11" t="str">
        <f>B1229/$G$8</f>
      </c>
      <c r="D1229" s="11" t="s">
        <v>80</v>
      </c>
    </row>
    <row r="1230">
      <c r="A1230" s="12">
        <v>1226</v>
      </c>
      <c r="B1230" s="12" t="str">
        <f>MOD($G$6*B1229 + $G$7, $G$8)</f>
      </c>
      <c r="C1230" s="12" t="str">
        <f>B1230/$G$8</f>
      </c>
      <c r="D1230" s="12" t="s">
        <v>80</v>
      </c>
    </row>
    <row r="1231">
      <c r="A1231" s="11">
        <v>1227</v>
      </c>
      <c r="B1231" s="11" t="str">
        <f>MOD($G$6*B1230 + $G$7, $G$8)</f>
      </c>
      <c r="C1231" s="11" t="str">
        <f>B1231/$G$8</f>
      </c>
      <c r="D1231" s="11" t="s">
        <v>80</v>
      </c>
    </row>
    <row r="1232">
      <c r="A1232" s="12">
        <v>1228</v>
      </c>
      <c r="B1232" s="12" t="str">
        <f>MOD($G$6*B1231 + $G$7, $G$8)</f>
      </c>
      <c r="C1232" s="12" t="str">
        <f>B1232/$G$8</f>
      </c>
      <c r="D1232" s="12" t="s">
        <v>80</v>
      </c>
    </row>
    <row r="1233">
      <c r="A1233" s="11">
        <v>1229</v>
      </c>
      <c r="B1233" s="11" t="str">
        <f>MOD($G$6*B1232 + $G$7, $G$8)</f>
      </c>
      <c r="C1233" s="11" t="str">
        <f>B1233/$G$8</f>
      </c>
      <c r="D1233" s="11" t="s">
        <v>80</v>
      </c>
    </row>
    <row r="1234">
      <c r="A1234" s="12">
        <v>1230</v>
      </c>
      <c r="B1234" s="12" t="str">
        <f>MOD($G$6*B1233 + $G$7, $G$8)</f>
      </c>
      <c r="C1234" s="12" t="str">
        <f>B1234/$G$8</f>
      </c>
      <c r="D1234" s="12" t="s">
        <v>80</v>
      </c>
    </row>
    <row r="1235">
      <c r="A1235" s="11">
        <v>1231</v>
      </c>
      <c r="B1235" s="11" t="str">
        <f>MOD($G$6*B1234 + $G$7, $G$8)</f>
      </c>
      <c r="C1235" s="11" t="str">
        <f>B1235/$G$8</f>
      </c>
      <c r="D1235" s="11" t="s">
        <v>80</v>
      </c>
    </row>
    <row r="1236">
      <c r="A1236" s="12">
        <v>1232</v>
      </c>
      <c r="B1236" s="12" t="str">
        <f>MOD($G$6*B1235 + $G$7, $G$8)</f>
      </c>
      <c r="C1236" s="12" t="str">
        <f>B1236/$G$8</f>
      </c>
      <c r="D1236" s="12" t="s">
        <v>80</v>
      </c>
    </row>
    <row r="1237">
      <c r="A1237" s="11">
        <v>1233</v>
      </c>
      <c r="B1237" s="11" t="str">
        <f>MOD($G$6*B1236 + $G$7, $G$8)</f>
      </c>
      <c r="C1237" s="11" t="str">
        <f>B1237/$G$8</f>
      </c>
      <c r="D1237" s="11" t="s">
        <v>80</v>
      </c>
    </row>
    <row r="1238">
      <c r="A1238" s="12">
        <v>1234</v>
      </c>
      <c r="B1238" s="12" t="str">
        <f>MOD($G$6*B1237 + $G$7, $G$8)</f>
      </c>
      <c r="C1238" s="12" t="str">
        <f>B1238/$G$8</f>
      </c>
      <c r="D1238" s="12" t="s">
        <v>80</v>
      </c>
    </row>
    <row r="1239">
      <c r="A1239" s="11">
        <v>1235</v>
      </c>
      <c r="B1239" s="11" t="str">
        <f>MOD($G$6*B1238 + $G$7, $G$8)</f>
      </c>
      <c r="C1239" s="11" t="str">
        <f>B1239/$G$8</f>
      </c>
      <c r="D1239" s="11" t="s">
        <v>80</v>
      </c>
    </row>
    <row r="1240">
      <c r="A1240" s="12">
        <v>1236</v>
      </c>
      <c r="B1240" s="12" t="str">
        <f>MOD($G$6*B1239 + $G$7, $G$8)</f>
      </c>
      <c r="C1240" s="12" t="str">
        <f>B1240/$G$8</f>
      </c>
      <c r="D1240" s="12" t="s">
        <v>80</v>
      </c>
    </row>
    <row r="1241">
      <c r="A1241" s="11">
        <v>1237</v>
      </c>
      <c r="B1241" s="11" t="str">
        <f>MOD($G$6*B1240 + $G$7, $G$8)</f>
      </c>
      <c r="C1241" s="11" t="str">
        <f>B1241/$G$8</f>
      </c>
      <c r="D1241" s="11" t="s">
        <v>80</v>
      </c>
    </row>
    <row r="1242">
      <c r="A1242" s="12">
        <v>1238</v>
      </c>
      <c r="B1242" s="12" t="str">
        <f>MOD($G$6*B1241 + $G$7, $G$8)</f>
      </c>
      <c r="C1242" s="12" t="str">
        <f>B1242/$G$8</f>
      </c>
      <c r="D1242" s="12" t="s">
        <v>80</v>
      </c>
    </row>
    <row r="1243">
      <c r="A1243" s="11">
        <v>1239</v>
      </c>
      <c r="B1243" s="11" t="str">
        <f>MOD($G$6*B1242 + $G$7, $G$8)</f>
      </c>
      <c r="C1243" s="11" t="str">
        <f>B1243/$G$8</f>
      </c>
      <c r="D1243" s="11" t="s">
        <v>80</v>
      </c>
    </row>
    <row r="1244">
      <c r="A1244" s="12">
        <v>1240</v>
      </c>
      <c r="B1244" s="12" t="str">
        <f>MOD($G$6*B1243 + $G$7, $G$8)</f>
      </c>
      <c r="C1244" s="12" t="str">
        <f>B1244/$G$8</f>
      </c>
      <c r="D1244" s="12" t="s">
        <v>80</v>
      </c>
    </row>
    <row r="1245">
      <c r="A1245" s="11">
        <v>1241</v>
      </c>
      <c r="B1245" s="11" t="str">
        <f>MOD($G$6*B1244 + $G$7, $G$8)</f>
      </c>
      <c r="C1245" s="11" t="str">
        <f>B1245/$G$8</f>
      </c>
      <c r="D1245" s="11" t="s">
        <v>80</v>
      </c>
    </row>
    <row r="1246">
      <c r="A1246" s="12">
        <v>1242</v>
      </c>
      <c r="B1246" s="12" t="str">
        <f>MOD($G$6*B1245 + $G$7, $G$8)</f>
      </c>
      <c r="C1246" s="12" t="str">
        <f>B1246/$G$8</f>
      </c>
      <c r="D1246" s="12" t="s">
        <v>80</v>
      </c>
    </row>
    <row r="1247">
      <c r="A1247" s="11">
        <v>1243</v>
      </c>
      <c r="B1247" s="11" t="str">
        <f>MOD($G$6*B1246 + $G$7, $G$8)</f>
      </c>
      <c r="C1247" s="11" t="str">
        <f>B1247/$G$8</f>
      </c>
      <c r="D1247" s="11" t="s">
        <v>80</v>
      </c>
    </row>
    <row r="1248">
      <c r="A1248" s="12">
        <v>1244</v>
      </c>
      <c r="B1248" s="12" t="str">
        <f>MOD($G$6*B1247 + $G$7, $G$8)</f>
      </c>
      <c r="C1248" s="12" t="str">
        <f>B1248/$G$8</f>
      </c>
      <c r="D1248" s="12" t="s">
        <v>80</v>
      </c>
    </row>
    <row r="1249">
      <c r="A1249" s="11">
        <v>1245</v>
      </c>
      <c r="B1249" s="11" t="str">
        <f>MOD($G$6*B1248 + $G$7, $G$8)</f>
      </c>
      <c r="C1249" s="11" t="str">
        <f>B1249/$G$8</f>
      </c>
      <c r="D1249" s="11" t="s">
        <v>80</v>
      </c>
    </row>
    <row r="1250">
      <c r="A1250" s="12">
        <v>1246</v>
      </c>
      <c r="B1250" s="12" t="str">
        <f>MOD($G$6*B1249 + $G$7, $G$8)</f>
      </c>
      <c r="C1250" s="12" t="str">
        <f>B1250/$G$8</f>
      </c>
      <c r="D1250" s="12" t="s">
        <v>80</v>
      </c>
    </row>
    <row r="1251">
      <c r="A1251" s="11">
        <v>1247</v>
      </c>
      <c r="B1251" s="11" t="str">
        <f>MOD($G$6*B1250 + $G$7, $G$8)</f>
      </c>
      <c r="C1251" s="11" t="str">
        <f>B1251/$G$8</f>
      </c>
      <c r="D1251" s="11" t="s">
        <v>80</v>
      </c>
    </row>
    <row r="1252">
      <c r="A1252" s="12">
        <v>1248</v>
      </c>
      <c r="B1252" s="12" t="str">
        <f>MOD($G$6*B1251 + $G$7, $G$8)</f>
      </c>
      <c r="C1252" s="12" t="str">
        <f>B1252/$G$8</f>
      </c>
      <c r="D1252" s="12" t="s">
        <v>80</v>
      </c>
    </row>
    <row r="1253">
      <c r="A1253" s="11">
        <v>1249</v>
      </c>
      <c r="B1253" s="11" t="str">
        <f>MOD($G$6*B1252 + $G$7, $G$8)</f>
      </c>
      <c r="C1253" s="11" t="str">
        <f>B1253/$G$8</f>
      </c>
      <c r="D1253" s="11" t="s">
        <v>80</v>
      </c>
    </row>
    <row r="1254">
      <c r="A1254" s="12">
        <v>1250</v>
      </c>
      <c r="B1254" s="12" t="str">
        <f>MOD($G$6*B1253 + $G$7, $G$8)</f>
      </c>
      <c r="C1254" s="12" t="str">
        <f>B1254/$G$8</f>
      </c>
      <c r="D1254" s="12" t="s">
        <v>80</v>
      </c>
    </row>
    <row r="1255">
      <c r="A1255" s="11">
        <v>1251</v>
      </c>
      <c r="B1255" s="11" t="str">
        <f>MOD($G$6*B1254 + $G$7, $G$8)</f>
      </c>
      <c r="C1255" s="11" t="str">
        <f>B1255/$G$8</f>
      </c>
      <c r="D1255" s="11" t="s">
        <v>80</v>
      </c>
    </row>
    <row r="1256">
      <c r="A1256" s="12">
        <v>1252</v>
      </c>
      <c r="B1256" s="12" t="str">
        <f>MOD($G$6*B1255 + $G$7, $G$8)</f>
      </c>
      <c r="C1256" s="12" t="str">
        <f>B1256/$G$8</f>
      </c>
      <c r="D1256" s="12" t="s">
        <v>80</v>
      </c>
    </row>
    <row r="1257">
      <c r="A1257" s="11">
        <v>1253</v>
      </c>
      <c r="B1257" s="11" t="str">
        <f>MOD($G$6*B1256 + $G$7, $G$8)</f>
      </c>
      <c r="C1257" s="11" t="str">
        <f>B1257/$G$8</f>
      </c>
      <c r="D1257" s="11" t="s">
        <v>80</v>
      </c>
    </row>
    <row r="1258">
      <c r="A1258" s="12">
        <v>1254</v>
      </c>
      <c r="B1258" s="12" t="str">
        <f>MOD($G$6*B1257 + $G$7, $G$8)</f>
      </c>
      <c r="C1258" s="12" t="str">
        <f>B1258/$G$8</f>
      </c>
      <c r="D1258" s="12" t="s">
        <v>80</v>
      </c>
    </row>
    <row r="1259">
      <c r="A1259" s="11">
        <v>1255</v>
      </c>
      <c r="B1259" s="11" t="str">
        <f>MOD($G$6*B1258 + $G$7, $G$8)</f>
      </c>
      <c r="C1259" s="11" t="str">
        <f>B1259/$G$8</f>
      </c>
      <c r="D1259" s="11" t="s">
        <v>80</v>
      </c>
    </row>
    <row r="1260">
      <c r="A1260" s="12">
        <v>1256</v>
      </c>
      <c r="B1260" s="12" t="str">
        <f>MOD($G$6*B1259 + $G$7, $G$8)</f>
      </c>
      <c r="C1260" s="12" t="str">
        <f>B1260/$G$8</f>
      </c>
      <c r="D1260" s="12" t="s">
        <v>80</v>
      </c>
    </row>
    <row r="1261">
      <c r="A1261" s="11">
        <v>1257</v>
      </c>
      <c r="B1261" s="11" t="str">
        <f>MOD($G$6*B1260 + $G$7, $G$8)</f>
      </c>
      <c r="C1261" s="11" t="str">
        <f>B1261/$G$8</f>
      </c>
      <c r="D1261" s="11" t="s">
        <v>80</v>
      </c>
    </row>
    <row r="1262">
      <c r="A1262" s="12">
        <v>1258</v>
      </c>
      <c r="B1262" s="12" t="str">
        <f>MOD($G$6*B1261 + $G$7, $G$8)</f>
      </c>
      <c r="C1262" s="12" t="str">
        <f>B1262/$G$8</f>
      </c>
      <c r="D1262" s="12" t="s">
        <v>80</v>
      </c>
    </row>
    <row r="1263">
      <c r="A1263" s="11">
        <v>1259</v>
      </c>
      <c r="B1263" s="11" t="str">
        <f>MOD($G$6*B1262 + $G$7, $G$8)</f>
      </c>
      <c r="C1263" s="11" t="str">
        <f>B1263/$G$8</f>
      </c>
      <c r="D1263" s="11" t="s">
        <v>80</v>
      </c>
    </row>
    <row r="1264">
      <c r="A1264" s="12">
        <v>1260</v>
      </c>
      <c r="B1264" s="12" t="str">
        <f>MOD($G$6*B1263 + $G$7, $G$8)</f>
      </c>
      <c r="C1264" s="12" t="str">
        <f>B1264/$G$8</f>
      </c>
      <c r="D1264" s="12" t="s">
        <v>80</v>
      </c>
    </row>
    <row r="1265">
      <c r="A1265" s="11">
        <v>1261</v>
      </c>
      <c r="B1265" s="11" t="str">
        <f>MOD($G$6*B1264 + $G$7, $G$8)</f>
      </c>
      <c r="C1265" s="11" t="str">
        <f>B1265/$G$8</f>
      </c>
      <c r="D1265" s="11" t="s">
        <v>80</v>
      </c>
    </row>
    <row r="1266">
      <c r="A1266" s="12">
        <v>1262</v>
      </c>
      <c r="B1266" s="12" t="str">
        <f>MOD($G$6*B1265 + $G$7, $G$8)</f>
      </c>
      <c r="C1266" s="12" t="str">
        <f>B1266/$G$8</f>
      </c>
      <c r="D1266" s="12" t="s">
        <v>80</v>
      </c>
    </row>
    <row r="1267">
      <c r="A1267" s="11">
        <v>1263</v>
      </c>
      <c r="B1267" s="11" t="str">
        <f>MOD($G$6*B1266 + $G$7, $G$8)</f>
      </c>
      <c r="C1267" s="11" t="str">
        <f>B1267/$G$8</f>
      </c>
      <c r="D1267" s="11" t="s">
        <v>80</v>
      </c>
    </row>
    <row r="1268">
      <c r="A1268" s="12">
        <v>1264</v>
      </c>
      <c r="B1268" s="12" t="str">
        <f>MOD($G$6*B1267 + $G$7, $G$8)</f>
      </c>
      <c r="C1268" s="12" t="str">
        <f>B1268/$G$8</f>
      </c>
      <c r="D1268" s="12" t="s">
        <v>80</v>
      </c>
    </row>
    <row r="1269">
      <c r="A1269" s="11">
        <v>1265</v>
      </c>
      <c r="B1269" s="11" t="str">
        <f>MOD($G$6*B1268 + $G$7, $G$8)</f>
      </c>
      <c r="C1269" s="11" t="str">
        <f>B1269/$G$8</f>
      </c>
      <c r="D1269" s="11" t="s">
        <v>80</v>
      </c>
    </row>
    <row r="1270">
      <c r="A1270" s="12">
        <v>1266</v>
      </c>
      <c r="B1270" s="12" t="str">
        <f>MOD($G$6*B1269 + $G$7, $G$8)</f>
      </c>
      <c r="C1270" s="12" t="str">
        <f>B1270/$G$8</f>
      </c>
      <c r="D1270" s="12" t="s">
        <v>80</v>
      </c>
    </row>
    <row r="1271">
      <c r="A1271" s="11">
        <v>1267</v>
      </c>
      <c r="B1271" s="11" t="str">
        <f>MOD($G$6*B1270 + $G$7, $G$8)</f>
      </c>
      <c r="C1271" s="11" t="str">
        <f>B1271/$G$8</f>
      </c>
      <c r="D1271" s="11" t="s">
        <v>80</v>
      </c>
    </row>
    <row r="1272">
      <c r="A1272" s="12">
        <v>1268</v>
      </c>
      <c r="B1272" s="12" t="str">
        <f>MOD($G$6*B1271 + $G$7, $G$8)</f>
      </c>
      <c r="C1272" s="12" t="str">
        <f>B1272/$G$8</f>
      </c>
      <c r="D1272" s="12" t="s">
        <v>80</v>
      </c>
    </row>
    <row r="1273">
      <c r="A1273" s="11">
        <v>1269</v>
      </c>
      <c r="B1273" s="11" t="str">
        <f>MOD($G$6*B1272 + $G$7, $G$8)</f>
      </c>
      <c r="C1273" s="11" t="str">
        <f>B1273/$G$8</f>
      </c>
      <c r="D1273" s="11" t="s">
        <v>80</v>
      </c>
    </row>
    <row r="1274">
      <c r="A1274" s="12">
        <v>1270</v>
      </c>
      <c r="B1274" s="12" t="str">
        <f>MOD($G$6*B1273 + $G$7, $G$8)</f>
      </c>
      <c r="C1274" s="12" t="str">
        <f>B1274/$G$8</f>
      </c>
      <c r="D1274" s="12" t="s">
        <v>80</v>
      </c>
    </row>
    <row r="1275">
      <c r="A1275" s="11">
        <v>1271</v>
      </c>
      <c r="B1275" s="11" t="str">
        <f>MOD($G$6*B1274 + $G$7, $G$8)</f>
      </c>
      <c r="C1275" s="11" t="str">
        <f>B1275/$G$8</f>
      </c>
      <c r="D1275" s="11" t="s">
        <v>80</v>
      </c>
    </row>
    <row r="1276">
      <c r="A1276" s="12">
        <v>1272</v>
      </c>
      <c r="B1276" s="12" t="str">
        <f>MOD($G$6*B1275 + $G$7, $G$8)</f>
      </c>
      <c r="C1276" s="12" t="str">
        <f>B1276/$G$8</f>
      </c>
      <c r="D1276" s="12" t="s">
        <v>80</v>
      </c>
    </row>
    <row r="1277">
      <c r="A1277" s="11">
        <v>1273</v>
      </c>
      <c r="B1277" s="11" t="str">
        <f>MOD($G$6*B1276 + $G$7, $G$8)</f>
      </c>
      <c r="C1277" s="11" t="str">
        <f>B1277/$G$8</f>
      </c>
      <c r="D1277" s="11" t="s">
        <v>80</v>
      </c>
    </row>
    <row r="1278">
      <c r="A1278" s="12">
        <v>1274</v>
      </c>
      <c r="B1278" s="12" t="str">
        <f>MOD($G$6*B1277 + $G$7, $G$8)</f>
      </c>
      <c r="C1278" s="12" t="str">
        <f>B1278/$G$8</f>
      </c>
      <c r="D1278" s="12" t="s">
        <v>80</v>
      </c>
    </row>
    <row r="1279">
      <c r="A1279" s="11">
        <v>1275</v>
      </c>
      <c r="B1279" s="11" t="str">
        <f>MOD($G$6*B1278 + $G$7, $G$8)</f>
      </c>
      <c r="C1279" s="11" t="str">
        <f>B1279/$G$8</f>
      </c>
      <c r="D1279" s="11" t="s">
        <v>80</v>
      </c>
    </row>
    <row r="1280">
      <c r="A1280" s="12">
        <v>1276</v>
      </c>
      <c r="B1280" s="12" t="str">
        <f>MOD($G$6*B1279 + $G$7, $G$8)</f>
      </c>
      <c r="C1280" s="12" t="str">
        <f>B1280/$G$8</f>
      </c>
      <c r="D1280" s="12" t="s">
        <v>80</v>
      </c>
    </row>
    <row r="1281">
      <c r="A1281" s="11">
        <v>1277</v>
      </c>
      <c r="B1281" s="11" t="str">
        <f>MOD($G$6*B1280 + $G$7, $G$8)</f>
      </c>
      <c r="C1281" s="11" t="str">
        <f>B1281/$G$8</f>
      </c>
      <c r="D1281" s="11" t="s">
        <v>80</v>
      </c>
    </row>
    <row r="1282">
      <c r="A1282" s="12">
        <v>1278</v>
      </c>
      <c r="B1282" s="12" t="str">
        <f>MOD($G$6*B1281 + $G$7, $G$8)</f>
      </c>
      <c r="C1282" s="12" t="str">
        <f>B1282/$G$8</f>
      </c>
      <c r="D1282" s="12" t="s">
        <v>80</v>
      </c>
    </row>
    <row r="1283">
      <c r="A1283" s="11">
        <v>1279</v>
      </c>
      <c r="B1283" s="11" t="str">
        <f>MOD($G$6*B1282 + $G$7, $G$8)</f>
      </c>
      <c r="C1283" s="11" t="str">
        <f>B1283/$G$8</f>
      </c>
      <c r="D1283" s="11" t="s">
        <v>80</v>
      </c>
    </row>
    <row r="1284">
      <c r="A1284" s="12">
        <v>1280</v>
      </c>
      <c r="B1284" s="12" t="str">
        <f>MOD($G$6*B1283 + $G$7, $G$8)</f>
      </c>
      <c r="C1284" s="12" t="str">
        <f>B1284/$G$8</f>
      </c>
      <c r="D1284" s="12" t="s">
        <v>80</v>
      </c>
    </row>
    <row r="1285">
      <c r="A1285" s="11">
        <v>1281</v>
      </c>
      <c r="B1285" s="11" t="str">
        <f>MOD($G$6*B1284 + $G$7, $G$8)</f>
      </c>
      <c r="C1285" s="11" t="str">
        <f>B1285/$G$8</f>
      </c>
      <c r="D1285" s="11" t="s">
        <v>80</v>
      </c>
    </row>
    <row r="1286">
      <c r="A1286" s="12">
        <v>1282</v>
      </c>
      <c r="B1286" s="12" t="str">
        <f>MOD($G$6*B1285 + $G$7, $G$8)</f>
      </c>
      <c r="C1286" s="12" t="str">
        <f>B1286/$G$8</f>
      </c>
      <c r="D1286" s="12" t="s">
        <v>80</v>
      </c>
    </row>
    <row r="1287">
      <c r="A1287" s="11">
        <v>1283</v>
      </c>
      <c r="B1287" s="11" t="str">
        <f>MOD($G$6*B1286 + $G$7, $G$8)</f>
      </c>
      <c r="C1287" s="11" t="str">
        <f>B1287/$G$8</f>
      </c>
      <c r="D1287" s="11" t="s">
        <v>80</v>
      </c>
    </row>
    <row r="1288">
      <c r="A1288" s="12">
        <v>1284</v>
      </c>
      <c r="B1288" s="12" t="str">
        <f>MOD($G$6*B1287 + $G$7, $G$8)</f>
      </c>
      <c r="C1288" s="12" t="str">
        <f>B1288/$G$8</f>
      </c>
      <c r="D1288" s="12" t="s">
        <v>80</v>
      </c>
    </row>
    <row r="1289">
      <c r="A1289" s="11">
        <v>1285</v>
      </c>
      <c r="B1289" s="11" t="str">
        <f>MOD($G$6*B1288 + $G$7, $G$8)</f>
      </c>
      <c r="C1289" s="11" t="str">
        <f>B1289/$G$8</f>
      </c>
      <c r="D1289" s="11" t="s">
        <v>80</v>
      </c>
    </row>
    <row r="1290">
      <c r="A1290" s="12">
        <v>1286</v>
      </c>
      <c r="B1290" s="12" t="str">
        <f>MOD($G$6*B1289 + $G$7, $G$8)</f>
      </c>
      <c r="C1290" s="12" t="str">
        <f>B1290/$G$8</f>
      </c>
      <c r="D1290" s="12" t="s">
        <v>80</v>
      </c>
    </row>
    <row r="1291">
      <c r="A1291" s="11">
        <v>1287</v>
      </c>
      <c r="B1291" s="11" t="str">
        <f>MOD($G$6*B1290 + $G$7, $G$8)</f>
      </c>
      <c r="C1291" s="11" t="str">
        <f>B1291/$G$8</f>
      </c>
      <c r="D1291" s="11" t="s">
        <v>80</v>
      </c>
    </row>
    <row r="1292">
      <c r="A1292" s="12">
        <v>1288</v>
      </c>
      <c r="B1292" s="12" t="str">
        <f>MOD($G$6*B1291 + $G$7, $G$8)</f>
      </c>
      <c r="C1292" s="12" t="str">
        <f>B1292/$G$8</f>
      </c>
      <c r="D1292" s="12" t="s">
        <v>80</v>
      </c>
    </row>
    <row r="1293">
      <c r="A1293" s="11">
        <v>1289</v>
      </c>
      <c r="B1293" s="11" t="str">
        <f>MOD($G$6*B1292 + $G$7, $G$8)</f>
      </c>
      <c r="C1293" s="11" t="str">
        <f>B1293/$G$8</f>
      </c>
      <c r="D1293" s="11" t="s">
        <v>80</v>
      </c>
    </row>
    <row r="1294">
      <c r="A1294" s="12">
        <v>1290</v>
      </c>
      <c r="B1294" s="12" t="str">
        <f>MOD($G$6*B1293 + $G$7, $G$8)</f>
      </c>
      <c r="C1294" s="12" t="str">
        <f>B1294/$G$8</f>
      </c>
      <c r="D1294" s="12" t="s">
        <v>80</v>
      </c>
    </row>
    <row r="1295">
      <c r="A1295" s="11">
        <v>1291</v>
      </c>
      <c r="B1295" s="11" t="str">
        <f>MOD($G$6*B1294 + $G$7, $G$8)</f>
      </c>
      <c r="C1295" s="11" t="str">
        <f>B1295/$G$8</f>
      </c>
      <c r="D1295" s="11" t="s">
        <v>80</v>
      </c>
    </row>
    <row r="1296">
      <c r="A1296" s="12">
        <v>1292</v>
      </c>
      <c r="B1296" s="12" t="str">
        <f>MOD($G$6*B1295 + $G$7, $G$8)</f>
      </c>
      <c r="C1296" s="12" t="str">
        <f>B1296/$G$8</f>
      </c>
      <c r="D1296" s="12" t="s">
        <v>80</v>
      </c>
    </row>
    <row r="1297">
      <c r="A1297" s="11">
        <v>1293</v>
      </c>
      <c r="B1297" s="11" t="str">
        <f>MOD($G$6*B1296 + $G$7, $G$8)</f>
      </c>
      <c r="C1297" s="11" t="str">
        <f>B1297/$G$8</f>
      </c>
      <c r="D1297" s="11" t="s">
        <v>80</v>
      </c>
    </row>
    <row r="1298">
      <c r="A1298" s="12">
        <v>1294</v>
      </c>
      <c r="B1298" s="12" t="str">
        <f>MOD($G$6*B1297 + $G$7, $G$8)</f>
      </c>
      <c r="C1298" s="12" t="str">
        <f>B1298/$G$8</f>
      </c>
      <c r="D1298" s="12" t="s">
        <v>80</v>
      </c>
    </row>
    <row r="1299">
      <c r="A1299" s="11">
        <v>1295</v>
      </c>
      <c r="B1299" s="11" t="str">
        <f>MOD($G$6*B1298 + $G$7, $G$8)</f>
      </c>
      <c r="C1299" s="11" t="str">
        <f>B1299/$G$8</f>
      </c>
      <c r="D1299" s="11" t="s">
        <v>80</v>
      </c>
    </row>
    <row r="1300">
      <c r="A1300" s="12">
        <v>1296</v>
      </c>
      <c r="B1300" s="12" t="str">
        <f>MOD($G$6*B1299 + $G$7, $G$8)</f>
      </c>
      <c r="C1300" s="12" t="str">
        <f>B1300/$G$8</f>
      </c>
      <c r="D1300" s="12" t="s">
        <v>80</v>
      </c>
    </row>
    <row r="1301">
      <c r="A1301" s="11">
        <v>1297</v>
      </c>
      <c r="B1301" s="11" t="str">
        <f>MOD($G$6*B1300 + $G$7, $G$8)</f>
      </c>
      <c r="C1301" s="11" t="str">
        <f>B1301/$G$8</f>
      </c>
      <c r="D1301" s="11" t="s">
        <v>80</v>
      </c>
    </row>
    <row r="1302">
      <c r="A1302" s="12">
        <v>1298</v>
      </c>
      <c r="B1302" s="12" t="str">
        <f>MOD($G$6*B1301 + $G$7, $G$8)</f>
      </c>
      <c r="C1302" s="12" t="str">
        <f>B1302/$G$8</f>
      </c>
      <c r="D1302" s="12" t="s">
        <v>80</v>
      </c>
    </row>
    <row r="1303">
      <c r="A1303" s="11">
        <v>1299</v>
      </c>
      <c r="B1303" s="11" t="str">
        <f>MOD($G$6*B1302 + $G$7, $G$8)</f>
      </c>
      <c r="C1303" s="11" t="str">
        <f>B1303/$G$8</f>
      </c>
      <c r="D1303" s="11" t="s">
        <v>80</v>
      </c>
    </row>
    <row r="1304">
      <c r="A1304" s="12">
        <v>1300</v>
      </c>
      <c r="B1304" s="12" t="str">
        <f>MOD($G$6*B1303 + $G$7, $G$8)</f>
      </c>
      <c r="C1304" s="12" t="str">
        <f>B1304/$G$8</f>
      </c>
      <c r="D1304" s="12" t="s">
        <v>80</v>
      </c>
    </row>
    <row r="1305">
      <c r="A1305" s="11">
        <v>1301</v>
      </c>
      <c r="B1305" s="11" t="str">
        <f>MOD($G$6*B1304 + $G$7, $G$8)</f>
      </c>
      <c r="C1305" s="11" t="str">
        <f>B1305/$G$8</f>
      </c>
      <c r="D1305" s="11" t="s">
        <v>80</v>
      </c>
    </row>
    <row r="1306">
      <c r="A1306" s="12">
        <v>1302</v>
      </c>
      <c r="B1306" s="12" t="str">
        <f>MOD($G$6*B1305 + $G$7, $G$8)</f>
      </c>
      <c r="C1306" s="12" t="str">
        <f>B1306/$G$8</f>
      </c>
      <c r="D1306" s="12" t="s">
        <v>80</v>
      </c>
    </row>
    <row r="1307">
      <c r="A1307" s="11">
        <v>1303</v>
      </c>
      <c r="B1307" s="11" t="str">
        <f>MOD($G$6*B1306 + $G$7, $G$8)</f>
      </c>
      <c r="C1307" s="11" t="str">
        <f>B1307/$G$8</f>
      </c>
      <c r="D1307" s="11" t="s">
        <v>80</v>
      </c>
    </row>
    <row r="1308">
      <c r="A1308" s="12">
        <v>1304</v>
      </c>
      <c r="B1308" s="12" t="str">
        <f>MOD($G$6*B1307 + $G$7, $G$8)</f>
      </c>
      <c r="C1308" s="12" t="str">
        <f>B1308/$G$8</f>
      </c>
      <c r="D1308" s="12" t="s">
        <v>80</v>
      </c>
    </row>
    <row r="1309">
      <c r="A1309" s="11">
        <v>1305</v>
      </c>
      <c r="B1309" s="11" t="str">
        <f>MOD($G$6*B1308 + $G$7, $G$8)</f>
      </c>
      <c r="C1309" s="11" t="str">
        <f>B1309/$G$8</f>
      </c>
      <c r="D1309" s="11" t="s">
        <v>80</v>
      </c>
    </row>
    <row r="1310">
      <c r="A1310" s="12">
        <v>1306</v>
      </c>
      <c r="B1310" s="12" t="str">
        <f>MOD($G$6*B1309 + $G$7, $G$8)</f>
      </c>
      <c r="C1310" s="12" t="str">
        <f>B1310/$G$8</f>
      </c>
      <c r="D1310" s="12" t="s">
        <v>80</v>
      </c>
    </row>
    <row r="1311">
      <c r="A1311" s="11">
        <v>1307</v>
      </c>
      <c r="B1311" s="11" t="str">
        <f>MOD($G$6*B1310 + $G$7, $G$8)</f>
      </c>
      <c r="C1311" s="11" t="str">
        <f>B1311/$G$8</f>
      </c>
      <c r="D1311" s="11" t="s">
        <v>80</v>
      </c>
    </row>
    <row r="1312">
      <c r="A1312" s="12">
        <v>1308</v>
      </c>
      <c r="B1312" s="12" t="str">
        <f>MOD($G$6*B1311 + $G$7, $G$8)</f>
      </c>
      <c r="C1312" s="12" t="str">
        <f>B1312/$G$8</f>
      </c>
      <c r="D1312" s="12" t="s">
        <v>80</v>
      </c>
    </row>
    <row r="1313">
      <c r="A1313" s="11">
        <v>1309</v>
      </c>
      <c r="B1313" s="11" t="str">
        <f>MOD($G$6*B1312 + $G$7, $G$8)</f>
      </c>
      <c r="C1313" s="11" t="str">
        <f>B1313/$G$8</f>
      </c>
      <c r="D1313" s="11" t="s">
        <v>80</v>
      </c>
    </row>
    <row r="1314">
      <c r="A1314" s="12">
        <v>1310</v>
      </c>
      <c r="B1314" s="12" t="str">
        <f>MOD($G$6*B1313 + $G$7, $G$8)</f>
      </c>
      <c r="C1314" s="12" t="str">
        <f>B1314/$G$8</f>
      </c>
      <c r="D1314" s="12" t="s">
        <v>80</v>
      </c>
    </row>
    <row r="1315">
      <c r="A1315" s="11">
        <v>1311</v>
      </c>
      <c r="B1315" s="11" t="str">
        <f>MOD($G$6*B1314 + $G$7, $G$8)</f>
      </c>
      <c r="C1315" s="11" t="str">
        <f>B1315/$G$8</f>
      </c>
      <c r="D1315" s="11" t="s">
        <v>80</v>
      </c>
    </row>
    <row r="1316">
      <c r="A1316" s="12">
        <v>1312</v>
      </c>
      <c r="B1316" s="12" t="str">
        <f>MOD($G$6*B1315 + $G$7, $G$8)</f>
      </c>
      <c r="C1316" s="12" t="str">
        <f>B1316/$G$8</f>
      </c>
      <c r="D1316" s="12" t="s">
        <v>80</v>
      </c>
    </row>
    <row r="1317">
      <c r="A1317" s="11">
        <v>1313</v>
      </c>
      <c r="B1317" s="11" t="str">
        <f>MOD($G$6*B1316 + $G$7, $G$8)</f>
      </c>
      <c r="C1317" s="11" t="str">
        <f>B1317/$G$8</f>
      </c>
      <c r="D1317" s="11" t="s">
        <v>80</v>
      </c>
    </row>
    <row r="1318">
      <c r="A1318" s="12">
        <v>1314</v>
      </c>
      <c r="B1318" s="12" t="str">
        <f>MOD($G$6*B1317 + $G$7, $G$8)</f>
      </c>
      <c r="C1318" s="12" t="str">
        <f>B1318/$G$8</f>
      </c>
      <c r="D1318" s="12" t="s">
        <v>80</v>
      </c>
    </row>
    <row r="1319">
      <c r="A1319" s="11">
        <v>1315</v>
      </c>
      <c r="B1319" s="11" t="str">
        <f>MOD($G$6*B1318 + $G$7, $G$8)</f>
      </c>
      <c r="C1319" s="11" t="str">
        <f>B1319/$G$8</f>
      </c>
      <c r="D1319" s="11" t="s">
        <v>80</v>
      </c>
    </row>
    <row r="1320">
      <c r="A1320" s="12">
        <v>1316</v>
      </c>
      <c r="B1320" s="12" t="str">
        <f>MOD($G$6*B1319 + $G$7, $G$8)</f>
      </c>
      <c r="C1320" s="12" t="str">
        <f>B1320/$G$8</f>
      </c>
      <c r="D1320" s="12" t="s">
        <v>80</v>
      </c>
    </row>
    <row r="1321">
      <c r="A1321" s="11">
        <v>1317</v>
      </c>
      <c r="B1321" s="11" t="str">
        <f>MOD($G$6*B1320 + $G$7, $G$8)</f>
      </c>
      <c r="C1321" s="11" t="str">
        <f>B1321/$G$8</f>
      </c>
      <c r="D1321" s="11" t="s">
        <v>80</v>
      </c>
    </row>
    <row r="1322">
      <c r="A1322" s="12">
        <v>1318</v>
      </c>
      <c r="B1322" s="12" t="str">
        <f>MOD($G$6*B1321 + $G$7, $G$8)</f>
      </c>
      <c r="C1322" s="12" t="str">
        <f>B1322/$G$8</f>
      </c>
      <c r="D1322" s="12" t="s">
        <v>80</v>
      </c>
    </row>
    <row r="1323">
      <c r="A1323" s="11">
        <v>1319</v>
      </c>
      <c r="B1323" s="11" t="str">
        <f>MOD($G$6*B1322 + $G$7, $G$8)</f>
      </c>
      <c r="C1323" s="11" t="str">
        <f>B1323/$G$8</f>
      </c>
      <c r="D1323" s="11" t="s">
        <v>80</v>
      </c>
    </row>
    <row r="1324">
      <c r="A1324" s="12">
        <v>1320</v>
      </c>
      <c r="B1324" s="12" t="str">
        <f>MOD($G$6*B1323 + $G$7, $G$8)</f>
      </c>
      <c r="C1324" s="12" t="str">
        <f>B1324/$G$8</f>
      </c>
      <c r="D1324" s="12" t="s">
        <v>80</v>
      </c>
    </row>
    <row r="1325">
      <c r="A1325" s="11">
        <v>1321</v>
      </c>
      <c r="B1325" s="11" t="str">
        <f>MOD($G$6*B1324 + $G$7, $G$8)</f>
      </c>
      <c r="C1325" s="11" t="str">
        <f>B1325/$G$8</f>
      </c>
      <c r="D1325" s="11" t="s">
        <v>80</v>
      </c>
    </row>
    <row r="1326">
      <c r="A1326" s="12">
        <v>1322</v>
      </c>
      <c r="B1326" s="12" t="str">
        <f>MOD($G$6*B1325 + $G$7, $G$8)</f>
      </c>
      <c r="C1326" s="12" t="str">
        <f>B1326/$G$8</f>
      </c>
      <c r="D1326" s="12" t="s">
        <v>80</v>
      </c>
    </row>
    <row r="1327">
      <c r="A1327" s="11">
        <v>1323</v>
      </c>
      <c r="B1327" s="11" t="str">
        <f>MOD($G$6*B1326 + $G$7, $G$8)</f>
      </c>
      <c r="C1327" s="11" t="str">
        <f>B1327/$G$8</f>
      </c>
      <c r="D1327" s="11" t="s">
        <v>80</v>
      </c>
    </row>
    <row r="1328">
      <c r="A1328" s="12">
        <v>1324</v>
      </c>
      <c r="B1328" s="12" t="str">
        <f>MOD($G$6*B1327 + $G$7, $G$8)</f>
      </c>
      <c r="C1328" s="12" t="str">
        <f>B1328/$G$8</f>
      </c>
      <c r="D1328" s="12" t="s">
        <v>80</v>
      </c>
    </row>
    <row r="1329">
      <c r="A1329" s="11">
        <v>1325</v>
      </c>
      <c r="B1329" s="11" t="str">
        <f>MOD($G$6*B1328 + $G$7, $G$8)</f>
      </c>
      <c r="C1329" s="11" t="str">
        <f>B1329/$G$8</f>
      </c>
      <c r="D1329" s="11" t="s">
        <v>80</v>
      </c>
    </row>
    <row r="1330">
      <c r="A1330" s="12">
        <v>1326</v>
      </c>
      <c r="B1330" s="12" t="str">
        <f>MOD($G$6*B1329 + $G$7, $G$8)</f>
      </c>
      <c r="C1330" s="12" t="str">
        <f>B1330/$G$8</f>
      </c>
      <c r="D1330" s="12" t="s">
        <v>80</v>
      </c>
    </row>
    <row r="1331">
      <c r="A1331" s="11">
        <v>1327</v>
      </c>
      <c r="B1331" s="11" t="str">
        <f>MOD($G$6*B1330 + $G$7, $G$8)</f>
      </c>
      <c r="C1331" s="11" t="str">
        <f>B1331/$G$8</f>
      </c>
      <c r="D1331" s="11" t="s">
        <v>80</v>
      </c>
    </row>
    <row r="1332">
      <c r="A1332" s="12">
        <v>1328</v>
      </c>
      <c r="B1332" s="12" t="str">
        <f>MOD($G$6*B1331 + $G$7, $G$8)</f>
      </c>
      <c r="C1332" s="12" t="str">
        <f>B1332/$G$8</f>
      </c>
      <c r="D1332" s="12" t="s">
        <v>80</v>
      </c>
    </row>
    <row r="1333">
      <c r="A1333" s="11">
        <v>1329</v>
      </c>
      <c r="B1333" s="11" t="str">
        <f>MOD($G$6*B1332 + $G$7, $G$8)</f>
      </c>
      <c r="C1333" s="11" t="str">
        <f>B1333/$G$8</f>
      </c>
      <c r="D1333" s="11" t="s">
        <v>80</v>
      </c>
    </row>
    <row r="1334">
      <c r="A1334" s="12">
        <v>1330</v>
      </c>
      <c r="B1334" s="12" t="str">
        <f>MOD($G$6*B1333 + $G$7, $G$8)</f>
      </c>
      <c r="C1334" s="12" t="str">
        <f>B1334/$G$8</f>
      </c>
      <c r="D1334" s="12" t="s">
        <v>80</v>
      </c>
    </row>
    <row r="1335">
      <c r="A1335" s="11">
        <v>1331</v>
      </c>
      <c r="B1335" s="11" t="str">
        <f>MOD($G$6*B1334 + $G$7, $G$8)</f>
      </c>
      <c r="C1335" s="11" t="str">
        <f>B1335/$G$8</f>
      </c>
      <c r="D1335" s="11" t="s">
        <v>80</v>
      </c>
    </row>
    <row r="1336">
      <c r="A1336" s="12">
        <v>1332</v>
      </c>
      <c r="B1336" s="12" t="str">
        <f>MOD($G$6*B1335 + $G$7, $G$8)</f>
      </c>
      <c r="C1336" s="12" t="str">
        <f>B1336/$G$8</f>
      </c>
      <c r="D1336" s="12" t="s">
        <v>80</v>
      </c>
    </row>
    <row r="1337">
      <c r="A1337" s="11">
        <v>1333</v>
      </c>
      <c r="B1337" s="11" t="str">
        <f>MOD($G$6*B1336 + $G$7, $G$8)</f>
      </c>
      <c r="C1337" s="11" t="str">
        <f>B1337/$G$8</f>
      </c>
      <c r="D1337" s="11" t="s">
        <v>80</v>
      </c>
    </row>
    <row r="1338">
      <c r="A1338" s="12">
        <v>1334</v>
      </c>
      <c r="B1338" s="12" t="str">
        <f>MOD($G$6*B1337 + $G$7, $G$8)</f>
      </c>
      <c r="C1338" s="12" t="str">
        <f>B1338/$G$8</f>
      </c>
      <c r="D1338" s="12" t="s">
        <v>80</v>
      </c>
    </row>
    <row r="1339">
      <c r="A1339" s="11">
        <v>1335</v>
      </c>
      <c r="B1339" s="11" t="str">
        <f>MOD($G$6*B1338 + $G$7, $G$8)</f>
      </c>
      <c r="C1339" s="11" t="str">
        <f>B1339/$G$8</f>
      </c>
      <c r="D1339" s="11" t="s">
        <v>80</v>
      </c>
    </row>
    <row r="1340">
      <c r="A1340" s="12">
        <v>1336</v>
      </c>
      <c r="B1340" s="12" t="str">
        <f>MOD($G$6*B1339 + $G$7, $G$8)</f>
      </c>
      <c r="C1340" s="12" t="str">
        <f>B1340/$G$8</f>
      </c>
      <c r="D1340" s="12" t="s">
        <v>80</v>
      </c>
    </row>
    <row r="1341">
      <c r="A1341" s="11">
        <v>1337</v>
      </c>
      <c r="B1341" s="11" t="str">
        <f>MOD($G$6*B1340 + $G$7, $G$8)</f>
      </c>
      <c r="C1341" s="11" t="str">
        <f>B1341/$G$8</f>
      </c>
      <c r="D1341" s="11" t="s">
        <v>80</v>
      </c>
    </row>
    <row r="1342">
      <c r="A1342" s="12">
        <v>1338</v>
      </c>
      <c r="B1342" s="12" t="str">
        <f>MOD($G$6*B1341 + $G$7, $G$8)</f>
      </c>
      <c r="C1342" s="12" t="str">
        <f>B1342/$G$8</f>
      </c>
      <c r="D1342" s="12" t="s">
        <v>80</v>
      </c>
    </row>
    <row r="1343">
      <c r="A1343" s="11">
        <v>1339</v>
      </c>
      <c r="B1343" s="11" t="str">
        <f>MOD($G$6*B1342 + $G$7, $G$8)</f>
      </c>
      <c r="C1343" s="11" t="str">
        <f>B1343/$G$8</f>
      </c>
      <c r="D1343" s="11" t="s">
        <v>80</v>
      </c>
    </row>
    <row r="1344">
      <c r="A1344" s="12">
        <v>1340</v>
      </c>
      <c r="B1344" s="12" t="str">
        <f>MOD($G$6*B1343 + $G$7, $G$8)</f>
      </c>
      <c r="C1344" s="12" t="str">
        <f>B1344/$G$8</f>
      </c>
      <c r="D1344" s="12" t="s">
        <v>80</v>
      </c>
    </row>
    <row r="1345">
      <c r="A1345" s="11">
        <v>1341</v>
      </c>
      <c r="B1345" s="11" t="str">
        <f>MOD($G$6*B1344 + $G$7, $G$8)</f>
      </c>
      <c r="C1345" s="11" t="str">
        <f>B1345/$G$8</f>
      </c>
      <c r="D1345" s="11" t="s">
        <v>80</v>
      </c>
    </row>
    <row r="1346">
      <c r="A1346" s="12">
        <v>1342</v>
      </c>
      <c r="B1346" s="12" t="str">
        <f>MOD($G$6*B1345 + $G$7, $G$8)</f>
      </c>
      <c r="C1346" s="12" t="str">
        <f>B1346/$G$8</f>
      </c>
      <c r="D1346" s="12" t="s">
        <v>80</v>
      </c>
    </row>
    <row r="1347">
      <c r="A1347" s="11">
        <v>1343</v>
      </c>
      <c r="B1347" s="11" t="str">
        <f>MOD($G$6*B1346 + $G$7, $G$8)</f>
      </c>
      <c r="C1347" s="11" t="str">
        <f>B1347/$G$8</f>
      </c>
      <c r="D1347" s="11" t="s">
        <v>80</v>
      </c>
    </row>
    <row r="1348">
      <c r="A1348" s="12">
        <v>1344</v>
      </c>
      <c r="B1348" s="12" t="str">
        <f>MOD($G$6*B1347 + $G$7, $G$8)</f>
      </c>
      <c r="C1348" s="12" t="str">
        <f>B1348/$G$8</f>
      </c>
      <c r="D1348" s="12" t="s">
        <v>80</v>
      </c>
    </row>
    <row r="1349">
      <c r="A1349" s="11">
        <v>1345</v>
      </c>
      <c r="B1349" s="11" t="str">
        <f>MOD($G$6*B1348 + $G$7, $G$8)</f>
      </c>
      <c r="C1349" s="11" t="str">
        <f>B1349/$G$8</f>
      </c>
      <c r="D1349" s="11" t="s">
        <v>80</v>
      </c>
    </row>
    <row r="1350">
      <c r="A1350" s="12">
        <v>1346</v>
      </c>
      <c r="B1350" s="12" t="str">
        <f>MOD($G$6*B1349 + $G$7, $G$8)</f>
      </c>
      <c r="C1350" s="12" t="str">
        <f>B1350/$G$8</f>
      </c>
      <c r="D1350" s="12" t="s">
        <v>80</v>
      </c>
    </row>
    <row r="1351">
      <c r="A1351" s="11">
        <v>1347</v>
      </c>
      <c r="B1351" s="11" t="str">
        <f>MOD($G$6*B1350 + $G$7, $G$8)</f>
      </c>
      <c r="C1351" s="11" t="str">
        <f>B1351/$G$8</f>
      </c>
      <c r="D1351" s="11" t="s">
        <v>80</v>
      </c>
    </row>
    <row r="1352">
      <c r="A1352" s="12">
        <v>1348</v>
      </c>
      <c r="B1352" s="12" t="str">
        <f>MOD($G$6*B1351 + $G$7, $G$8)</f>
      </c>
      <c r="C1352" s="12" t="str">
        <f>B1352/$G$8</f>
      </c>
      <c r="D1352" s="12" t="s">
        <v>80</v>
      </c>
    </row>
    <row r="1353">
      <c r="A1353" s="11">
        <v>1349</v>
      </c>
      <c r="B1353" s="11" t="str">
        <f>MOD($G$6*B1352 + $G$7, $G$8)</f>
      </c>
      <c r="C1353" s="11" t="str">
        <f>B1353/$G$8</f>
      </c>
      <c r="D1353" s="11" t="s">
        <v>80</v>
      </c>
    </row>
    <row r="1354">
      <c r="A1354" s="12">
        <v>1350</v>
      </c>
      <c r="B1354" s="12" t="str">
        <f>MOD($G$6*B1353 + $G$7, $G$8)</f>
      </c>
      <c r="C1354" s="12" t="str">
        <f>B1354/$G$8</f>
      </c>
      <c r="D1354" s="12" t="s">
        <v>80</v>
      </c>
    </row>
    <row r="1355">
      <c r="A1355" s="11">
        <v>1351</v>
      </c>
      <c r="B1355" s="11" t="str">
        <f>MOD($G$6*B1354 + $G$7, $G$8)</f>
      </c>
      <c r="C1355" s="11" t="str">
        <f>B1355/$G$8</f>
      </c>
      <c r="D1355" s="11" t="s">
        <v>80</v>
      </c>
    </row>
    <row r="1356">
      <c r="A1356" s="12">
        <v>1352</v>
      </c>
      <c r="B1356" s="12" t="str">
        <f>MOD($G$6*B1355 + $G$7, $G$8)</f>
      </c>
      <c r="C1356" s="12" t="str">
        <f>B1356/$G$8</f>
      </c>
      <c r="D1356" s="12" t="s">
        <v>80</v>
      </c>
    </row>
    <row r="1357">
      <c r="A1357" s="11">
        <v>1353</v>
      </c>
      <c r="B1357" s="11" t="str">
        <f>MOD($G$6*B1356 + $G$7, $G$8)</f>
      </c>
      <c r="C1357" s="11" t="str">
        <f>B1357/$G$8</f>
      </c>
      <c r="D1357" s="11" t="s">
        <v>80</v>
      </c>
    </row>
    <row r="1358">
      <c r="A1358" s="12">
        <v>1354</v>
      </c>
      <c r="B1358" s="12" t="str">
        <f>MOD($G$6*B1357 + $G$7, $G$8)</f>
      </c>
      <c r="C1358" s="12" t="str">
        <f>B1358/$G$8</f>
      </c>
      <c r="D1358" s="12" t="s">
        <v>80</v>
      </c>
    </row>
    <row r="1359">
      <c r="A1359" s="11">
        <v>1355</v>
      </c>
      <c r="B1359" s="11" t="str">
        <f>MOD($G$6*B1358 + $G$7, $G$8)</f>
      </c>
      <c r="C1359" s="11" t="str">
        <f>B1359/$G$8</f>
      </c>
      <c r="D1359" s="11" t="s">
        <v>80</v>
      </c>
    </row>
    <row r="1360">
      <c r="A1360" s="12">
        <v>1356</v>
      </c>
      <c r="B1360" s="12" t="str">
        <f>MOD($G$6*B1359 + $G$7, $G$8)</f>
      </c>
      <c r="C1360" s="12" t="str">
        <f>B1360/$G$8</f>
      </c>
      <c r="D1360" s="12" t="s">
        <v>80</v>
      </c>
    </row>
    <row r="1361">
      <c r="A1361" s="11">
        <v>1357</v>
      </c>
      <c r="B1361" s="11" t="str">
        <f>MOD($G$6*B1360 + $G$7, $G$8)</f>
      </c>
      <c r="C1361" s="11" t="str">
        <f>B1361/$G$8</f>
      </c>
      <c r="D1361" s="11" t="s">
        <v>80</v>
      </c>
    </row>
    <row r="1362">
      <c r="A1362" s="12">
        <v>1358</v>
      </c>
      <c r="B1362" s="12" t="str">
        <f>MOD($G$6*B1361 + $G$7, $G$8)</f>
      </c>
      <c r="C1362" s="12" t="str">
        <f>B1362/$G$8</f>
      </c>
      <c r="D1362" s="12" t="s">
        <v>80</v>
      </c>
    </row>
    <row r="1363">
      <c r="A1363" s="11">
        <v>1359</v>
      </c>
      <c r="B1363" s="11" t="str">
        <f>MOD($G$6*B1362 + $G$7, $G$8)</f>
      </c>
      <c r="C1363" s="11" t="str">
        <f>B1363/$G$8</f>
      </c>
      <c r="D1363" s="11" t="s">
        <v>80</v>
      </c>
    </row>
    <row r="1364">
      <c r="A1364" s="12">
        <v>1360</v>
      </c>
      <c r="B1364" s="12" t="str">
        <f>MOD($G$6*B1363 + $G$7, $G$8)</f>
      </c>
      <c r="C1364" s="12" t="str">
        <f>B1364/$G$8</f>
      </c>
      <c r="D1364" s="12" t="s">
        <v>80</v>
      </c>
    </row>
    <row r="1365">
      <c r="A1365" s="11">
        <v>1361</v>
      </c>
      <c r="B1365" s="11" t="str">
        <f>MOD($G$6*B1364 + $G$7, $G$8)</f>
      </c>
      <c r="C1365" s="11" t="str">
        <f>B1365/$G$8</f>
      </c>
      <c r="D1365" s="11" t="s">
        <v>80</v>
      </c>
    </row>
    <row r="1366">
      <c r="A1366" s="12">
        <v>1362</v>
      </c>
      <c r="B1366" s="12" t="str">
        <f>MOD($G$6*B1365 + $G$7, $G$8)</f>
      </c>
      <c r="C1366" s="12" t="str">
        <f>B1366/$G$8</f>
      </c>
      <c r="D1366" s="12" t="s">
        <v>80</v>
      </c>
    </row>
    <row r="1367">
      <c r="A1367" s="11">
        <v>1363</v>
      </c>
      <c r="B1367" s="11" t="str">
        <f>MOD($G$6*B1366 + $G$7, $G$8)</f>
      </c>
      <c r="C1367" s="11" t="str">
        <f>B1367/$G$8</f>
      </c>
      <c r="D1367" s="11" t="s">
        <v>80</v>
      </c>
    </row>
    <row r="1368">
      <c r="A1368" s="12">
        <v>1364</v>
      </c>
      <c r="B1368" s="12" t="str">
        <f>MOD($G$6*B1367 + $G$7, $G$8)</f>
      </c>
      <c r="C1368" s="12" t="str">
        <f>B1368/$G$8</f>
      </c>
      <c r="D1368" s="12" t="s">
        <v>80</v>
      </c>
    </row>
    <row r="1369">
      <c r="A1369" s="11">
        <v>1365</v>
      </c>
      <c r="B1369" s="11" t="str">
        <f>MOD($G$6*B1368 + $G$7, $G$8)</f>
      </c>
      <c r="C1369" s="11" t="str">
        <f>B1369/$G$8</f>
      </c>
      <c r="D1369" s="11" t="s">
        <v>80</v>
      </c>
    </row>
    <row r="1370">
      <c r="A1370" s="12">
        <v>1366</v>
      </c>
      <c r="B1370" s="12" t="str">
        <f>MOD($G$6*B1369 + $G$7, $G$8)</f>
      </c>
      <c r="C1370" s="12" t="str">
        <f>B1370/$G$8</f>
      </c>
      <c r="D1370" s="12" t="s">
        <v>80</v>
      </c>
    </row>
    <row r="1371">
      <c r="A1371" s="11">
        <v>1367</v>
      </c>
      <c r="B1371" s="11" t="str">
        <f>MOD($G$6*B1370 + $G$7, $G$8)</f>
      </c>
      <c r="C1371" s="11" t="str">
        <f>B1371/$G$8</f>
      </c>
      <c r="D1371" s="11" t="s">
        <v>80</v>
      </c>
    </row>
    <row r="1372">
      <c r="A1372" s="12">
        <v>1368</v>
      </c>
      <c r="B1372" s="12" t="str">
        <f>MOD($G$6*B1371 + $G$7, $G$8)</f>
      </c>
      <c r="C1372" s="12" t="str">
        <f>B1372/$G$8</f>
      </c>
      <c r="D1372" s="12" t="s">
        <v>80</v>
      </c>
    </row>
    <row r="1373">
      <c r="A1373" s="11">
        <v>1369</v>
      </c>
      <c r="B1373" s="11" t="str">
        <f>MOD($G$6*B1372 + $G$7, $G$8)</f>
      </c>
      <c r="C1373" s="11" t="str">
        <f>B1373/$G$8</f>
      </c>
      <c r="D1373" s="11" t="s">
        <v>80</v>
      </c>
    </row>
    <row r="1374">
      <c r="A1374" s="12">
        <v>1370</v>
      </c>
      <c r="B1374" s="12" t="str">
        <f>MOD($G$6*B1373 + $G$7, $G$8)</f>
      </c>
      <c r="C1374" s="12" t="str">
        <f>B1374/$G$8</f>
      </c>
      <c r="D1374" s="12" t="s">
        <v>80</v>
      </c>
    </row>
    <row r="1375">
      <c r="A1375" s="11">
        <v>1371</v>
      </c>
      <c r="B1375" s="11" t="str">
        <f>MOD($G$6*B1374 + $G$7, $G$8)</f>
      </c>
      <c r="C1375" s="11" t="str">
        <f>B1375/$G$8</f>
      </c>
      <c r="D1375" s="11" t="s">
        <v>80</v>
      </c>
    </row>
    <row r="1376">
      <c r="A1376" s="12">
        <v>1372</v>
      </c>
      <c r="B1376" s="12" t="str">
        <f>MOD($G$6*B1375 + $G$7, $G$8)</f>
      </c>
      <c r="C1376" s="12" t="str">
        <f>B1376/$G$8</f>
      </c>
      <c r="D1376" s="12" t="s">
        <v>80</v>
      </c>
    </row>
    <row r="1377">
      <c r="A1377" s="11">
        <v>1373</v>
      </c>
      <c r="B1377" s="11" t="str">
        <f>MOD($G$6*B1376 + $G$7, $G$8)</f>
      </c>
      <c r="C1377" s="11" t="str">
        <f>B1377/$G$8</f>
      </c>
      <c r="D1377" s="11" t="s">
        <v>80</v>
      </c>
    </row>
    <row r="1378">
      <c r="A1378" s="12">
        <v>1374</v>
      </c>
      <c r="B1378" s="12" t="str">
        <f>MOD($G$6*B1377 + $G$7, $G$8)</f>
      </c>
      <c r="C1378" s="12" t="str">
        <f>B1378/$G$8</f>
      </c>
      <c r="D1378" s="12" t="s">
        <v>80</v>
      </c>
    </row>
    <row r="1379">
      <c r="A1379" s="11">
        <v>1375</v>
      </c>
      <c r="B1379" s="11" t="str">
        <f>MOD($G$6*B1378 + $G$7, $G$8)</f>
      </c>
      <c r="C1379" s="11" t="str">
        <f>B1379/$G$8</f>
      </c>
      <c r="D1379" s="11" t="s">
        <v>80</v>
      </c>
    </row>
    <row r="1380">
      <c r="A1380" s="12">
        <v>1376</v>
      </c>
      <c r="B1380" s="12" t="str">
        <f>MOD($G$6*B1379 + $G$7, $G$8)</f>
      </c>
      <c r="C1380" s="12" t="str">
        <f>B1380/$G$8</f>
      </c>
      <c r="D1380" s="12" t="s">
        <v>80</v>
      </c>
    </row>
    <row r="1381">
      <c r="A1381" s="11">
        <v>1377</v>
      </c>
      <c r="B1381" s="11" t="str">
        <f>MOD($G$6*B1380 + $G$7, $G$8)</f>
      </c>
      <c r="C1381" s="11" t="str">
        <f>B1381/$G$8</f>
      </c>
      <c r="D1381" s="11" t="s">
        <v>80</v>
      </c>
    </row>
    <row r="1382">
      <c r="A1382" s="12">
        <v>1378</v>
      </c>
      <c r="B1382" s="12" t="str">
        <f>MOD($G$6*B1381 + $G$7, $G$8)</f>
      </c>
      <c r="C1382" s="12" t="str">
        <f>B1382/$G$8</f>
      </c>
      <c r="D1382" s="12" t="s">
        <v>80</v>
      </c>
    </row>
    <row r="1383">
      <c r="A1383" s="11">
        <v>1379</v>
      </c>
      <c r="B1383" s="11" t="str">
        <f>MOD($G$6*B1382 + $G$7, $G$8)</f>
      </c>
      <c r="C1383" s="11" t="str">
        <f>B1383/$G$8</f>
      </c>
      <c r="D1383" s="11" t="s">
        <v>80</v>
      </c>
    </row>
    <row r="1384">
      <c r="A1384" s="12">
        <v>1380</v>
      </c>
      <c r="B1384" s="12" t="str">
        <f>MOD($G$6*B1383 + $G$7, $G$8)</f>
      </c>
      <c r="C1384" s="12" t="str">
        <f>B1384/$G$8</f>
      </c>
      <c r="D1384" s="12" t="s">
        <v>80</v>
      </c>
    </row>
    <row r="1385">
      <c r="A1385" s="11">
        <v>1381</v>
      </c>
      <c r="B1385" s="11" t="str">
        <f>MOD($G$6*B1384 + $G$7, $G$8)</f>
      </c>
      <c r="C1385" s="11" t="str">
        <f>B1385/$G$8</f>
      </c>
      <c r="D1385" s="11" t="s">
        <v>80</v>
      </c>
    </row>
    <row r="1386">
      <c r="A1386" s="12">
        <v>1382</v>
      </c>
      <c r="B1386" s="12" t="str">
        <f>MOD($G$6*B1385 + $G$7, $G$8)</f>
      </c>
      <c r="C1386" s="12" t="str">
        <f>B1386/$G$8</f>
      </c>
      <c r="D1386" s="12" t="s">
        <v>80</v>
      </c>
    </row>
    <row r="1387">
      <c r="A1387" s="11">
        <v>1383</v>
      </c>
      <c r="B1387" s="11" t="str">
        <f>MOD($G$6*B1386 + $G$7, $G$8)</f>
      </c>
      <c r="C1387" s="11" t="str">
        <f>B1387/$G$8</f>
      </c>
      <c r="D1387" s="11" t="s">
        <v>80</v>
      </c>
    </row>
    <row r="1388">
      <c r="A1388" s="12">
        <v>1384</v>
      </c>
      <c r="B1388" s="12" t="str">
        <f>MOD($G$6*B1387 + $G$7, $G$8)</f>
      </c>
      <c r="C1388" s="12" t="str">
        <f>B1388/$G$8</f>
      </c>
      <c r="D1388" s="12" t="s">
        <v>80</v>
      </c>
    </row>
    <row r="1389">
      <c r="A1389" s="11">
        <v>1385</v>
      </c>
      <c r="B1389" s="11" t="str">
        <f>MOD($G$6*B1388 + $G$7, $G$8)</f>
      </c>
      <c r="C1389" s="11" t="str">
        <f>B1389/$G$8</f>
      </c>
      <c r="D1389" s="11" t="s">
        <v>80</v>
      </c>
    </row>
    <row r="1390">
      <c r="A1390" s="12">
        <v>1386</v>
      </c>
      <c r="B1390" s="12" t="str">
        <f>MOD($G$6*B1389 + $G$7, $G$8)</f>
      </c>
      <c r="C1390" s="12" t="str">
        <f>B1390/$G$8</f>
      </c>
      <c r="D1390" s="12" t="s">
        <v>80</v>
      </c>
    </row>
    <row r="1391">
      <c r="A1391" s="11">
        <v>1387</v>
      </c>
      <c r="B1391" s="11" t="str">
        <f>MOD($G$6*B1390 + $G$7, $G$8)</f>
      </c>
      <c r="C1391" s="11" t="str">
        <f>B1391/$G$8</f>
      </c>
      <c r="D1391" s="11" t="s">
        <v>80</v>
      </c>
    </row>
    <row r="1392">
      <c r="A1392" s="12">
        <v>1388</v>
      </c>
      <c r="B1392" s="12" t="str">
        <f>MOD($G$6*B1391 + $G$7, $G$8)</f>
      </c>
      <c r="C1392" s="12" t="str">
        <f>B1392/$G$8</f>
      </c>
      <c r="D1392" s="12" t="s">
        <v>80</v>
      </c>
    </row>
    <row r="1393">
      <c r="A1393" s="11">
        <v>1389</v>
      </c>
      <c r="B1393" s="11" t="str">
        <f>MOD($G$6*B1392 + $G$7, $G$8)</f>
      </c>
      <c r="C1393" s="11" t="str">
        <f>B1393/$G$8</f>
      </c>
      <c r="D1393" s="11" t="s">
        <v>80</v>
      </c>
    </row>
    <row r="1394">
      <c r="A1394" s="12">
        <v>1390</v>
      </c>
      <c r="B1394" s="12" t="str">
        <f>MOD($G$6*B1393 + $G$7, $G$8)</f>
      </c>
      <c r="C1394" s="12" t="str">
        <f>B1394/$G$8</f>
      </c>
      <c r="D1394" s="12" t="s">
        <v>80</v>
      </c>
    </row>
    <row r="1395">
      <c r="A1395" s="11">
        <v>1391</v>
      </c>
      <c r="B1395" s="11" t="str">
        <f>MOD($G$6*B1394 + $G$7, $G$8)</f>
      </c>
      <c r="C1395" s="11" t="str">
        <f>B1395/$G$8</f>
      </c>
      <c r="D1395" s="11" t="s">
        <v>80</v>
      </c>
    </row>
    <row r="1396">
      <c r="A1396" s="12">
        <v>1392</v>
      </c>
      <c r="B1396" s="12" t="str">
        <f>MOD($G$6*B1395 + $G$7, $G$8)</f>
      </c>
      <c r="C1396" s="12" t="str">
        <f>B1396/$G$8</f>
      </c>
      <c r="D1396" s="12" t="s">
        <v>80</v>
      </c>
    </row>
    <row r="1397">
      <c r="A1397" s="11">
        <v>1393</v>
      </c>
      <c r="B1397" s="11" t="str">
        <f>MOD($G$6*B1396 + $G$7, $G$8)</f>
      </c>
      <c r="C1397" s="11" t="str">
        <f>B1397/$G$8</f>
      </c>
      <c r="D1397" s="11" t="s">
        <v>80</v>
      </c>
    </row>
    <row r="1398">
      <c r="A1398" s="12">
        <v>1394</v>
      </c>
      <c r="B1398" s="12" t="str">
        <f>MOD($G$6*B1397 + $G$7, $G$8)</f>
      </c>
      <c r="C1398" s="12" t="str">
        <f>B1398/$G$8</f>
      </c>
      <c r="D1398" s="12" t="s">
        <v>80</v>
      </c>
    </row>
    <row r="1399">
      <c r="A1399" s="11">
        <v>1395</v>
      </c>
      <c r="B1399" s="11" t="str">
        <f>MOD($G$6*B1398 + $G$7, $G$8)</f>
      </c>
      <c r="C1399" s="11" t="str">
        <f>B1399/$G$8</f>
      </c>
      <c r="D1399" s="11" t="s">
        <v>80</v>
      </c>
    </row>
    <row r="1400">
      <c r="A1400" s="12">
        <v>1396</v>
      </c>
      <c r="B1400" s="12" t="str">
        <f>MOD($G$6*B1399 + $G$7, $G$8)</f>
      </c>
      <c r="C1400" s="12" t="str">
        <f>B1400/$G$8</f>
      </c>
      <c r="D1400" s="12" t="s">
        <v>80</v>
      </c>
    </row>
    <row r="1401">
      <c r="A1401" s="11">
        <v>1397</v>
      </c>
      <c r="B1401" s="11" t="str">
        <f>MOD($G$6*B1400 + $G$7, $G$8)</f>
      </c>
      <c r="C1401" s="11" t="str">
        <f>B1401/$G$8</f>
      </c>
      <c r="D1401" s="11" t="s">
        <v>80</v>
      </c>
    </row>
    <row r="1402">
      <c r="A1402" s="12">
        <v>1398</v>
      </c>
      <c r="B1402" s="12" t="str">
        <f>MOD($G$6*B1401 + $G$7, $G$8)</f>
      </c>
      <c r="C1402" s="12" t="str">
        <f>B1402/$G$8</f>
      </c>
      <c r="D1402" s="12" t="s">
        <v>80</v>
      </c>
    </row>
    <row r="1403">
      <c r="A1403" s="11">
        <v>1399</v>
      </c>
      <c r="B1403" s="11" t="str">
        <f>MOD($G$6*B1402 + $G$7, $G$8)</f>
      </c>
      <c r="C1403" s="11" t="str">
        <f>B1403/$G$8</f>
      </c>
      <c r="D1403" s="11" t="s">
        <v>80</v>
      </c>
    </row>
    <row r="1404">
      <c r="A1404" s="12">
        <v>1400</v>
      </c>
      <c r="B1404" s="12" t="str">
        <f>MOD($G$6*B1403 + $G$7, $G$8)</f>
      </c>
      <c r="C1404" s="12" t="str">
        <f>B1404/$G$8</f>
      </c>
      <c r="D1404" s="12" t="s">
        <v>80</v>
      </c>
    </row>
    <row r="1405">
      <c r="A1405" s="11">
        <v>1401</v>
      </c>
      <c r="B1405" s="11" t="str">
        <f>MOD($G$6*B1404 + $G$7, $G$8)</f>
      </c>
      <c r="C1405" s="11" t="str">
        <f>B1405/$G$8</f>
      </c>
      <c r="D1405" s="11" t="s">
        <v>80</v>
      </c>
    </row>
    <row r="1406">
      <c r="A1406" s="12">
        <v>1402</v>
      </c>
      <c r="B1406" s="12" t="str">
        <f>MOD($G$6*B1405 + $G$7, $G$8)</f>
      </c>
      <c r="C1406" s="12" t="str">
        <f>B1406/$G$8</f>
      </c>
      <c r="D1406" s="12" t="s">
        <v>80</v>
      </c>
    </row>
    <row r="1407">
      <c r="A1407" s="11">
        <v>1403</v>
      </c>
      <c r="B1407" s="11" t="str">
        <f>MOD($G$6*B1406 + $G$7, $G$8)</f>
      </c>
      <c r="C1407" s="11" t="str">
        <f>B1407/$G$8</f>
      </c>
      <c r="D1407" s="11" t="s">
        <v>80</v>
      </c>
    </row>
    <row r="1408">
      <c r="A1408" s="12">
        <v>1404</v>
      </c>
      <c r="B1408" s="12" t="str">
        <f>MOD($G$6*B1407 + $G$7, $G$8)</f>
      </c>
      <c r="C1408" s="12" t="str">
        <f>B1408/$G$8</f>
      </c>
      <c r="D1408" s="12" t="s">
        <v>80</v>
      </c>
    </row>
    <row r="1409">
      <c r="A1409" s="11">
        <v>1405</v>
      </c>
      <c r="B1409" s="11" t="str">
        <f>MOD($G$6*B1408 + $G$7, $G$8)</f>
      </c>
      <c r="C1409" s="11" t="str">
        <f>B1409/$G$8</f>
      </c>
      <c r="D1409" s="11" t="s">
        <v>80</v>
      </c>
    </row>
    <row r="1410">
      <c r="A1410" s="12">
        <v>1406</v>
      </c>
      <c r="B1410" s="12" t="str">
        <f>MOD($G$6*B1409 + $G$7, $G$8)</f>
      </c>
      <c r="C1410" s="12" t="str">
        <f>B1410/$G$8</f>
      </c>
      <c r="D1410" s="12" t="s">
        <v>80</v>
      </c>
    </row>
    <row r="1411">
      <c r="A1411" s="11">
        <v>1407</v>
      </c>
      <c r="B1411" s="11" t="str">
        <f>MOD($G$6*B1410 + $G$7, $G$8)</f>
      </c>
      <c r="C1411" s="11" t="str">
        <f>B1411/$G$8</f>
      </c>
      <c r="D1411" s="11" t="s">
        <v>80</v>
      </c>
    </row>
    <row r="1412">
      <c r="A1412" s="12">
        <v>1408</v>
      </c>
      <c r="B1412" s="12" t="str">
        <f>MOD($G$6*B1411 + $G$7, $G$8)</f>
      </c>
      <c r="C1412" s="12" t="str">
        <f>B1412/$G$8</f>
      </c>
      <c r="D1412" s="12" t="s">
        <v>80</v>
      </c>
    </row>
    <row r="1413">
      <c r="A1413" s="11">
        <v>1409</v>
      </c>
      <c r="B1413" s="11" t="str">
        <f>MOD($G$6*B1412 + $G$7, $G$8)</f>
      </c>
      <c r="C1413" s="11" t="str">
        <f>B1413/$G$8</f>
      </c>
      <c r="D1413" s="11" t="s">
        <v>80</v>
      </c>
    </row>
    <row r="1414">
      <c r="A1414" s="12">
        <v>1410</v>
      </c>
      <c r="B1414" s="12" t="str">
        <f>MOD($G$6*B1413 + $G$7, $G$8)</f>
      </c>
      <c r="C1414" s="12" t="str">
        <f>B1414/$G$8</f>
      </c>
      <c r="D1414" s="12" t="s">
        <v>80</v>
      </c>
    </row>
    <row r="1415">
      <c r="A1415" s="11">
        <v>1411</v>
      </c>
      <c r="B1415" s="11" t="str">
        <f>MOD($G$6*B1414 + $G$7, $G$8)</f>
      </c>
      <c r="C1415" s="11" t="str">
        <f>B1415/$G$8</f>
      </c>
      <c r="D1415" s="11" t="s">
        <v>80</v>
      </c>
    </row>
    <row r="1416">
      <c r="A1416" s="12">
        <v>1412</v>
      </c>
      <c r="B1416" s="12" t="str">
        <f>MOD($G$6*B1415 + $G$7, $G$8)</f>
      </c>
      <c r="C1416" s="12" t="str">
        <f>B1416/$G$8</f>
      </c>
      <c r="D1416" s="12" t="s">
        <v>80</v>
      </c>
    </row>
    <row r="1417">
      <c r="A1417" s="11">
        <v>1413</v>
      </c>
      <c r="B1417" s="11" t="str">
        <f>MOD($G$6*B1416 + $G$7, $G$8)</f>
      </c>
      <c r="C1417" s="11" t="str">
        <f>B1417/$G$8</f>
      </c>
      <c r="D1417" s="11" t="s">
        <v>80</v>
      </c>
    </row>
    <row r="1418">
      <c r="A1418" s="12">
        <v>1414</v>
      </c>
      <c r="B1418" s="12" t="str">
        <f>MOD($G$6*B1417 + $G$7, $G$8)</f>
      </c>
      <c r="C1418" s="12" t="str">
        <f>B1418/$G$8</f>
      </c>
      <c r="D1418" s="12" t="s">
        <v>80</v>
      </c>
    </row>
    <row r="1419">
      <c r="A1419" s="11">
        <v>1415</v>
      </c>
      <c r="B1419" s="11" t="str">
        <f>MOD($G$6*B1418 + $G$7, $G$8)</f>
      </c>
      <c r="C1419" s="11" t="str">
        <f>B1419/$G$8</f>
      </c>
      <c r="D1419" s="11" t="s">
        <v>80</v>
      </c>
    </row>
    <row r="1420">
      <c r="A1420" s="12">
        <v>1416</v>
      </c>
      <c r="B1420" s="12" t="str">
        <f>MOD($G$6*B1419 + $G$7, $G$8)</f>
      </c>
      <c r="C1420" s="12" t="str">
        <f>B1420/$G$8</f>
      </c>
      <c r="D1420" s="12" t="s">
        <v>80</v>
      </c>
    </row>
    <row r="1421">
      <c r="A1421" s="11">
        <v>1417</v>
      </c>
      <c r="B1421" s="11" t="str">
        <f>MOD($G$6*B1420 + $G$7, $G$8)</f>
      </c>
      <c r="C1421" s="11" t="str">
        <f>B1421/$G$8</f>
      </c>
      <c r="D1421" s="11" t="s">
        <v>80</v>
      </c>
    </row>
    <row r="1422">
      <c r="A1422" s="12">
        <v>1418</v>
      </c>
      <c r="B1422" s="12" t="str">
        <f>MOD($G$6*B1421 + $G$7, $G$8)</f>
      </c>
      <c r="C1422" s="12" t="str">
        <f>B1422/$G$8</f>
      </c>
      <c r="D1422" s="12" t="s">
        <v>80</v>
      </c>
    </row>
    <row r="1423">
      <c r="A1423" s="11">
        <v>1419</v>
      </c>
      <c r="B1423" s="11" t="str">
        <f>MOD($G$6*B1422 + $G$7, $G$8)</f>
      </c>
      <c r="C1423" s="11" t="str">
        <f>B1423/$G$8</f>
      </c>
      <c r="D1423" s="11" t="s">
        <v>80</v>
      </c>
    </row>
    <row r="1424">
      <c r="A1424" s="12">
        <v>1420</v>
      </c>
      <c r="B1424" s="12" t="str">
        <f>MOD($G$6*B1423 + $G$7, $G$8)</f>
      </c>
      <c r="C1424" s="12" t="str">
        <f>B1424/$G$8</f>
      </c>
      <c r="D1424" s="12" t="s">
        <v>80</v>
      </c>
    </row>
    <row r="1425">
      <c r="A1425" s="11">
        <v>1421</v>
      </c>
      <c r="B1425" s="11" t="str">
        <f>MOD($G$6*B1424 + $G$7, $G$8)</f>
      </c>
      <c r="C1425" s="11" t="str">
        <f>B1425/$G$8</f>
      </c>
      <c r="D1425" s="11" t="s">
        <v>80</v>
      </c>
    </row>
    <row r="1426">
      <c r="A1426" s="12">
        <v>1422</v>
      </c>
      <c r="B1426" s="12" t="str">
        <f>MOD($G$6*B1425 + $G$7, $G$8)</f>
      </c>
      <c r="C1426" s="12" t="str">
        <f>B1426/$G$8</f>
      </c>
      <c r="D1426" s="12" t="s">
        <v>80</v>
      </c>
    </row>
    <row r="1427">
      <c r="A1427" s="11">
        <v>1423</v>
      </c>
      <c r="B1427" s="11" t="str">
        <f>MOD($G$6*B1426 + $G$7, $G$8)</f>
      </c>
      <c r="C1427" s="11" t="str">
        <f>B1427/$G$8</f>
      </c>
      <c r="D1427" s="11" t="s">
        <v>80</v>
      </c>
    </row>
    <row r="1428">
      <c r="A1428" s="12">
        <v>1424</v>
      </c>
      <c r="B1428" s="12" t="str">
        <f>MOD($G$6*B1427 + $G$7, $G$8)</f>
      </c>
      <c r="C1428" s="12" t="str">
        <f>B1428/$G$8</f>
      </c>
      <c r="D1428" s="12" t="s">
        <v>80</v>
      </c>
    </row>
    <row r="1429">
      <c r="A1429" s="11">
        <v>1425</v>
      </c>
      <c r="B1429" s="11" t="str">
        <f>MOD($G$6*B1428 + $G$7, $G$8)</f>
      </c>
      <c r="C1429" s="11" t="str">
        <f>B1429/$G$8</f>
      </c>
      <c r="D1429" s="11" t="s">
        <v>80</v>
      </c>
    </row>
    <row r="1430">
      <c r="A1430" s="12">
        <v>1426</v>
      </c>
      <c r="B1430" s="12" t="str">
        <f>MOD($G$6*B1429 + $G$7, $G$8)</f>
      </c>
      <c r="C1430" s="12" t="str">
        <f>B1430/$G$8</f>
      </c>
      <c r="D1430" s="12" t="s">
        <v>80</v>
      </c>
    </row>
    <row r="1431">
      <c r="A1431" s="11">
        <v>1427</v>
      </c>
      <c r="B1431" s="11" t="str">
        <f>MOD($G$6*B1430 + $G$7, $G$8)</f>
      </c>
      <c r="C1431" s="11" t="str">
        <f>B1431/$G$8</f>
      </c>
      <c r="D1431" s="11" t="s">
        <v>80</v>
      </c>
    </row>
    <row r="1432">
      <c r="A1432" s="12">
        <v>1428</v>
      </c>
      <c r="B1432" s="12" t="str">
        <f>MOD($G$6*B1431 + $G$7, $G$8)</f>
      </c>
      <c r="C1432" s="12" t="str">
        <f>B1432/$G$8</f>
      </c>
      <c r="D1432" s="12" t="s">
        <v>80</v>
      </c>
    </row>
    <row r="1433">
      <c r="A1433" s="11">
        <v>1429</v>
      </c>
      <c r="B1433" s="11" t="str">
        <f>MOD($G$6*B1432 + $G$7, $G$8)</f>
      </c>
      <c r="C1433" s="11" t="str">
        <f>B1433/$G$8</f>
      </c>
      <c r="D1433" s="11" t="s">
        <v>80</v>
      </c>
    </row>
    <row r="1434">
      <c r="A1434" s="12">
        <v>1430</v>
      </c>
      <c r="B1434" s="12" t="str">
        <f>MOD($G$6*B1433 + $G$7, $G$8)</f>
      </c>
      <c r="C1434" s="12" t="str">
        <f>B1434/$G$8</f>
      </c>
      <c r="D1434" s="12" t="s">
        <v>80</v>
      </c>
    </row>
    <row r="1435">
      <c r="A1435" s="11">
        <v>1431</v>
      </c>
      <c r="B1435" s="11" t="str">
        <f>MOD($G$6*B1434 + $G$7, $G$8)</f>
      </c>
      <c r="C1435" s="11" t="str">
        <f>B1435/$G$8</f>
      </c>
      <c r="D1435" s="11" t="s">
        <v>80</v>
      </c>
    </row>
    <row r="1436">
      <c r="A1436" s="12">
        <v>1432</v>
      </c>
      <c r="B1436" s="12" t="str">
        <f>MOD($G$6*B1435 + $G$7, $G$8)</f>
      </c>
      <c r="C1436" s="12" t="str">
        <f>B1436/$G$8</f>
      </c>
      <c r="D1436" s="12" t="s">
        <v>80</v>
      </c>
    </row>
    <row r="1437">
      <c r="A1437" s="11">
        <v>1433</v>
      </c>
      <c r="B1437" s="11" t="str">
        <f>MOD($G$6*B1436 + $G$7, $G$8)</f>
      </c>
      <c r="C1437" s="11" t="str">
        <f>B1437/$G$8</f>
      </c>
      <c r="D1437" s="11" t="s">
        <v>80</v>
      </c>
    </row>
    <row r="1438">
      <c r="A1438" s="12">
        <v>1434</v>
      </c>
      <c r="B1438" s="12" t="str">
        <f>MOD($G$6*B1437 + $G$7, $G$8)</f>
      </c>
      <c r="C1438" s="12" t="str">
        <f>B1438/$G$8</f>
      </c>
      <c r="D1438" s="12" t="s">
        <v>80</v>
      </c>
    </row>
    <row r="1439">
      <c r="A1439" s="11">
        <v>1435</v>
      </c>
      <c r="B1439" s="11" t="str">
        <f>MOD($G$6*B1438 + $G$7, $G$8)</f>
      </c>
      <c r="C1439" s="11" t="str">
        <f>B1439/$G$8</f>
      </c>
      <c r="D1439" s="11" t="s">
        <v>80</v>
      </c>
    </row>
    <row r="1440">
      <c r="A1440" s="12">
        <v>1436</v>
      </c>
      <c r="B1440" s="12" t="str">
        <f>MOD($G$6*B1439 + $G$7, $G$8)</f>
      </c>
      <c r="C1440" s="12" t="str">
        <f>B1440/$G$8</f>
      </c>
      <c r="D1440" s="12" t="s">
        <v>80</v>
      </c>
    </row>
    <row r="1441">
      <c r="A1441" s="11">
        <v>1437</v>
      </c>
      <c r="B1441" s="11" t="str">
        <f>MOD($G$6*B1440 + $G$7, $G$8)</f>
      </c>
      <c r="C1441" s="11" t="str">
        <f>B1441/$G$8</f>
      </c>
      <c r="D1441" s="11" t="s">
        <v>80</v>
      </c>
    </row>
    <row r="1442">
      <c r="A1442" s="12">
        <v>1438</v>
      </c>
      <c r="B1442" s="12" t="str">
        <f>MOD($G$6*B1441 + $G$7, $G$8)</f>
      </c>
      <c r="C1442" s="12" t="str">
        <f>B1442/$G$8</f>
      </c>
      <c r="D1442" s="12" t="s">
        <v>80</v>
      </c>
    </row>
    <row r="1443">
      <c r="A1443" s="11">
        <v>1439</v>
      </c>
      <c r="B1443" s="11" t="str">
        <f>MOD($G$6*B1442 + $G$7, $G$8)</f>
      </c>
      <c r="C1443" s="11" t="str">
        <f>B1443/$G$8</f>
      </c>
      <c r="D1443" s="11" t="s">
        <v>80</v>
      </c>
    </row>
    <row r="1444">
      <c r="A1444" s="12">
        <v>1440</v>
      </c>
      <c r="B1444" s="12" t="str">
        <f>MOD($G$6*B1443 + $G$7, $G$8)</f>
      </c>
      <c r="C1444" s="12" t="str">
        <f>B1444/$G$8</f>
      </c>
      <c r="D1444" s="12" t="s">
        <v>80</v>
      </c>
    </row>
    <row r="1445">
      <c r="A1445" s="11">
        <v>1441</v>
      </c>
      <c r="B1445" s="11" t="str">
        <f>MOD($G$6*B1444 + $G$7, $G$8)</f>
      </c>
      <c r="C1445" s="11" t="str">
        <f>B1445/$G$8</f>
      </c>
      <c r="D1445" s="11" t="s">
        <v>80</v>
      </c>
    </row>
    <row r="1446">
      <c r="A1446" s="12">
        <v>1442</v>
      </c>
      <c r="B1446" s="12" t="str">
        <f>MOD($G$6*B1445 + $G$7, $G$8)</f>
      </c>
      <c r="C1446" s="12" t="str">
        <f>B1446/$G$8</f>
      </c>
      <c r="D1446" s="12" t="s">
        <v>80</v>
      </c>
    </row>
    <row r="1447">
      <c r="A1447" s="11">
        <v>1443</v>
      </c>
      <c r="B1447" s="11" t="str">
        <f>MOD($G$6*B1446 + $G$7, $G$8)</f>
      </c>
      <c r="C1447" s="11" t="str">
        <f>B1447/$G$8</f>
      </c>
      <c r="D1447" s="11" t="s">
        <v>80</v>
      </c>
    </row>
    <row r="1448">
      <c r="A1448" s="12">
        <v>1444</v>
      </c>
      <c r="B1448" s="12" t="str">
        <f>MOD($G$6*B1447 + $G$7, $G$8)</f>
      </c>
      <c r="C1448" s="12" t="str">
        <f>B1448/$G$8</f>
      </c>
      <c r="D1448" s="12" t="s">
        <v>80</v>
      </c>
    </row>
    <row r="1449">
      <c r="A1449" s="11">
        <v>1445</v>
      </c>
      <c r="B1449" s="11" t="str">
        <f>MOD($G$6*B1448 + $G$7, $G$8)</f>
      </c>
      <c r="C1449" s="11" t="str">
        <f>B1449/$G$8</f>
      </c>
      <c r="D1449" s="11" t="s">
        <v>80</v>
      </c>
    </row>
    <row r="1450">
      <c r="A1450" s="12">
        <v>1446</v>
      </c>
      <c r="B1450" s="12" t="str">
        <f>MOD($G$6*B1449 + $G$7, $G$8)</f>
      </c>
      <c r="C1450" s="12" t="str">
        <f>B1450/$G$8</f>
      </c>
      <c r="D1450" s="12" t="s">
        <v>80</v>
      </c>
    </row>
    <row r="1451">
      <c r="A1451" s="11">
        <v>1447</v>
      </c>
      <c r="B1451" s="11" t="str">
        <f>MOD($G$6*B1450 + $G$7, $G$8)</f>
      </c>
      <c r="C1451" s="11" t="str">
        <f>B1451/$G$8</f>
      </c>
      <c r="D1451" s="11" t="s">
        <v>80</v>
      </c>
    </row>
    <row r="1452">
      <c r="A1452" s="12">
        <v>1448</v>
      </c>
      <c r="B1452" s="12" t="str">
        <f>MOD($G$6*B1451 + $G$7, $G$8)</f>
      </c>
      <c r="C1452" s="12" t="str">
        <f>B1452/$G$8</f>
      </c>
      <c r="D1452" s="12" t="s">
        <v>80</v>
      </c>
    </row>
    <row r="1453">
      <c r="A1453" s="11">
        <v>1449</v>
      </c>
      <c r="B1453" s="11" t="str">
        <f>MOD($G$6*B1452 + $G$7, $G$8)</f>
      </c>
      <c r="C1453" s="11" t="str">
        <f>B1453/$G$8</f>
      </c>
      <c r="D1453" s="11" t="s">
        <v>80</v>
      </c>
    </row>
    <row r="1454">
      <c r="A1454" s="12">
        <v>1450</v>
      </c>
      <c r="B1454" s="12" t="str">
        <f>MOD($G$6*B1453 + $G$7, $G$8)</f>
      </c>
      <c r="C1454" s="12" t="str">
        <f>B1454/$G$8</f>
      </c>
      <c r="D1454" s="12" t="s">
        <v>80</v>
      </c>
    </row>
    <row r="1455">
      <c r="A1455" s="11">
        <v>1451</v>
      </c>
      <c r="B1455" s="11" t="str">
        <f>MOD($G$6*B1454 + $G$7, $G$8)</f>
      </c>
      <c r="C1455" s="11" t="str">
        <f>B1455/$G$8</f>
      </c>
      <c r="D1455" s="11" t="s">
        <v>80</v>
      </c>
    </row>
    <row r="1456">
      <c r="A1456" s="12">
        <v>1452</v>
      </c>
      <c r="B1456" s="12" t="str">
        <f>MOD($G$6*B1455 + $G$7, $G$8)</f>
      </c>
      <c r="C1456" s="12" t="str">
        <f>B1456/$G$8</f>
      </c>
      <c r="D1456" s="12" t="s">
        <v>80</v>
      </c>
    </row>
    <row r="1457">
      <c r="A1457" s="11">
        <v>1453</v>
      </c>
      <c r="B1457" s="11" t="str">
        <f>MOD($G$6*B1456 + $G$7, $G$8)</f>
      </c>
      <c r="C1457" s="11" t="str">
        <f>B1457/$G$8</f>
      </c>
      <c r="D1457" s="11" t="s">
        <v>80</v>
      </c>
    </row>
    <row r="1458">
      <c r="A1458" s="12">
        <v>1454</v>
      </c>
      <c r="B1458" s="12" t="str">
        <f>MOD($G$6*B1457 + $G$7, $G$8)</f>
      </c>
      <c r="C1458" s="12" t="str">
        <f>B1458/$G$8</f>
      </c>
      <c r="D1458" s="12" t="s">
        <v>80</v>
      </c>
    </row>
    <row r="1459">
      <c r="A1459" s="11">
        <v>1455</v>
      </c>
      <c r="B1459" s="11" t="str">
        <f>MOD($G$6*B1458 + $G$7, $G$8)</f>
      </c>
      <c r="C1459" s="11" t="str">
        <f>B1459/$G$8</f>
      </c>
      <c r="D1459" s="11" t="s">
        <v>80</v>
      </c>
    </row>
    <row r="1460">
      <c r="A1460" s="12">
        <v>1456</v>
      </c>
      <c r="B1460" s="12" t="str">
        <f>MOD($G$6*B1459 + $G$7, $G$8)</f>
      </c>
      <c r="C1460" s="12" t="str">
        <f>B1460/$G$8</f>
      </c>
      <c r="D1460" s="12" t="s">
        <v>80</v>
      </c>
    </row>
    <row r="1461">
      <c r="A1461" s="11">
        <v>1457</v>
      </c>
      <c r="B1461" s="11" t="str">
        <f>MOD($G$6*B1460 + $G$7, $G$8)</f>
      </c>
      <c r="C1461" s="11" t="str">
        <f>B1461/$G$8</f>
      </c>
      <c r="D1461" s="11" t="s">
        <v>80</v>
      </c>
    </row>
    <row r="1462">
      <c r="A1462" s="12">
        <v>1458</v>
      </c>
      <c r="B1462" s="12" t="str">
        <f>MOD($G$6*B1461 + $G$7, $G$8)</f>
      </c>
      <c r="C1462" s="12" t="str">
        <f>B1462/$G$8</f>
      </c>
      <c r="D1462" s="12" t="s">
        <v>80</v>
      </c>
    </row>
    <row r="1463">
      <c r="A1463" s="11">
        <v>1459</v>
      </c>
      <c r="B1463" s="11" t="str">
        <f>MOD($G$6*B1462 + $G$7, $G$8)</f>
      </c>
      <c r="C1463" s="11" t="str">
        <f>B1463/$G$8</f>
      </c>
      <c r="D1463" s="11" t="s">
        <v>80</v>
      </c>
    </row>
    <row r="1464">
      <c r="A1464" s="12">
        <v>1460</v>
      </c>
      <c r="B1464" s="12" t="str">
        <f>MOD($G$6*B1463 + $G$7, $G$8)</f>
      </c>
      <c r="C1464" s="12" t="str">
        <f>B1464/$G$8</f>
      </c>
      <c r="D1464" s="12" t="s">
        <v>80</v>
      </c>
    </row>
    <row r="1465">
      <c r="A1465" s="11">
        <v>1461</v>
      </c>
      <c r="B1465" s="11" t="str">
        <f>MOD($G$6*B1464 + $G$7, $G$8)</f>
      </c>
      <c r="C1465" s="11" t="str">
        <f>B1465/$G$8</f>
      </c>
      <c r="D1465" s="11" t="s">
        <v>80</v>
      </c>
    </row>
    <row r="1466">
      <c r="A1466" s="12">
        <v>1462</v>
      </c>
      <c r="B1466" s="12" t="str">
        <f>MOD($G$6*B1465 + $G$7, $G$8)</f>
      </c>
      <c r="C1466" s="12" t="str">
        <f>B1466/$G$8</f>
      </c>
      <c r="D1466" s="12" t="s">
        <v>80</v>
      </c>
    </row>
    <row r="1467">
      <c r="A1467" s="11">
        <v>1463</v>
      </c>
      <c r="B1467" s="11" t="str">
        <f>MOD($G$6*B1466 + $G$7, $G$8)</f>
      </c>
      <c r="C1467" s="11" t="str">
        <f>B1467/$G$8</f>
      </c>
      <c r="D1467" s="11" t="s">
        <v>80</v>
      </c>
    </row>
    <row r="1468">
      <c r="A1468" s="12">
        <v>1464</v>
      </c>
      <c r="B1468" s="12" t="str">
        <f>MOD($G$6*B1467 + $G$7, $G$8)</f>
      </c>
      <c r="C1468" s="12" t="str">
        <f>B1468/$G$8</f>
      </c>
      <c r="D1468" s="12" t="s">
        <v>80</v>
      </c>
    </row>
    <row r="1469">
      <c r="A1469" s="11">
        <v>1465</v>
      </c>
      <c r="B1469" s="11" t="str">
        <f>MOD($G$6*B1468 + $G$7, $G$8)</f>
      </c>
      <c r="C1469" s="11" t="str">
        <f>B1469/$G$8</f>
      </c>
      <c r="D1469" s="11" t="s">
        <v>80</v>
      </c>
    </row>
    <row r="1470">
      <c r="A1470" s="12">
        <v>1466</v>
      </c>
      <c r="B1470" s="12" t="str">
        <f>MOD($G$6*B1469 + $G$7, $G$8)</f>
      </c>
      <c r="C1470" s="12" t="str">
        <f>B1470/$G$8</f>
      </c>
      <c r="D1470" s="12" t="s">
        <v>80</v>
      </c>
    </row>
    <row r="1471">
      <c r="A1471" s="11">
        <v>1467</v>
      </c>
      <c r="B1471" s="11" t="str">
        <f>MOD($G$6*B1470 + $G$7, $G$8)</f>
      </c>
      <c r="C1471" s="11" t="str">
        <f>B1471/$G$8</f>
      </c>
      <c r="D1471" s="11" t="s">
        <v>80</v>
      </c>
    </row>
    <row r="1472">
      <c r="A1472" s="12">
        <v>1468</v>
      </c>
      <c r="B1472" s="12" t="str">
        <f>MOD($G$6*B1471 + $G$7, $G$8)</f>
      </c>
      <c r="C1472" s="12" t="str">
        <f>B1472/$G$8</f>
      </c>
      <c r="D1472" s="12" t="s">
        <v>80</v>
      </c>
    </row>
    <row r="1473">
      <c r="A1473" s="11">
        <v>1469</v>
      </c>
      <c r="B1473" s="11" t="str">
        <f>MOD($G$6*B1472 + $G$7, $G$8)</f>
      </c>
      <c r="C1473" s="11" t="str">
        <f>B1473/$G$8</f>
      </c>
      <c r="D1473" s="11" t="s">
        <v>80</v>
      </c>
    </row>
    <row r="1474">
      <c r="A1474" s="12">
        <v>1470</v>
      </c>
      <c r="B1474" s="12" t="str">
        <f>MOD($G$6*B1473 + $G$7, $G$8)</f>
      </c>
      <c r="C1474" s="12" t="str">
        <f>B1474/$G$8</f>
      </c>
      <c r="D1474" s="12" t="s">
        <v>80</v>
      </c>
    </row>
    <row r="1475">
      <c r="A1475" s="11">
        <v>1471</v>
      </c>
      <c r="B1475" s="11" t="str">
        <f>MOD($G$6*B1474 + $G$7, $G$8)</f>
      </c>
      <c r="C1475" s="11" t="str">
        <f>B1475/$G$8</f>
      </c>
      <c r="D1475" s="11" t="s">
        <v>80</v>
      </c>
    </row>
    <row r="1476">
      <c r="A1476" s="12">
        <v>1472</v>
      </c>
      <c r="B1476" s="12" t="str">
        <f>MOD($G$6*B1475 + $G$7, $G$8)</f>
      </c>
      <c r="C1476" s="12" t="str">
        <f>B1476/$G$8</f>
      </c>
      <c r="D1476" s="12" t="s">
        <v>80</v>
      </c>
    </row>
    <row r="1477">
      <c r="A1477" s="11">
        <v>1473</v>
      </c>
      <c r="B1477" s="11" t="str">
        <f>MOD($G$6*B1476 + $G$7, $G$8)</f>
      </c>
      <c r="C1477" s="11" t="str">
        <f>B1477/$G$8</f>
      </c>
      <c r="D1477" s="11" t="s">
        <v>80</v>
      </c>
    </row>
    <row r="1478">
      <c r="A1478" s="12">
        <v>1474</v>
      </c>
      <c r="B1478" s="12" t="str">
        <f>MOD($G$6*B1477 + $G$7, $G$8)</f>
      </c>
      <c r="C1478" s="12" t="str">
        <f>B1478/$G$8</f>
      </c>
      <c r="D1478" s="12" t="s">
        <v>80</v>
      </c>
    </row>
    <row r="1479">
      <c r="A1479" s="11">
        <v>1475</v>
      </c>
      <c r="B1479" s="11" t="str">
        <f>MOD($G$6*B1478 + $G$7, $G$8)</f>
      </c>
      <c r="C1479" s="11" t="str">
        <f>B1479/$G$8</f>
      </c>
      <c r="D1479" s="11" t="s">
        <v>80</v>
      </c>
    </row>
    <row r="1480">
      <c r="A1480" s="12">
        <v>1476</v>
      </c>
      <c r="B1480" s="12" t="str">
        <f>MOD($G$6*B1479 + $G$7, $G$8)</f>
      </c>
      <c r="C1480" s="12" t="str">
        <f>B1480/$G$8</f>
      </c>
      <c r="D1480" s="12" t="s">
        <v>80</v>
      </c>
    </row>
    <row r="1481">
      <c r="A1481" s="11">
        <v>1477</v>
      </c>
      <c r="B1481" s="11" t="str">
        <f>MOD($G$6*B1480 + $G$7, $G$8)</f>
      </c>
      <c r="C1481" s="11" t="str">
        <f>B1481/$G$8</f>
      </c>
      <c r="D1481" s="11" t="s">
        <v>80</v>
      </c>
    </row>
    <row r="1482">
      <c r="A1482" s="12">
        <v>1478</v>
      </c>
      <c r="B1482" s="12" t="str">
        <f>MOD($G$6*B1481 + $G$7, $G$8)</f>
      </c>
      <c r="C1482" s="12" t="str">
        <f>B1482/$G$8</f>
      </c>
      <c r="D1482" s="12" t="s">
        <v>80</v>
      </c>
    </row>
    <row r="1483">
      <c r="A1483" s="11">
        <v>1479</v>
      </c>
      <c r="B1483" s="11" t="str">
        <f>MOD($G$6*B1482 + $G$7, $G$8)</f>
      </c>
      <c r="C1483" s="11" t="str">
        <f>B1483/$G$8</f>
      </c>
      <c r="D1483" s="11" t="s">
        <v>80</v>
      </c>
    </row>
    <row r="1484">
      <c r="A1484" s="12">
        <v>1480</v>
      </c>
      <c r="B1484" s="12" t="str">
        <f>MOD($G$6*B1483 + $G$7, $G$8)</f>
      </c>
      <c r="C1484" s="12" t="str">
        <f>B1484/$G$8</f>
      </c>
      <c r="D1484" s="12" t="s">
        <v>80</v>
      </c>
    </row>
    <row r="1485">
      <c r="A1485" s="11">
        <v>1481</v>
      </c>
      <c r="B1485" s="11" t="str">
        <f>MOD($G$6*B1484 + $G$7, $G$8)</f>
      </c>
      <c r="C1485" s="11" t="str">
        <f>B1485/$G$8</f>
      </c>
      <c r="D1485" s="11" t="s">
        <v>80</v>
      </c>
    </row>
    <row r="1486">
      <c r="A1486" s="12">
        <v>1482</v>
      </c>
      <c r="B1486" s="12" t="str">
        <f>MOD($G$6*B1485 + $G$7, $G$8)</f>
      </c>
      <c r="C1486" s="12" t="str">
        <f>B1486/$G$8</f>
      </c>
      <c r="D1486" s="12" t="s">
        <v>80</v>
      </c>
    </row>
    <row r="1487">
      <c r="A1487" s="11">
        <v>1483</v>
      </c>
      <c r="B1487" s="11" t="str">
        <f>MOD($G$6*B1486 + $G$7, $G$8)</f>
      </c>
      <c r="C1487" s="11" t="str">
        <f>B1487/$G$8</f>
      </c>
      <c r="D1487" s="11" t="s">
        <v>80</v>
      </c>
    </row>
    <row r="1488">
      <c r="A1488" s="12">
        <v>1484</v>
      </c>
      <c r="B1488" s="12" t="str">
        <f>MOD($G$6*B1487 + $G$7, $G$8)</f>
      </c>
      <c r="C1488" s="12" t="str">
        <f>B1488/$G$8</f>
      </c>
      <c r="D1488" s="12" t="s">
        <v>80</v>
      </c>
    </row>
    <row r="1489">
      <c r="A1489" s="11">
        <v>1485</v>
      </c>
      <c r="B1489" s="11" t="str">
        <f>MOD($G$6*B1488 + $G$7, $G$8)</f>
      </c>
      <c r="C1489" s="11" t="str">
        <f>B1489/$G$8</f>
      </c>
      <c r="D1489" s="11" t="s">
        <v>80</v>
      </c>
    </row>
    <row r="1490">
      <c r="A1490" s="12">
        <v>1486</v>
      </c>
      <c r="B1490" s="12" t="str">
        <f>MOD($G$6*B1489 + $G$7, $G$8)</f>
      </c>
      <c r="C1490" s="12" t="str">
        <f>B1490/$G$8</f>
      </c>
      <c r="D1490" s="12" t="s">
        <v>80</v>
      </c>
    </row>
    <row r="1491">
      <c r="A1491" s="11">
        <v>1487</v>
      </c>
      <c r="B1491" s="11" t="str">
        <f>MOD($G$6*B1490 + $G$7, $G$8)</f>
      </c>
      <c r="C1491" s="11" t="str">
        <f>B1491/$G$8</f>
      </c>
      <c r="D1491" s="11" t="s">
        <v>80</v>
      </c>
    </row>
    <row r="1492">
      <c r="A1492" s="12">
        <v>1488</v>
      </c>
      <c r="B1492" s="12" t="str">
        <f>MOD($G$6*B1491 + $G$7, $G$8)</f>
      </c>
      <c r="C1492" s="12" t="str">
        <f>B1492/$G$8</f>
      </c>
      <c r="D1492" s="12" t="s">
        <v>80</v>
      </c>
    </row>
    <row r="1493">
      <c r="A1493" s="11">
        <v>1489</v>
      </c>
      <c r="B1493" s="11" t="str">
        <f>MOD($G$6*B1492 + $G$7, $G$8)</f>
      </c>
      <c r="C1493" s="11" t="str">
        <f>B1493/$G$8</f>
      </c>
      <c r="D1493" s="11" t="s">
        <v>80</v>
      </c>
    </row>
    <row r="1494">
      <c r="A1494" s="12">
        <v>1490</v>
      </c>
      <c r="B1494" s="12" t="str">
        <f>MOD($G$6*B1493 + $G$7, $G$8)</f>
      </c>
      <c r="C1494" s="12" t="str">
        <f>B1494/$G$8</f>
      </c>
      <c r="D1494" s="12" t="s">
        <v>80</v>
      </c>
    </row>
    <row r="1495">
      <c r="A1495" s="11">
        <v>1491</v>
      </c>
      <c r="B1495" s="11" t="str">
        <f>MOD($G$6*B1494 + $G$7, $G$8)</f>
      </c>
      <c r="C1495" s="11" t="str">
        <f>B1495/$G$8</f>
      </c>
      <c r="D1495" s="11" t="s">
        <v>80</v>
      </c>
    </row>
    <row r="1496">
      <c r="A1496" s="12">
        <v>1492</v>
      </c>
      <c r="B1496" s="12" t="str">
        <f>MOD($G$6*B1495 + $G$7, $G$8)</f>
      </c>
      <c r="C1496" s="12" t="str">
        <f>B1496/$G$8</f>
      </c>
      <c r="D1496" s="12" t="s">
        <v>80</v>
      </c>
    </row>
    <row r="1497">
      <c r="A1497" s="11">
        <v>1493</v>
      </c>
      <c r="B1497" s="11" t="str">
        <f>MOD($G$6*B1496 + $G$7, $G$8)</f>
      </c>
      <c r="C1497" s="11" t="str">
        <f>B1497/$G$8</f>
      </c>
      <c r="D1497" s="11" t="s">
        <v>80</v>
      </c>
    </row>
    <row r="1498">
      <c r="A1498" s="12">
        <v>1494</v>
      </c>
      <c r="B1498" s="12" t="str">
        <f>MOD($G$6*B1497 + $G$7, $G$8)</f>
      </c>
      <c r="C1498" s="12" t="str">
        <f>B1498/$G$8</f>
      </c>
      <c r="D1498" s="12" t="s">
        <v>80</v>
      </c>
    </row>
    <row r="1499">
      <c r="A1499" s="11">
        <v>1495</v>
      </c>
      <c r="B1499" s="11" t="str">
        <f>MOD($G$6*B1498 + $G$7, $G$8)</f>
      </c>
      <c r="C1499" s="11" t="str">
        <f>B1499/$G$8</f>
      </c>
      <c r="D1499" s="11" t="s">
        <v>80</v>
      </c>
    </row>
    <row r="1500">
      <c r="A1500" s="12">
        <v>1496</v>
      </c>
      <c r="B1500" s="12" t="str">
        <f>MOD($G$6*B1499 + $G$7, $G$8)</f>
      </c>
      <c r="C1500" s="12" t="str">
        <f>B1500/$G$8</f>
      </c>
      <c r="D1500" s="12" t="s">
        <v>80</v>
      </c>
    </row>
    <row r="1501">
      <c r="A1501" s="11">
        <v>1497</v>
      </c>
      <c r="B1501" s="11" t="str">
        <f>MOD($G$6*B1500 + $G$7, $G$8)</f>
      </c>
      <c r="C1501" s="11" t="str">
        <f>B1501/$G$8</f>
      </c>
      <c r="D1501" s="11" t="s">
        <v>80</v>
      </c>
    </row>
    <row r="1502">
      <c r="A1502" s="12">
        <v>1498</v>
      </c>
      <c r="B1502" s="12" t="str">
        <f>MOD($G$6*B1501 + $G$7, $G$8)</f>
      </c>
      <c r="C1502" s="12" t="str">
        <f>B1502/$G$8</f>
      </c>
      <c r="D1502" s="12" t="s">
        <v>80</v>
      </c>
    </row>
    <row r="1503">
      <c r="A1503" s="11">
        <v>1499</v>
      </c>
      <c r="B1503" s="11" t="str">
        <f>MOD($G$6*B1502 + $G$7, $G$8)</f>
      </c>
      <c r="C1503" s="11" t="str">
        <f>B1503/$G$8</f>
      </c>
      <c r="D1503" s="11" t="s">
        <v>80</v>
      </c>
    </row>
    <row r="1504">
      <c r="A1504" s="12">
        <v>1500</v>
      </c>
      <c r="B1504" s="12" t="str">
        <f>MOD($G$6*B1503 + $G$7, $G$8)</f>
      </c>
      <c r="C1504" s="12" t="str">
        <f>B1504/$G$8</f>
      </c>
      <c r="D1504" s="12" t="s">
        <v>80</v>
      </c>
    </row>
    <row r="1505">
      <c r="A1505" s="11">
        <v>1501</v>
      </c>
      <c r="B1505" s="11" t="str">
        <f>MOD($G$6*B1504 + $G$7, $G$8)</f>
      </c>
      <c r="C1505" s="11" t="str">
        <f>B1505/$G$8</f>
      </c>
      <c r="D1505" s="11" t="s">
        <v>80</v>
      </c>
    </row>
    <row r="1506">
      <c r="A1506" s="12">
        <v>1502</v>
      </c>
      <c r="B1506" s="12" t="str">
        <f>MOD($G$6*B1505 + $G$7, $G$8)</f>
      </c>
      <c r="C1506" s="12" t="str">
        <f>B1506/$G$8</f>
      </c>
      <c r="D1506" s="12" t="s">
        <v>80</v>
      </c>
    </row>
    <row r="1507">
      <c r="A1507" s="11">
        <v>1503</v>
      </c>
      <c r="B1507" s="11" t="str">
        <f>MOD($G$6*B1506 + $G$7, $G$8)</f>
      </c>
      <c r="C1507" s="11" t="str">
        <f>B1507/$G$8</f>
      </c>
      <c r="D1507" s="11" t="s">
        <v>80</v>
      </c>
    </row>
    <row r="1508">
      <c r="A1508" s="12">
        <v>1504</v>
      </c>
      <c r="B1508" s="12" t="str">
        <f>MOD($G$6*B1507 + $G$7, $G$8)</f>
      </c>
      <c r="C1508" s="12" t="str">
        <f>B1508/$G$8</f>
      </c>
      <c r="D1508" s="12" t="s">
        <v>80</v>
      </c>
    </row>
    <row r="1509">
      <c r="A1509" s="11">
        <v>1505</v>
      </c>
      <c r="B1509" s="11" t="str">
        <f>MOD($G$6*B1508 + $G$7, $G$8)</f>
      </c>
      <c r="C1509" s="11" t="str">
        <f>B1509/$G$8</f>
      </c>
      <c r="D1509" s="11" t="s">
        <v>80</v>
      </c>
    </row>
    <row r="1510">
      <c r="A1510" s="12">
        <v>1506</v>
      </c>
      <c r="B1510" s="12" t="str">
        <f>MOD($G$6*B1509 + $G$7, $G$8)</f>
      </c>
      <c r="C1510" s="12" t="str">
        <f>B1510/$G$8</f>
      </c>
      <c r="D1510" s="12" t="s">
        <v>80</v>
      </c>
    </row>
    <row r="1511">
      <c r="A1511" s="11">
        <v>1507</v>
      </c>
      <c r="B1511" s="11" t="str">
        <f>MOD($G$6*B1510 + $G$7, $G$8)</f>
      </c>
      <c r="C1511" s="11" t="str">
        <f>B1511/$G$8</f>
      </c>
      <c r="D1511" s="11" t="s">
        <v>80</v>
      </c>
    </row>
    <row r="1512">
      <c r="A1512" s="12">
        <v>1508</v>
      </c>
      <c r="B1512" s="12" t="str">
        <f>MOD($G$6*B1511 + $G$7, $G$8)</f>
      </c>
      <c r="C1512" s="12" t="str">
        <f>B1512/$G$8</f>
      </c>
      <c r="D1512" s="12" t="s">
        <v>80</v>
      </c>
    </row>
    <row r="1513">
      <c r="A1513" s="11">
        <v>1509</v>
      </c>
      <c r="B1513" s="11" t="str">
        <f>MOD($G$6*B1512 + $G$7, $G$8)</f>
      </c>
      <c r="C1513" s="11" t="str">
        <f>B1513/$G$8</f>
      </c>
      <c r="D1513" s="11" t="s">
        <v>80</v>
      </c>
    </row>
    <row r="1514">
      <c r="A1514" s="12">
        <v>1510</v>
      </c>
      <c r="B1514" s="12" t="str">
        <f>MOD($G$6*B1513 + $G$7, $G$8)</f>
      </c>
      <c r="C1514" s="12" t="str">
        <f>B1514/$G$8</f>
      </c>
      <c r="D1514" s="12" t="s">
        <v>80</v>
      </c>
    </row>
    <row r="1515">
      <c r="A1515" s="11">
        <v>1511</v>
      </c>
      <c r="B1515" s="11" t="str">
        <f>MOD($G$6*B1514 + $G$7, $G$8)</f>
      </c>
      <c r="C1515" s="11" t="str">
        <f>B1515/$G$8</f>
      </c>
      <c r="D1515" s="11" t="s">
        <v>80</v>
      </c>
    </row>
    <row r="1516">
      <c r="A1516" s="12">
        <v>1512</v>
      </c>
      <c r="B1516" s="12" t="str">
        <f>MOD($G$6*B1515 + $G$7, $G$8)</f>
      </c>
      <c r="C1516" s="12" t="str">
        <f>B1516/$G$8</f>
      </c>
      <c r="D1516" s="12" t="s">
        <v>80</v>
      </c>
    </row>
    <row r="1517">
      <c r="A1517" s="11">
        <v>1513</v>
      </c>
      <c r="B1517" s="11" t="str">
        <f>MOD($G$6*B1516 + $G$7, $G$8)</f>
      </c>
      <c r="C1517" s="11" t="str">
        <f>B1517/$G$8</f>
      </c>
      <c r="D1517" s="11" t="s">
        <v>80</v>
      </c>
    </row>
    <row r="1518">
      <c r="A1518" s="12">
        <v>1514</v>
      </c>
      <c r="B1518" s="12" t="str">
        <f>MOD($G$6*B1517 + $G$7, $G$8)</f>
      </c>
      <c r="C1518" s="12" t="str">
        <f>B1518/$G$8</f>
      </c>
      <c r="D1518" s="12" t="s">
        <v>80</v>
      </c>
    </row>
    <row r="1519">
      <c r="A1519" s="11">
        <v>1515</v>
      </c>
      <c r="B1519" s="11" t="str">
        <f>MOD($G$6*B1518 + $G$7, $G$8)</f>
      </c>
      <c r="C1519" s="11" t="str">
        <f>B1519/$G$8</f>
      </c>
      <c r="D1519" s="11" t="s">
        <v>80</v>
      </c>
    </row>
    <row r="1520">
      <c r="A1520" s="12">
        <v>1516</v>
      </c>
      <c r="B1520" s="12" t="str">
        <f>MOD($G$6*B1519 + $G$7, $G$8)</f>
      </c>
      <c r="C1520" s="12" t="str">
        <f>B1520/$G$8</f>
      </c>
      <c r="D1520" s="12" t="s">
        <v>80</v>
      </c>
    </row>
    <row r="1521">
      <c r="A1521" s="11">
        <v>1517</v>
      </c>
      <c r="B1521" s="11" t="str">
        <f>MOD($G$6*B1520 + $G$7, $G$8)</f>
      </c>
      <c r="C1521" s="11" t="str">
        <f>B1521/$G$8</f>
      </c>
      <c r="D1521" s="11" t="s">
        <v>80</v>
      </c>
    </row>
    <row r="1522">
      <c r="A1522" s="12">
        <v>1518</v>
      </c>
      <c r="B1522" s="12" t="str">
        <f>MOD($G$6*B1521 + $G$7, $G$8)</f>
      </c>
      <c r="C1522" s="12" t="str">
        <f>B1522/$G$8</f>
      </c>
      <c r="D1522" s="12" t="s">
        <v>80</v>
      </c>
    </row>
    <row r="1523">
      <c r="A1523" s="11">
        <v>1519</v>
      </c>
      <c r="B1523" s="11" t="str">
        <f>MOD($G$6*B1522 + $G$7, $G$8)</f>
      </c>
      <c r="C1523" s="11" t="str">
        <f>B1523/$G$8</f>
      </c>
      <c r="D1523" s="11" t="s">
        <v>80</v>
      </c>
    </row>
    <row r="1524">
      <c r="A1524" s="12">
        <v>1520</v>
      </c>
      <c r="B1524" s="12" t="str">
        <f>MOD($G$6*B1523 + $G$7, $G$8)</f>
      </c>
      <c r="C1524" s="12" t="str">
        <f>B1524/$G$8</f>
      </c>
      <c r="D1524" s="12" t="s">
        <v>80</v>
      </c>
    </row>
    <row r="1525">
      <c r="A1525" s="11">
        <v>1521</v>
      </c>
      <c r="B1525" s="11" t="str">
        <f>MOD($G$6*B1524 + $G$7, $G$8)</f>
      </c>
      <c r="C1525" s="11" t="str">
        <f>B1525/$G$8</f>
      </c>
      <c r="D1525" s="11" t="s">
        <v>80</v>
      </c>
    </row>
    <row r="1526">
      <c r="A1526" s="12">
        <v>1522</v>
      </c>
      <c r="B1526" s="12" t="str">
        <f>MOD($G$6*B1525 + $G$7, $G$8)</f>
      </c>
      <c r="C1526" s="12" t="str">
        <f>B1526/$G$8</f>
      </c>
      <c r="D1526" s="12" t="s">
        <v>80</v>
      </c>
    </row>
    <row r="1527">
      <c r="A1527" s="11">
        <v>1523</v>
      </c>
      <c r="B1527" s="11" t="str">
        <f>MOD($G$6*B1526 + $G$7, $G$8)</f>
      </c>
      <c r="C1527" s="11" t="str">
        <f>B1527/$G$8</f>
      </c>
      <c r="D1527" s="11" t="s">
        <v>80</v>
      </c>
    </row>
    <row r="1528">
      <c r="A1528" s="12">
        <v>1524</v>
      </c>
      <c r="B1528" s="12" t="str">
        <f>MOD($G$6*B1527 + $G$7, $G$8)</f>
      </c>
      <c r="C1528" s="12" t="str">
        <f>B1528/$G$8</f>
      </c>
      <c r="D1528" s="12" t="s">
        <v>80</v>
      </c>
    </row>
    <row r="1529">
      <c r="A1529" s="11">
        <v>1525</v>
      </c>
      <c r="B1529" s="11" t="str">
        <f>MOD($G$6*B1528 + $G$7, $G$8)</f>
      </c>
      <c r="C1529" s="11" t="str">
        <f>B1529/$G$8</f>
      </c>
      <c r="D1529" s="11" t="s">
        <v>80</v>
      </c>
    </row>
    <row r="1530">
      <c r="A1530" s="12">
        <v>1526</v>
      </c>
      <c r="B1530" s="12" t="str">
        <f>MOD($G$6*B1529 + $G$7, $G$8)</f>
      </c>
      <c r="C1530" s="12" t="str">
        <f>B1530/$G$8</f>
      </c>
      <c r="D1530" s="12" t="s">
        <v>80</v>
      </c>
    </row>
    <row r="1531">
      <c r="A1531" s="11">
        <v>1527</v>
      </c>
      <c r="B1531" s="11" t="str">
        <f>MOD($G$6*B1530 + $G$7, $G$8)</f>
      </c>
      <c r="C1531" s="11" t="str">
        <f>B1531/$G$8</f>
      </c>
      <c r="D1531" s="11" t="s">
        <v>80</v>
      </c>
    </row>
    <row r="1532">
      <c r="A1532" s="12">
        <v>1528</v>
      </c>
      <c r="B1532" s="12" t="str">
        <f>MOD($G$6*B1531 + $G$7, $G$8)</f>
      </c>
      <c r="C1532" s="12" t="str">
        <f>B1532/$G$8</f>
      </c>
      <c r="D1532" s="12" t="s">
        <v>80</v>
      </c>
    </row>
    <row r="1533">
      <c r="A1533" s="11">
        <v>1529</v>
      </c>
      <c r="B1533" s="11" t="str">
        <f>MOD($G$6*B1532 + $G$7, $G$8)</f>
      </c>
      <c r="C1533" s="11" t="str">
        <f>B1533/$G$8</f>
      </c>
      <c r="D1533" s="11" t="s">
        <v>80</v>
      </c>
    </row>
    <row r="1534">
      <c r="A1534" s="12">
        <v>1530</v>
      </c>
      <c r="B1534" s="12" t="str">
        <f>MOD($G$6*B1533 + $G$7, $G$8)</f>
      </c>
      <c r="C1534" s="12" t="str">
        <f>B1534/$G$8</f>
      </c>
      <c r="D1534" s="12" t="s">
        <v>80</v>
      </c>
    </row>
    <row r="1535">
      <c r="A1535" s="11">
        <v>1531</v>
      </c>
      <c r="B1535" s="11" t="str">
        <f>MOD($G$6*B1534 + $G$7, $G$8)</f>
      </c>
      <c r="C1535" s="11" t="str">
        <f>B1535/$G$8</f>
      </c>
      <c r="D1535" s="11" t="s">
        <v>80</v>
      </c>
    </row>
    <row r="1536">
      <c r="A1536" s="12">
        <v>1532</v>
      </c>
      <c r="B1536" s="12" t="str">
        <f>MOD($G$6*B1535 + $G$7, $G$8)</f>
      </c>
      <c r="C1536" s="12" t="str">
        <f>B1536/$G$8</f>
      </c>
      <c r="D1536" s="12" t="s">
        <v>80</v>
      </c>
    </row>
    <row r="1537">
      <c r="A1537" s="11">
        <v>1533</v>
      </c>
      <c r="B1537" s="11" t="str">
        <f>MOD($G$6*B1536 + $G$7, $G$8)</f>
      </c>
      <c r="C1537" s="11" t="str">
        <f>B1537/$G$8</f>
      </c>
      <c r="D1537" s="11" t="s">
        <v>80</v>
      </c>
    </row>
    <row r="1538">
      <c r="A1538" s="12">
        <v>1534</v>
      </c>
      <c r="B1538" s="12" t="str">
        <f>MOD($G$6*B1537 + $G$7, $G$8)</f>
      </c>
      <c r="C1538" s="12" t="str">
        <f>B1538/$G$8</f>
      </c>
      <c r="D1538" s="12" t="s">
        <v>80</v>
      </c>
    </row>
    <row r="1539">
      <c r="A1539" s="11">
        <v>1535</v>
      </c>
      <c r="B1539" s="11" t="str">
        <f>MOD($G$6*B1538 + $G$7, $G$8)</f>
      </c>
      <c r="C1539" s="11" t="str">
        <f>B1539/$G$8</f>
      </c>
      <c r="D1539" s="11" t="s">
        <v>80</v>
      </c>
    </row>
    <row r="1540">
      <c r="A1540" s="12">
        <v>1536</v>
      </c>
      <c r="B1540" s="12" t="str">
        <f>MOD($G$6*B1539 + $G$7, $G$8)</f>
      </c>
      <c r="C1540" s="12" t="str">
        <f>B1540/$G$8</f>
      </c>
      <c r="D1540" s="12" t="s">
        <v>80</v>
      </c>
    </row>
    <row r="1541">
      <c r="A1541" s="11">
        <v>1537</v>
      </c>
      <c r="B1541" s="11" t="str">
        <f>MOD($G$6*B1540 + $G$7, $G$8)</f>
      </c>
      <c r="C1541" s="11" t="str">
        <f>B1541/$G$8</f>
      </c>
      <c r="D1541" s="11" t="s">
        <v>80</v>
      </c>
    </row>
    <row r="1542">
      <c r="A1542" s="12">
        <v>1538</v>
      </c>
      <c r="B1542" s="12" t="str">
        <f>MOD($G$6*B1541 + $G$7, $G$8)</f>
      </c>
      <c r="C1542" s="12" t="str">
        <f>B1542/$G$8</f>
      </c>
      <c r="D1542" s="12" t="s">
        <v>80</v>
      </c>
    </row>
    <row r="1543">
      <c r="A1543" s="11">
        <v>1539</v>
      </c>
      <c r="B1543" s="11" t="str">
        <f>MOD($G$6*B1542 + $G$7, $G$8)</f>
      </c>
      <c r="C1543" s="11" t="str">
        <f>B1543/$G$8</f>
      </c>
      <c r="D1543" s="11" t="s">
        <v>80</v>
      </c>
    </row>
    <row r="1544">
      <c r="A1544" s="12">
        <v>1540</v>
      </c>
      <c r="B1544" s="12" t="str">
        <f>MOD($G$6*B1543 + $G$7, $G$8)</f>
      </c>
      <c r="C1544" s="12" t="str">
        <f>B1544/$G$8</f>
      </c>
      <c r="D1544" s="12" t="s">
        <v>80</v>
      </c>
    </row>
    <row r="1545">
      <c r="A1545" s="11">
        <v>1541</v>
      </c>
      <c r="B1545" s="11" t="str">
        <f>MOD($G$6*B1544 + $G$7, $G$8)</f>
      </c>
      <c r="C1545" s="11" t="str">
        <f>B1545/$G$8</f>
      </c>
      <c r="D1545" s="11" t="s">
        <v>80</v>
      </c>
    </row>
    <row r="1546">
      <c r="A1546" s="12">
        <v>1542</v>
      </c>
      <c r="B1546" s="12" t="str">
        <f>MOD($G$6*B1545 + $G$7, $G$8)</f>
      </c>
      <c r="C1546" s="12" t="str">
        <f>B1546/$G$8</f>
      </c>
      <c r="D1546" s="12" t="s">
        <v>80</v>
      </c>
    </row>
    <row r="1547">
      <c r="A1547" s="11">
        <v>1543</v>
      </c>
      <c r="B1547" s="11" t="str">
        <f>MOD($G$6*B1546 + $G$7, $G$8)</f>
      </c>
      <c r="C1547" s="11" t="str">
        <f>B1547/$G$8</f>
      </c>
      <c r="D1547" s="11" t="s">
        <v>80</v>
      </c>
    </row>
    <row r="1548">
      <c r="A1548" s="12">
        <v>1544</v>
      </c>
      <c r="B1548" s="12" t="str">
        <f>MOD($G$6*B1547 + $G$7, $G$8)</f>
      </c>
      <c r="C1548" s="12" t="str">
        <f>B1548/$G$8</f>
      </c>
      <c r="D1548" s="12" t="s">
        <v>80</v>
      </c>
    </row>
    <row r="1549">
      <c r="A1549" s="11">
        <v>1545</v>
      </c>
      <c r="B1549" s="11" t="str">
        <f>MOD($G$6*B1548 + $G$7, $G$8)</f>
      </c>
      <c r="C1549" s="11" t="str">
        <f>B1549/$G$8</f>
      </c>
      <c r="D1549" s="11" t="s">
        <v>80</v>
      </c>
    </row>
    <row r="1550">
      <c r="A1550" s="12">
        <v>1546</v>
      </c>
      <c r="B1550" s="12" t="str">
        <f>MOD($G$6*B1549 + $G$7, $G$8)</f>
      </c>
      <c r="C1550" s="12" t="str">
        <f>B1550/$G$8</f>
      </c>
      <c r="D1550" s="12" t="s">
        <v>80</v>
      </c>
    </row>
    <row r="1551">
      <c r="A1551" s="11">
        <v>1547</v>
      </c>
      <c r="B1551" s="11" t="str">
        <f>MOD($G$6*B1550 + $G$7, $G$8)</f>
      </c>
      <c r="C1551" s="11" t="str">
        <f>B1551/$G$8</f>
      </c>
      <c r="D1551" s="11" t="s">
        <v>80</v>
      </c>
    </row>
    <row r="1552">
      <c r="A1552" s="12">
        <v>1548</v>
      </c>
      <c r="B1552" s="12" t="str">
        <f>MOD($G$6*B1551 + $G$7, $G$8)</f>
      </c>
      <c r="C1552" s="12" t="str">
        <f>B1552/$G$8</f>
      </c>
      <c r="D1552" s="12" t="s">
        <v>80</v>
      </c>
    </row>
    <row r="1553">
      <c r="A1553" s="11">
        <v>1549</v>
      </c>
      <c r="B1553" s="11" t="str">
        <f>MOD($G$6*B1552 + $G$7, $G$8)</f>
      </c>
      <c r="C1553" s="11" t="str">
        <f>B1553/$G$8</f>
      </c>
      <c r="D1553" s="11" t="s">
        <v>80</v>
      </c>
    </row>
    <row r="1554">
      <c r="A1554" s="12">
        <v>1550</v>
      </c>
      <c r="B1554" s="12" t="str">
        <f>MOD($G$6*B1553 + $G$7, $G$8)</f>
      </c>
      <c r="C1554" s="12" t="str">
        <f>B1554/$G$8</f>
      </c>
      <c r="D1554" s="12" t="s">
        <v>80</v>
      </c>
    </row>
    <row r="1555">
      <c r="A1555" s="11">
        <v>1551</v>
      </c>
      <c r="B1555" s="11" t="str">
        <f>MOD($G$6*B1554 + $G$7, $G$8)</f>
      </c>
      <c r="C1555" s="11" t="str">
        <f>B1555/$G$8</f>
      </c>
      <c r="D1555" s="11" t="s">
        <v>80</v>
      </c>
    </row>
    <row r="1556">
      <c r="A1556" s="12">
        <v>1552</v>
      </c>
      <c r="B1556" s="12" t="str">
        <f>MOD($G$6*B1555 + $G$7, $G$8)</f>
      </c>
      <c r="C1556" s="12" t="str">
        <f>B1556/$G$8</f>
      </c>
      <c r="D1556" s="12" t="s">
        <v>80</v>
      </c>
    </row>
    <row r="1557">
      <c r="A1557" s="11">
        <v>1553</v>
      </c>
      <c r="B1557" s="11" t="str">
        <f>MOD($G$6*B1556 + $G$7, $G$8)</f>
      </c>
      <c r="C1557" s="11" t="str">
        <f>B1557/$G$8</f>
      </c>
      <c r="D1557" s="11" t="s">
        <v>80</v>
      </c>
    </row>
    <row r="1558">
      <c r="A1558" s="12">
        <v>1554</v>
      </c>
      <c r="B1558" s="12" t="str">
        <f>MOD($G$6*B1557 + $G$7, $G$8)</f>
      </c>
      <c r="C1558" s="12" t="str">
        <f>B1558/$G$8</f>
      </c>
      <c r="D1558" s="12" t="s">
        <v>80</v>
      </c>
    </row>
    <row r="1559">
      <c r="A1559" s="11">
        <v>1555</v>
      </c>
      <c r="B1559" s="11" t="str">
        <f>MOD($G$6*B1558 + $G$7, $G$8)</f>
      </c>
      <c r="C1559" s="11" t="str">
        <f>B1559/$G$8</f>
      </c>
      <c r="D1559" s="11" t="s">
        <v>80</v>
      </c>
    </row>
    <row r="1560">
      <c r="A1560" s="12">
        <v>1556</v>
      </c>
      <c r="B1560" s="12" t="str">
        <f>MOD($G$6*B1559 + $G$7, $G$8)</f>
      </c>
      <c r="C1560" s="12" t="str">
        <f>B1560/$G$8</f>
      </c>
      <c r="D1560" s="12" t="s">
        <v>80</v>
      </c>
    </row>
    <row r="1561">
      <c r="A1561" s="11">
        <v>1557</v>
      </c>
      <c r="B1561" s="11" t="str">
        <f>MOD($G$6*B1560 + $G$7, $G$8)</f>
      </c>
      <c r="C1561" s="11" t="str">
        <f>B1561/$G$8</f>
      </c>
      <c r="D1561" s="11" t="s">
        <v>80</v>
      </c>
    </row>
    <row r="1562">
      <c r="A1562" s="12">
        <v>1558</v>
      </c>
      <c r="B1562" s="12" t="str">
        <f>MOD($G$6*B1561 + $G$7, $G$8)</f>
      </c>
      <c r="C1562" s="12" t="str">
        <f>B1562/$G$8</f>
      </c>
      <c r="D1562" s="12" t="s">
        <v>80</v>
      </c>
    </row>
    <row r="1563">
      <c r="A1563" s="11">
        <v>1559</v>
      </c>
      <c r="B1563" s="11" t="str">
        <f>MOD($G$6*B1562 + $G$7, $G$8)</f>
      </c>
      <c r="C1563" s="11" t="str">
        <f>B1563/$G$8</f>
      </c>
      <c r="D1563" s="11" t="s">
        <v>80</v>
      </c>
    </row>
    <row r="1564">
      <c r="A1564" s="12">
        <v>1560</v>
      </c>
      <c r="B1564" s="12" t="str">
        <f>MOD($G$6*B1563 + $G$7, $G$8)</f>
      </c>
      <c r="C1564" s="12" t="str">
        <f>B1564/$G$8</f>
      </c>
      <c r="D1564" s="12" t="s">
        <v>80</v>
      </c>
    </row>
    <row r="1565">
      <c r="A1565" s="11">
        <v>1561</v>
      </c>
      <c r="B1565" s="11" t="str">
        <f>MOD($G$6*B1564 + $G$7, $G$8)</f>
      </c>
      <c r="C1565" s="11" t="str">
        <f>B1565/$G$8</f>
      </c>
      <c r="D1565" s="11" t="s">
        <v>80</v>
      </c>
    </row>
    <row r="1566">
      <c r="A1566" s="12">
        <v>1562</v>
      </c>
      <c r="B1566" s="12" t="str">
        <f>MOD($G$6*B1565 + $G$7, $G$8)</f>
      </c>
      <c r="C1566" s="12" t="str">
        <f>B1566/$G$8</f>
      </c>
      <c r="D1566" s="12" t="s">
        <v>80</v>
      </c>
    </row>
    <row r="1567">
      <c r="A1567" s="11">
        <v>1563</v>
      </c>
      <c r="B1567" s="11" t="str">
        <f>MOD($G$6*B1566 + $G$7, $G$8)</f>
      </c>
      <c r="C1567" s="11" t="str">
        <f>B1567/$G$8</f>
      </c>
      <c r="D1567" s="11" t="s">
        <v>80</v>
      </c>
    </row>
    <row r="1568">
      <c r="A1568" s="12">
        <v>1564</v>
      </c>
      <c r="B1568" s="12" t="str">
        <f>MOD($G$6*B1567 + $G$7, $G$8)</f>
      </c>
      <c r="C1568" s="12" t="str">
        <f>B1568/$G$8</f>
      </c>
      <c r="D1568" s="12" t="s">
        <v>80</v>
      </c>
    </row>
    <row r="1569">
      <c r="A1569" s="11">
        <v>1565</v>
      </c>
      <c r="B1569" s="11" t="str">
        <f>MOD($G$6*B1568 + $G$7, $G$8)</f>
      </c>
      <c r="C1569" s="11" t="str">
        <f>B1569/$G$8</f>
      </c>
      <c r="D1569" s="11" t="s">
        <v>80</v>
      </c>
    </row>
    <row r="1570">
      <c r="A1570" s="12">
        <v>1566</v>
      </c>
      <c r="B1570" s="12" t="str">
        <f>MOD($G$6*B1569 + $G$7, $G$8)</f>
      </c>
      <c r="C1570" s="12" t="str">
        <f>B1570/$G$8</f>
      </c>
      <c r="D1570" s="12" t="s">
        <v>80</v>
      </c>
    </row>
    <row r="1571">
      <c r="A1571" s="11">
        <v>1567</v>
      </c>
      <c r="B1571" s="11" t="str">
        <f>MOD($G$6*B1570 + $G$7, $G$8)</f>
      </c>
      <c r="C1571" s="11" t="str">
        <f>B1571/$G$8</f>
      </c>
      <c r="D1571" s="11" t="s">
        <v>80</v>
      </c>
    </row>
    <row r="1572">
      <c r="A1572" s="12">
        <v>1568</v>
      </c>
      <c r="B1572" s="12" t="str">
        <f>MOD($G$6*B1571 + $G$7, $G$8)</f>
      </c>
      <c r="C1572" s="12" t="str">
        <f>B1572/$G$8</f>
      </c>
      <c r="D1572" s="12" t="s">
        <v>80</v>
      </c>
    </row>
    <row r="1573">
      <c r="A1573" s="11">
        <v>1569</v>
      </c>
      <c r="B1573" s="11" t="str">
        <f>MOD($G$6*B1572 + $G$7, $G$8)</f>
      </c>
      <c r="C1573" s="11" t="str">
        <f>B1573/$G$8</f>
      </c>
      <c r="D1573" s="11" t="s">
        <v>80</v>
      </c>
    </row>
    <row r="1574">
      <c r="A1574" s="12">
        <v>1570</v>
      </c>
      <c r="B1574" s="12" t="str">
        <f>MOD($G$6*B1573 + $G$7, $G$8)</f>
      </c>
      <c r="C1574" s="12" t="str">
        <f>B1574/$G$8</f>
      </c>
      <c r="D1574" s="12" t="s">
        <v>80</v>
      </c>
    </row>
    <row r="1575">
      <c r="A1575" s="11">
        <v>1571</v>
      </c>
      <c r="B1575" s="11" t="str">
        <f>MOD($G$6*B1574 + $G$7, $G$8)</f>
      </c>
      <c r="C1575" s="11" t="str">
        <f>B1575/$G$8</f>
      </c>
      <c r="D1575" s="11" t="s">
        <v>80</v>
      </c>
    </row>
    <row r="1576">
      <c r="A1576" s="12">
        <v>1572</v>
      </c>
      <c r="B1576" s="12" t="str">
        <f>MOD($G$6*B1575 + $G$7, $G$8)</f>
      </c>
      <c r="C1576" s="12" t="str">
        <f>B1576/$G$8</f>
      </c>
      <c r="D1576" s="12" t="s">
        <v>80</v>
      </c>
    </row>
    <row r="1577">
      <c r="A1577" s="11">
        <v>1573</v>
      </c>
      <c r="B1577" s="11" t="str">
        <f>MOD($G$6*B1576 + $G$7, $G$8)</f>
      </c>
      <c r="C1577" s="11" t="str">
        <f>B1577/$G$8</f>
      </c>
      <c r="D1577" s="11" t="s">
        <v>80</v>
      </c>
    </row>
    <row r="1578">
      <c r="A1578" s="12">
        <v>1574</v>
      </c>
      <c r="B1578" s="12" t="str">
        <f>MOD($G$6*B1577 + $G$7, $G$8)</f>
      </c>
      <c r="C1578" s="12" t="str">
        <f>B1578/$G$8</f>
      </c>
      <c r="D1578" s="12" t="s">
        <v>80</v>
      </c>
    </row>
    <row r="1579">
      <c r="A1579" s="11">
        <v>1575</v>
      </c>
      <c r="B1579" s="11" t="str">
        <f>MOD($G$6*B1578 + $G$7, $G$8)</f>
      </c>
      <c r="C1579" s="11" t="str">
        <f>B1579/$G$8</f>
      </c>
      <c r="D1579" s="11" t="s">
        <v>80</v>
      </c>
    </row>
    <row r="1580">
      <c r="A1580" s="12">
        <v>1576</v>
      </c>
      <c r="B1580" s="12" t="str">
        <f>MOD($G$6*B1579 + $G$7, $G$8)</f>
      </c>
      <c r="C1580" s="12" t="str">
        <f>B1580/$G$8</f>
      </c>
      <c r="D1580" s="12" t="s">
        <v>80</v>
      </c>
    </row>
    <row r="1581">
      <c r="A1581" s="11">
        <v>1577</v>
      </c>
      <c r="B1581" s="11" t="str">
        <f>MOD($G$6*B1580 + $G$7, $G$8)</f>
      </c>
      <c r="C1581" s="11" t="str">
        <f>B1581/$G$8</f>
      </c>
      <c r="D1581" s="11" t="s">
        <v>80</v>
      </c>
    </row>
    <row r="1582">
      <c r="A1582" s="12">
        <v>1578</v>
      </c>
      <c r="B1582" s="12" t="str">
        <f>MOD($G$6*B1581 + $G$7, $G$8)</f>
      </c>
      <c r="C1582" s="12" t="str">
        <f>B1582/$G$8</f>
      </c>
      <c r="D1582" s="12" t="s">
        <v>80</v>
      </c>
    </row>
    <row r="1583">
      <c r="A1583" s="11">
        <v>1579</v>
      </c>
      <c r="B1583" s="11" t="str">
        <f>MOD($G$6*B1582 + $G$7, $G$8)</f>
      </c>
      <c r="C1583" s="11" t="str">
        <f>B1583/$G$8</f>
      </c>
      <c r="D1583" s="11" t="s">
        <v>80</v>
      </c>
    </row>
    <row r="1584">
      <c r="A1584" s="12">
        <v>1580</v>
      </c>
      <c r="B1584" s="12" t="str">
        <f>MOD($G$6*B1583 + $G$7, $G$8)</f>
      </c>
      <c r="C1584" s="12" t="str">
        <f>B1584/$G$8</f>
      </c>
      <c r="D1584" s="12" t="s">
        <v>80</v>
      </c>
    </row>
    <row r="1585">
      <c r="A1585" s="11">
        <v>1581</v>
      </c>
      <c r="B1585" s="11" t="str">
        <f>MOD($G$6*B1584 + $G$7, $G$8)</f>
      </c>
      <c r="C1585" s="11" t="str">
        <f>B1585/$G$8</f>
      </c>
      <c r="D1585" s="11" t="s">
        <v>80</v>
      </c>
    </row>
    <row r="1586">
      <c r="A1586" s="12">
        <v>1582</v>
      </c>
      <c r="B1586" s="12" t="str">
        <f>MOD($G$6*B1585 + $G$7, $G$8)</f>
      </c>
      <c r="C1586" s="12" t="str">
        <f>B1586/$G$8</f>
      </c>
      <c r="D1586" s="12" t="s">
        <v>80</v>
      </c>
    </row>
    <row r="1587">
      <c r="A1587" s="11">
        <v>1583</v>
      </c>
      <c r="B1587" s="11" t="str">
        <f>MOD($G$6*B1586 + $G$7, $G$8)</f>
      </c>
      <c r="C1587" s="11" t="str">
        <f>B1587/$G$8</f>
      </c>
      <c r="D1587" s="11" t="s">
        <v>80</v>
      </c>
    </row>
    <row r="1588">
      <c r="A1588" s="12">
        <v>1584</v>
      </c>
      <c r="B1588" s="12" t="str">
        <f>MOD($G$6*B1587 + $G$7, $G$8)</f>
      </c>
      <c r="C1588" s="12" t="str">
        <f>B1588/$G$8</f>
      </c>
      <c r="D1588" s="12" t="s">
        <v>80</v>
      </c>
    </row>
    <row r="1589">
      <c r="A1589" s="11">
        <v>1585</v>
      </c>
      <c r="B1589" s="11" t="str">
        <f>MOD($G$6*B1588 + $G$7, $G$8)</f>
      </c>
      <c r="C1589" s="11" t="str">
        <f>B1589/$G$8</f>
      </c>
      <c r="D1589" s="11" t="s">
        <v>80</v>
      </c>
    </row>
    <row r="1590">
      <c r="A1590" s="12">
        <v>1586</v>
      </c>
      <c r="B1590" s="12" t="str">
        <f>MOD($G$6*B1589 + $G$7, $G$8)</f>
      </c>
      <c r="C1590" s="12" t="str">
        <f>B1590/$G$8</f>
      </c>
      <c r="D1590" s="12" t="s">
        <v>80</v>
      </c>
    </row>
    <row r="1591">
      <c r="A1591" s="11">
        <v>1587</v>
      </c>
      <c r="B1591" s="11" t="str">
        <f>MOD($G$6*B1590 + $G$7, $G$8)</f>
      </c>
      <c r="C1591" s="11" t="str">
        <f>B1591/$G$8</f>
      </c>
      <c r="D1591" s="11" t="s">
        <v>80</v>
      </c>
    </row>
    <row r="1592">
      <c r="A1592" s="12">
        <v>1588</v>
      </c>
      <c r="B1592" s="12" t="str">
        <f>MOD($G$6*B1591 + $G$7, $G$8)</f>
      </c>
      <c r="C1592" s="12" t="str">
        <f>B1592/$G$8</f>
      </c>
      <c r="D1592" s="12" t="s">
        <v>80</v>
      </c>
    </row>
    <row r="1593">
      <c r="A1593" s="11">
        <v>1589</v>
      </c>
      <c r="B1593" s="11" t="str">
        <f>MOD($G$6*B1592 + $G$7, $G$8)</f>
      </c>
      <c r="C1593" s="11" t="str">
        <f>B1593/$G$8</f>
      </c>
      <c r="D1593" s="11" t="s">
        <v>80</v>
      </c>
    </row>
    <row r="1594">
      <c r="A1594" s="12">
        <v>1590</v>
      </c>
      <c r="B1594" s="12" t="str">
        <f>MOD($G$6*B1593 + $G$7, $G$8)</f>
      </c>
      <c r="C1594" s="12" t="str">
        <f>B1594/$G$8</f>
      </c>
      <c r="D1594" s="12" t="s">
        <v>80</v>
      </c>
    </row>
    <row r="1595">
      <c r="A1595" s="11">
        <v>1591</v>
      </c>
      <c r="B1595" s="11" t="str">
        <f>MOD($G$6*B1594 + $G$7, $G$8)</f>
      </c>
      <c r="C1595" s="11" t="str">
        <f>B1595/$G$8</f>
      </c>
      <c r="D1595" s="11" t="s">
        <v>80</v>
      </c>
    </row>
    <row r="1596">
      <c r="A1596" s="12">
        <v>1592</v>
      </c>
      <c r="B1596" s="12" t="str">
        <f>MOD($G$6*B1595 + $G$7, $G$8)</f>
      </c>
      <c r="C1596" s="12" t="str">
        <f>B1596/$G$8</f>
      </c>
      <c r="D1596" s="12" t="s">
        <v>80</v>
      </c>
    </row>
    <row r="1597">
      <c r="A1597" s="11">
        <v>1593</v>
      </c>
      <c r="B1597" s="11" t="str">
        <f>MOD($G$6*B1596 + $G$7, $G$8)</f>
      </c>
      <c r="C1597" s="11" t="str">
        <f>B1597/$G$8</f>
      </c>
      <c r="D1597" s="11" t="s">
        <v>80</v>
      </c>
    </row>
    <row r="1598">
      <c r="A1598" s="12">
        <v>1594</v>
      </c>
      <c r="B1598" s="12" t="str">
        <f>MOD($G$6*B1597 + $G$7, $G$8)</f>
      </c>
      <c r="C1598" s="12" t="str">
        <f>B1598/$G$8</f>
      </c>
      <c r="D1598" s="12" t="s">
        <v>80</v>
      </c>
    </row>
    <row r="1599">
      <c r="A1599" s="11">
        <v>1595</v>
      </c>
      <c r="B1599" s="11" t="str">
        <f>MOD($G$6*B1598 + $G$7, $G$8)</f>
      </c>
      <c r="C1599" s="11" t="str">
        <f>B1599/$G$8</f>
      </c>
      <c r="D1599" s="11" t="s">
        <v>80</v>
      </c>
    </row>
    <row r="1600">
      <c r="A1600" s="12">
        <v>1596</v>
      </c>
      <c r="B1600" s="12" t="str">
        <f>MOD($G$6*B1599 + $G$7, $G$8)</f>
      </c>
      <c r="C1600" s="12" t="str">
        <f>B1600/$G$8</f>
      </c>
      <c r="D1600" s="12" t="s">
        <v>80</v>
      </c>
    </row>
    <row r="1601">
      <c r="A1601" s="11">
        <v>1597</v>
      </c>
      <c r="B1601" s="11" t="str">
        <f>MOD($G$6*B1600 + $G$7, $G$8)</f>
      </c>
      <c r="C1601" s="11" t="str">
        <f>B1601/$G$8</f>
      </c>
      <c r="D1601" s="11" t="s">
        <v>80</v>
      </c>
    </row>
    <row r="1602">
      <c r="A1602" s="12">
        <v>1598</v>
      </c>
      <c r="B1602" s="12" t="str">
        <f>MOD($G$6*B1601 + $G$7, $G$8)</f>
      </c>
      <c r="C1602" s="12" t="str">
        <f>B1602/$G$8</f>
      </c>
      <c r="D1602" s="12" t="s">
        <v>80</v>
      </c>
    </row>
    <row r="1603">
      <c r="A1603" s="11">
        <v>1599</v>
      </c>
      <c r="B1603" s="11" t="str">
        <f>MOD($G$6*B1602 + $G$7, $G$8)</f>
      </c>
      <c r="C1603" s="11" t="str">
        <f>B1603/$G$8</f>
      </c>
      <c r="D1603" s="11" t="s">
        <v>80</v>
      </c>
    </row>
    <row r="1604">
      <c r="A1604" s="12">
        <v>1600</v>
      </c>
      <c r="B1604" s="12" t="str">
        <f>MOD($G$6*B1603 + $G$7, $G$8)</f>
      </c>
      <c r="C1604" s="12" t="str">
        <f>B1604/$G$8</f>
      </c>
      <c r="D1604" s="12" t="s">
        <v>80</v>
      </c>
    </row>
    <row r="1605">
      <c r="A1605" s="11">
        <v>1601</v>
      </c>
      <c r="B1605" s="11" t="str">
        <f>MOD($G$6*B1604 + $G$7, $G$8)</f>
      </c>
      <c r="C1605" s="11" t="str">
        <f>B1605/$G$8</f>
      </c>
      <c r="D1605" s="11" t="s">
        <v>80</v>
      </c>
    </row>
    <row r="1606">
      <c r="A1606" s="12">
        <v>1602</v>
      </c>
      <c r="B1606" s="12" t="str">
        <f>MOD($G$6*B1605 + $G$7, $G$8)</f>
      </c>
      <c r="C1606" s="12" t="str">
        <f>B1606/$G$8</f>
      </c>
      <c r="D1606" s="12" t="s">
        <v>80</v>
      </c>
    </row>
    <row r="1607">
      <c r="A1607" s="11">
        <v>1603</v>
      </c>
      <c r="B1607" s="11" t="str">
        <f>MOD($G$6*B1606 + $G$7, $G$8)</f>
      </c>
      <c r="C1607" s="11" t="str">
        <f>B1607/$G$8</f>
      </c>
      <c r="D1607" s="11" t="s">
        <v>80</v>
      </c>
    </row>
    <row r="1608">
      <c r="A1608" s="12">
        <v>1604</v>
      </c>
      <c r="B1608" s="12" t="str">
        <f>MOD($G$6*B1607 + $G$7, $G$8)</f>
      </c>
      <c r="C1608" s="12" t="str">
        <f>B1608/$G$8</f>
      </c>
      <c r="D1608" s="12" t="s">
        <v>80</v>
      </c>
    </row>
    <row r="1609">
      <c r="A1609" s="11">
        <v>1605</v>
      </c>
      <c r="B1609" s="11" t="str">
        <f>MOD($G$6*B1608 + $G$7, $G$8)</f>
      </c>
      <c r="C1609" s="11" t="str">
        <f>B1609/$G$8</f>
      </c>
      <c r="D1609" s="11" t="s">
        <v>80</v>
      </c>
    </row>
    <row r="1610">
      <c r="A1610" s="12">
        <v>1606</v>
      </c>
      <c r="B1610" s="12" t="str">
        <f>MOD($G$6*B1609 + $G$7, $G$8)</f>
      </c>
      <c r="C1610" s="12" t="str">
        <f>B1610/$G$8</f>
      </c>
      <c r="D1610" s="12" t="s">
        <v>80</v>
      </c>
    </row>
    <row r="1611">
      <c r="A1611" s="11">
        <v>1607</v>
      </c>
      <c r="B1611" s="11" t="str">
        <f>MOD($G$6*B1610 + $G$7, $G$8)</f>
      </c>
      <c r="C1611" s="11" t="str">
        <f>B1611/$G$8</f>
      </c>
      <c r="D1611" s="11" t="s">
        <v>80</v>
      </c>
    </row>
    <row r="1612">
      <c r="A1612" s="12">
        <v>1608</v>
      </c>
      <c r="B1612" s="12" t="str">
        <f>MOD($G$6*B1611 + $G$7, $G$8)</f>
      </c>
      <c r="C1612" s="12" t="str">
        <f>B1612/$G$8</f>
      </c>
      <c r="D1612" s="12" t="s">
        <v>80</v>
      </c>
    </row>
    <row r="1613">
      <c r="A1613" s="11">
        <v>1609</v>
      </c>
      <c r="B1613" s="11" t="str">
        <f>MOD($G$6*B1612 + $G$7, $G$8)</f>
      </c>
      <c r="C1613" s="11" t="str">
        <f>B1613/$G$8</f>
      </c>
      <c r="D1613" s="11" t="s">
        <v>80</v>
      </c>
    </row>
    <row r="1614">
      <c r="A1614" s="12">
        <v>1610</v>
      </c>
      <c r="B1614" s="12" t="str">
        <f>MOD($G$6*B1613 + $G$7, $G$8)</f>
      </c>
      <c r="C1614" s="12" t="str">
        <f>B1614/$G$8</f>
      </c>
      <c r="D1614" s="12" t="s">
        <v>80</v>
      </c>
    </row>
    <row r="1615">
      <c r="A1615" s="11">
        <v>1611</v>
      </c>
      <c r="B1615" s="11" t="str">
        <f>MOD($G$6*B1614 + $G$7, $G$8)</f>
      </c>
      <c r="C1615" s="11" t="str">
        <f>B1615/$G$8</f>
      </c>
      <c r="D1615" s="11" t="s">
        <v>80</v>
      </c>
    </row>
    <row r="1616">
      <c r="A1616" s="12">
        <v>1612</v>
      </c>
      <c r="B1616" s="12" t="str">
        <f>MOD($G$6*B1615 + $G$7, $G$8)</f>
      </c>
      <c r="C1616" s="12" t="str">
        <f>B1616/$G$8</f>
      </c>
      <c r="D1616" s="12" t="s">
        <v>80</v>
      </c>
    </row>
    <row r="1617">
      <c r="A1617" s="11">
        <v>1613</v>
      </c>
      <c r="B1617" s="11" t="str">
        <f>MOD($G$6*B1616 + $G$7, $G$8)</f>
      </c>
      <c r="C1617" s="11" t="str">
        <f>B1617/$G$8</f>
      </c>
      <c r="D1617" s="11" t="s">
        <v>80</v>
      </c>
    </row>
    <row r="1618">
      <c r="A1618" s="12">
        <v>1614</v>
      </c>
      <c r="B1618" s="12" t="str">
        <f>MOD($G$6*B1617 + $G$7, $G$8)</f>
      </c>
      <c r="C1618" s="12" t="str">
        <f>B1618/$G$8</f>
      </c>
      <c r="D1618" s="12" t="s">
        <v>80</v>
      </c>
    </row>
    <row r="1619">
      <c r="A1619" s="11">
        <v>1615</v>
      </c>
      <c r="B1619" s="11" t="str">
        <f>MOD($G$6*B1618 + $G$7, $G$8)</f>
      </c>
      <c r="C1619" s="11" t="str">
        <f>B1619/$G$8</f>
      </c>
      <c r="D1619" s="11" t="s">
        <v>80</v>
      </c>
    </row>
    <row r="1620">
      <c r="A1620" s="12">
        <v>1616</v>
      </c>
      <c r="B1620" s="12" t="str">
        <f>MOD($G$6*B1619 + $G$7, $G$8)</f>
      </c>
      <c r="C1620" s="12" t="str">
        <f>B1620/$G$8</f>
      </c>
      <c r="D1620" s="12" t="s">
        <v>80</v>
      </c>
    </row>
    <row r="1621">
      <c r="A1621" s="11">
        <v>1617</v>
      </c>
      <c r="B1621" s="11" t="str">
        <f>MOD($G$6*B1620 + $G$7, $G$8)</f>
      </c>
      <c r="C1621" s="11" t="str">
        <f>B1621/$G$8</f>
      </c>
      <c r="D1621" s="11" t="s">
        <v>80</v>
      </c>
    </row>
    <row r="1622">
      <c r="A1622" s="12">
        <v>1618</v>
      </c>
      <c r="B1622" s="12" t="str">
        <f>MOD($G$6*B1621 + $G$7, $G$8)</f>
      </c>
      <c r="C1622" s="12" t="str">
        <f>B1622/$G$8</f>
      </c>
      <c r="D1622" s="12" t="s">
        <v>80</v>
      </c>
    </row>
    <row r="1623">
      <c r="A1623" s="11">
        <v>1619</v>
      </c>
      <c r="B1623" s="11" t="str">
        <f>MOD($G$6*B1622 + $G$7, $G$8)</f>
      </c>
      <c r="C1623" s="11" t="str">
        <f>B1623/$G$8</f>
      </c>
      <c r="D1623" s="11" t="s">
        <v>80</v>
      </c>
    </row>
    <row r="1624">
      <c r="A1624" s="12">
        <v>1620</v>
      </c>
      <c r="B1624" s="12" t="str">
        <f>MOD($G$6*B1623 + $G$7, $G$8)</f>
      </c>
      <c r="C1624" s="12" t="str">
        <f>B1624/$G$8</f>
      </c>
      <c r="D1624" s="12" t="s">
        <v>80</v>
      </c>
    </row>
    <row r="1625">
      <c r="A1625" s="11">
        <v>1621</v>
      </c>
      <c r="B1625" s="11" t="str">
        <f>MOD($G$6*B1624 + $G$7, $G$8)</f>
      </c>
      <c r="C1625" s="11" t="str">
        <f>B1625/$G$8</f>
      </c>
      <c r="D1625" s="11" t="s">
        <v>80</v>
      </c>
    </row>
    <row r="1626">
      <c r="A1626" s="12">
        <v>1622</v>
      </c>
      <c r="B1626" s="12" t="str">
        <f>MOD($G$6*B1625 + $G$7, $G$8)</f>
      </c>
      <c r="C1626" s="12" t="str">
        <f>B1626/$G$8</f>
      </c>
      <c r="D1626" s="12" t="s">
        <v>80</v>
      </c>
    </row>
    <row r="1627">
      <c r="A1627" s="11">
        <v>1623</v>
      </c>
      <c r="B1627" s="11" t="str">
        <f>MOD($G$6*B1626 + $G$7, $G$8)</f>
      </c>
      <c r="C1627" s="11" t="str">
        <f>B1627/$G$8</f>
      </c>
      <c r="D1627" s="11" t="s">
        <v>80</v>
      </c>
    </row>
    <row r="1628">
      <c r="A1628" s="12">
        <v>1624</v>
      </c>
      <c r="B1628" s="12" t="str">
        <f>MOD($G$6*B1627 + $G$7, $G$8)</f>
      </c>
      <c r="C1628" s="12" t="str">
        <f>B1628/$G$8</f>
      </c>
      <c r="D1628" s="12" t="s">
        <v>80</v>
      </c>
    </row>
    <row r="1629">
      <c r="A1629" s="11">
        <v>1625</v>
      </c>
      <c r="B1629" s="11" t="str">
        <f>MOD($G$6*B1628 + $G$7, $G$8)</f>
      </c>
      <c r="C1629" s="11" t="str">
        <f>B1629/$G$8</f>
      </c>
      <c r="D1629" s="11" t="s">
        <v>80</v>
      </c>
    </row>
    <row r="1630">
      <c r="A1630" s="12">
        <v>1626</v>
      </c>
      <c r="B1630" s="12" t="str">
        <f>MOD($G$6*B1629 + $G$7, $G$8)</f>
      </c>
      <c r="C1630" s="12" t="str">
        <f>B1630/$G$8</f>
      </c>
      <c r="D1630" s="12" t="s">
        <v>80</v>
      </c>
    </row>
    <row r="1631">
      <c r="A1631" s="11">
        <v>1627</v>
      </c>
      <c r="B1631" s="11" t="str">
        <f>MOD($G$6*B1630 + $G$7, $G$8)</f>
      </c>
      <c r="C1631" s="11" t="str">
        <f>B1631/$G$8</f>
      </c>
      <c r="D1631" s="11" t="s">
        <v>80</v>
      </c>
    </row>
    <row r="1632">
      <c r="A1632" s="12">
        <v>1628</v>
      </c>
      <c r="B1632" s="12" t="str">
        <f>MOD($G$6*B1631 + $G$7, $G$8)</f>
      </c>
      <c r="C1632" s="12" t="str">
        <f>B1632/$G$8</f>
      </c>
      <c r="D1632" s="12" t="s">
        <v>80</v>
      </c>
    </row>
    <row r="1633">
      <c r="A1633" s="11">
        <v>1629</v>
      </c>
      <c r="B1633" s="11" t="str">
        <f>MOD($G$6*B1632 + $G$7, $G$8)</f>
      </c>
      <c r="C1633" s="11" t="str">
        <f>B1633/$G$8</f>
      </c>
      <c r="D1633" s="11" t="s">
        <v>80</v>
      </c>
    </row>
    <row r="1634">
      <c r="A1634" s="12">
        <v>1630</v>
      </c>
      <c r="B1634" s="12" t="str">
        <f>MOD($G$6*B1633 + $G$7, $G$8)</f>
      </c>
      <c r="C1634" s="12" t="str">
        <f>B1634/$G$8</f>
      </c>
      <c r="D1634" s="12" t="s">
        <v>80</v>
      </c>
    </row>
    <row r="1635">
      <c r="A1635" s="11">
        <v>1631</v>
      </c>
      <c r="B1635" s="11" t="str">
        <f>MOD($G$6*B1634 + $G$7, $G$8)</f>
      </c>
      <c r="C1635" s="11" t="str">
        <f>B1635/$G$8</f>
      </c>
      <c r="D1635" s="11" t="s">
        <v>80</v>
      </c>
    </row>
    <row r="1636">
      <c r="A1636" s="12">
        <v>1632</v>
      </c>
      <c r="B1636" s="12" t="str">
        <f>MOD($G$6*B1635 + $G$7, $G$8)</f>
      </c>
      <c r="C1636" s="12" t="str">
        <f>B1636/$G$8</f>
      </c>
      <c r="D1636" s="12" t="s">
        <v>80</v>
      </c>
    </row>
    <row r="1637">
      <c r="A1637" s="11">
        <v>1633</v>
      </c>
      <c r="B1637" s="11" t="str">
        <f>MOD($G$6*B1636 + $G$7, $G$8)</f>
      </c>
      <c r="C1637" s="11" t="str">
        <f>B1637/$G$8</f>
      </c>
      <c r="D1637" s="11" t="s">
        <v>80</v>
      </c>
    </row>
    <row r="1638">
      <c r="A1638" s="12">
        <v>1634</v>
      </c>
      <c r="B1638" s="12" t="str">
        <f>MOD($G$6*B1637 + $G$7, $G$8)</f>
      </c>
      <c r="C1638" s="12" t="str">
        <f>B1638/$G$8</f>
      </c>
      <c r="D1638" s="12" t="s">
        <v>80</v>
      </c>
    </row>
    <row r="1639">
      <c r="A1639" s="11">
        <v>1635</v>
      </c>
      <c r="B1639" s="11" t="str">
        <f>MOD($G$6*B1638 + $G$7, $G$8)</f>
      </c>
      <c r="C1639" s="11" t="str">
        <f>B1639/$G$8</f>
      </c>
      <c r="D1639" s="11" t="s">
        <v>80</v>
      </c>
    </row>
    <row r="1640">
      <c r="A1640" s="12">
        <v>1636</v>
      </c>
      <c r="B1640" s="12" t="str">
        <f>MOD($G$6*B1639 + $G$7, $G$8)</f>
      </c>
      <c r="C1640" s="12" t="str">
        <f>B1640/$G$8</f>
      </c>
      <c r="D1640" s="12" t="s">
        <v>80</v>
      </c>
    </row>
    <row r="1641">
      <c r="A1641" s="11">
        <v>1637</v>
      </c>
      <c r="B1641" s="11" t="str">
        <f>MOD($G$6*B1640 + $G$7, $G$8)</f>
      </c>
      <c r="C1641" s="11" t="str">
        <f>B1641/$G$8</f>
      </c>
      <c r="D1641" s="11" t="s">
        <v>80</v>
      </c>
    </row>
    <row r="1642">
      <c r="A1642" s="12">
        <v>1638</v>
      </c>
      <c r="B1642" s="12" t="str">
        <f>MOD($G$6*B1641 + $G$7, $G$8)</f>
      </c>
      <c r="C1642" s="12" t="str">
        <f>B1642/$G$8</f>
      </c>
      <c r="D1642" s="12" t="s">
        <v>80</v>
      </c>
    </row>
    <row r="1643">
      <c r="A1643" s="11">
        <v>1639</v>
      </c>
      <c r="B1643" s="11" t="str">
        <f>MOD($G$6*B1642 + $G$7, $G$8)</f>
      </c>
      <c r="C1643" s="11" t="str">
        <f>B1643/$G$8</f>
      </c>
      <c r="D1643" s="11" t="s">
        <v>80</v>
      </c>
    </row>
    <row r="1644">
      <c r="A1644" s="12">
        <v>1640</v>
      </c>
      <c r="B1644" s="12" t="str">
        <f>MOD($G$6*B1643 + $G$7, $G$8)</f>
      </c>
      <c r="C1644" s="12" t="str">
        <f>B1644/$G$8</f>
      </c>
      <c r="D1644" s="12" t="s">
        <v>80</v>
      </c>
    </row>
    <row r="1645">
      <c r="A1645" s="11">
        <v>1641</v>
      </c>
      <c r="B1645" s="11" t="str">
        <f>MOD($G$6*B1644 + $G$7, $G$8)</f>
      </c>
      <c r="C1645" s="11" t="str">
        <f>B1645/$G$8</f>
      </c>
      <c r="D1645" s="11" t="s">
        <v>80</v>
      </c>
    </row>
    <row r="1646">
      <c r="A1646" s="12">
        <v>1642</v>
      </c>
      <c r="B1646" s="12" t="str">
        <f>MOD($G$6*B1645 + $G$7, $G$8)</f>
      </c>
      <c r="C1646" s="12" t="str">
        <f>B1646/$G$8</f>
      </c>
      <c r="D1646" s="12" t="s">
        <v>80</v>
      </c>
    </row>
    <row r="1647">
      <c r="A1647" s="11">
        <v>1643</v>
      </c>
      <c r="B1647" s="11" t="str">
        <f>MOD($G$6*B1646 + $G$7, $G$8)</f>
      </c>
      <c r="C1647" s="11" t="str">
        <f>B1647/$G$8</f>
      </c>
      <c r="D1647" s="11" t="s">
        <v>80</v>
      </c>
    </row>
    <row r="1648">
      <c r="A1648" s="12">
        <v>1644</v>
      </c>
      <c r="B1648" s="12" t="str">
        <f>MOD($G$6*B1647 + $G$7, $G$8)</f>
      </c>
      <c r="C1648" s="12" t="str">
        <f>B1648/$G$8</f>
      </c>
      <c r="D1648" s="12" t="s">
        <v>80</v>
      </c>
    </row>
    <row r="1649">
      <c r="A1649" s="11">
        <v>1645</v>
      </c>
      <c r="B1649" s="11" t="str">
        <f>MOD($G$6*B1648 + $G$7, $G$8)</f>
      </c>
      <c r="C1649" s="11" t="str">
        <f>B1649/$G$8</f>
      </c>
      <c r="D1649" s="11" t="s">
        <v>80</v>
      </c>
    </row>
    <row r="1650">
      <c r="A1650" s="12">
        <v>1646</v>
      </c>
      <c r="B1650" s="12" t="str">
        <f>MOD($G$6*B1649 + $G$7, $G$8)</f>
      </c>
      <c r="C1650" s="12" t="str">
        <f>B1650/$G$8</f>
      </c>
      <c r="D1650" s="12" t="s">
        <v>80</v>
      </c>
    </row>
    <row r="1651">
      <c r="A1651" s="11">
        <v>1647</v>
      </c>
      <c r="B1651" s="11" t="str">
        <f>MOD($G$6*B1650 + $G$7, $G$8)</f>
      </c>
      <c r="C1651" s="11" t="str">
        <f>B1651/$G$8</f>
      </c>
      <c r="D1651" s="11" t="s">
        <v>80</v>
      </c>
    </row>
    <row r="1652">
      <c r="A1652" s="12">
        <v>1648</v>
      </c>
      <c r="B1652" s="12" t="str">
        <f>MOD($G$6*B1651 + $G$7, $G$8)</f>
      </c>
      <c r="C1652" s="12" t="str">
        <f>B1652/$G$8</f>
      </c>
      <c r="D1652" s="12" t="s">
        <v>80</v>
      </c>
    </row>
    <row r="1653">
      <c r="A1653" s="11">
        <v>1649</v>
      </c>
      <c r="B1653" s="11" t="str">
        <f>MOD($G$6*B1652 + $G$7, $G$8)</f>
      </c>
      <c r="C1653" s="11" t="str">
        <f>B1653/$G$8</f>
      </c>
      <c r="D1653" s="11" t="s">
        <v>80</v>
      </c>
    </row>
    <row r="1654">
      <c r="A1654" s="12">
        <v>1650</v>
      </c>
      <c r="B1654" s="12" t="str">
        <f>MOD($G$6*B1653 + $G$7, $G$8)</f>
      </c>
      <c r="C1654" s="12" t="str">
        <f>B1654/$G$8</f>
      </c>
      <c r="D1654" s="12" t="s">
        <v>80</v>
      </c>
    </row>
    <row r="1655">
      <c r="A1655" s="11">
        <v>1651</v>
      </c>
      <c r="B1655" s="11" t="str">
        <f>MOD($G$6*B1654 + $G$7, $G$8)</f>
      </c>
      <c r="C1655" s="11" t="str">
        <f>B1655/$G$8</f>
      </c>
      <c r="D1655" s="11" t="s">
        <v>80</v>
      </c>
    </row>
    <row r="1656">
      <c r="A1656" s="12">
        <v>1652</v>
      </c>
      <c r="B1656" s="12" t="str">
        <f>MOD($G$6*B1655 + $G$7, $G$8)</f>
      </c>
      <c r="C1656" s="12" t="str">
        <f>B1656/$G$8</f>
      </c>
      <c r="D1656" s="12" t="s">
        <v>80</v>
      </c>
    </row>
    <row r="1657">
      <c r="A1657" s="11">
        <v>1653</v>
      </c>
      <c r="B1657" s="11" t="str">
        <f>MOD($G$6*B1656 + $G$7, $G$8)</f>
      </c>
      <c r="C1657" s="11" t="str">
        <f>B1657/$G$8</f>
      </c>
      <c r="D1657" s="11" t="s">
        <v>80</v>
      </c>
    </row>
    <row r="1658">
      <c r="A1658" s="12">
        <v>1654</v>
      </c>
      <c r="B1658" s="12" t="str">
        <f>MOD($G$6*B1657 + $G$7, $G$8)</f>
      </c>
      <c r="C1658" s="12" t="str">
        <f>B1658/$G$8</f>
      </c>
      <c r="D1658" s="12" t="s">
        <v>80</v>
      </c>
    </row>
    <row r="1659">
      <c r="A1659" s="11">
        <v>1655</v>
      </c>
      <c r="B1659" s="11" t="str">
        <f>MOD($G$6*B1658 + $G$7, $G$8)</f>
      </c>
      <c r="C1659" s="11" t="str">
        <f>B1659/$G$8</f>
      </c>
      <c r="D1659" s="11" t="s">
        <v>80</v>
      </c>
    </row>
    <row r="1660">
      <c r="A1660" s="12">
        <v>1656</v>
      </c>
      <c r="B1660" s="12" t="str">
        <f>MOD($G$6*B1659 + $G$7, $G$8)</f>
      </c>
      <c r="C1660" s="12" t="str">
        <f>B1660/$G$8</f>
      </c>
      <c r="D1660" s="12" t="s">
        <v>80</v>
      </c>
    </row>
    <row r="1661">
      <c r="A1661" s="11">
        <v>1657</v>
      </c>
      <c r="B1661" s="11" t="str">
        <f>MOD($G$6*B1660 + $G$7, $G$8)</f>
      </c>
      <c r="C1661" s="11" t="str">
        <f>B1661/$G$8</f>
      </c>
      <c r="D1661" s="11" t="s">
        <v>80</v>
      </c>
    </row>
    <row r="1662">
      <c r="A1662" s="12">
        <v>1658</v>
      </c>
      <c r="B1662" s="12" t="str">
        <f>MOD($G$6*B1661 + $G$7, $G$8)</f>
      </c>
      <c r="C1662" s="12" t="str">
        <f>B1662/$G$8</f>
      </c>
      <c r="D1662" s="12" t="s">
        <v>80</v>
      </c>
    </row>
    <row r="1663">
      <c r="A1663" s="11">
        <v>1659</v>
      </c>
      <c r="B1663" s="11" t="str">
        <f>MOD($G$6*B1662 + $G$7, $G$8)</f>
      </c>
      <c r="C1663" s="11" t="str">
        <f>B1663/$G$8</f>
      </c>
      <c r="D1663" s="11" t="s">
        <v>80</v>
      </c>
    </row>
    <row r="1664">
      <c r="A1664" s="12">
        <v>1660</v>
      </c>
      <c r="B1664" s="12" t="str">
        <f>MOD($G$6*B1663 + $G$7, $G$8)</f>
      </c>
      <c r="C1664" s="12" t="str">
        <f>B1664/$G$8</f>
      </c>
      <c r="D1664" s="12" t="s">
        <v>80</v>
      </c>
    </row>
    <row r="1665">
      <c r="A1665" s="11">
        <v>1661</v>
      </c>
      <c r="B1665" s="11" t="str">
        <f>MOD($G$6*B1664 + $G$7, $G$8)</f>
      </c>
      <c r="C1665" s="11" t="str">
        <f>B1665/$G$8</f>
      </c>
      <c r="D1665" s="11" t="s">
        <v>80</v>
      </c>
    </row>
    <row r="1666">
      <c r="A1666" s="12">
        <v>1662</v>
      </c>
      <c r="B1666" s="12" t="str">
        <f>MOD($G$6*B1665 + $G$7, $G$8)</f>
      </c>
      <c r="C1666" s="12" t="str">
        <f>B1666/$G$8</f>
      </c>
      <c r="D1666" s="12" t="s">
        <v>80</v>
      </c>
    </row>
    <row r="1667">
      <c r="A1667" s="11">
        <v>1663</v>
      </c>
      <c r="B1667" s="11" t="str">
        <f>MOD($G$6*B1666 + $G$7, $G$8)</f>
      </c>
      <c r="C1667" s="11" t="str">
        <f>B1667/$G$8</f>
      </c>
      <c r="D1667" s="11" t="s">
        <v>80</v>
      </c>
    </row>
    <row r="1668">
      <c r="A1668" s="12">
        <v>1664</v>
      </c>
      <c r="B1668" s="12" t="str">
        <f>MOD($G$6*B1667 + $G$7, $G$8)</f>
      </c>
      <c r="C1668" s="12" t="str">
        <f>B1668/$G$8</f>
      </c>
      <c r="D1668" s="12" t="s">
        <v>80</v>
      </c>
    </row>
    <row r="1669">
      <c r="A1669" s="11">
        <v>1665</v>
      </c>
      <c r="B1669" s="11" t="str">
        <f>MOD($G$6*B1668 + $G$7, $G$8)</f>
      </c>
      <c r="C1669" s="11" t="str">
        <f>B1669/$G$8</f>
      </c>
      <c r="D1669" s="11" t="s">
        <v>80</v>
      </c>
    </row>
    <row r="1670">
      <c r="A1670" s="12">
        <v>1666</v>
      </c>
      <c r="B1670" s="12" t="str">
        <f>MOD($G$6*B1669 + $G$7, $G$8)</f>
      </c>
      <c r="C1670" s="12" t="str">
        <f>B1670/$G$8</f>
      </c>
      <c r="D1670" s="12" t="s">
        <v>80</v>
      </c>
    </row>
    <row r="1671">
      <c r="A1671" s="11">
        <v>1667</v>
      </c>
      <c r="B1671" s="11" t="str">
        <f>MOD($G$6*B1670 + $G$7, $G$8)</f>
      </c>
      <c r="C1671" s="11" t="str">
        <f>B1671/$G$8</f>
      </c>
      <c r="D1671" s="11" t="s">
        <v>80</v>
      </c>
    </row>
    <row r="1672">
      <c r="A1672" s="12">
        <v>1668</v>
      </c>
      <c r="B1672" s="12" t="str">
        <f>MOD($G$6*B1671 + $G$7, $G$8)</f>
      </c>
      <c r="C1672" s="12" t="str">
        <f>B1672/$G$8</f>
      </c>
      <c r="D1672" s="12" t="s">
        <v>80</v>
      </c>
    </row>
    <row r="1673">
      <c r="A1673" s="11">
        <v>1669</v>
      </c>
      <c r="B1673" s="11" t="str">
        <f>MOD($G$6*B1672 + $G$7, $G$8)</f>
      </c>
      <c r="C1673" s="11" t="str">
        <f>B1673/$G$8</f>
      </c>
      <c r="D1673" s="11" t="s">
        <v>80</v>
      </c>
    </row>
    <row r="1674">
      <c r="A1674" s="12">
        <v>1670</v>
      </c>
      <c r="B1674" s="12" t="str">
        <f>MOD($G$6*B1673 + $G$7, $G$8)</f>
      </c>
      <c r="C1674" s="12" t="str">
        <f>B1674/$G$8</f>
      </c>
      <c r="D1674" s="12" t="s">
        <v>80</v>
      </c>
    </row>
    <row r="1675">
      <c r="A1675" s="11">
        <v>1671</v>
      </c>
      <c r="B1675" s="11" t="str">
        <f>MOD($G$6*B1674 + $G$7, $G$8)</f>
      </c>
      <c r="C1675" s="11" t="str">
        <f>B1675/$G$8</f>
      </c>
      <c r="D1675" s="11" t="s">
        <v>80</v>
      </c>
    </row>
    <row r="1676">
      <c r="A1676" s="12">
        <v>1672</v>
      </c>
      <c r="B1676" s="12" t="str">
        <f>MOD($G$6*B1675 + $G$7, $G$8)</f>
      </c>
      <c r="C1676" s="12" t="str">
        <f>B1676/$G$8</f>
      </c>
      <c r="D1676" s="12" t="s">
        <v>80</v>
      </c>
    </row>
    <row r="1677">
      <c r="A1677" s="11">
        <v>1673</v>
      </c>
      <c r="B1677" s="11" t="str">
        <f>MOD($G$6*B1676 + $G$7, $G$8)</f>
      </c>
      <c r="C1677" s="11" t="str">
        <f>B1677/$G$8</f>
      </c>
      <c r="D1677" s="11" t="s">
        <v>80</v>
      </c>
    </row>
    <row r="1678">
      <c r="A1678" s="12">
        <v>1674</v>
      </c>
      <c r="B1678" s="12" t="str">
        <f>MOD($G$6*B1677 + $G$7, $G$8)</f>
      </c>
      <c r="C1678" s="12" t="str">
        <f>B1678/$G$8</f>
      </c>
      <c r="D1678" s="12" t="s">
        <v>80</v>
      </c>
    </row>
    <row r="1679">
      <c r="A1679" s="11">
        <v>1675</v>
      </c>
      <c r="B1679" s="11" t="str">
        <f>MOD($G$6*B1678 + $G$7, $G$8)</f>
      </c>
      <c r="C1679" s="11" t="str">
        <f>B1679/$G$8</f>
      </c>
      <c r="D1679" s="11" t="s">
        <v>80</v>
      </c>
    </row>
    <row r="1680">
      <c r="A1680" s="12">
        <v>1676</v>
      </c>
      <c r="B1680" s="12" t="str">
        <f>MOD($G$6*B1679 + $G$7, $G$8)</f>
      </c>
      <c r="C1680" s="12" t="str">
        <f>B1680/$G$8</f>
      </c>
      <c r="D1680" s="12" t="s">
        <v>80</v>
      </c>
    </row>
    <row r="1681">
      <c r="A1681" s="11">
        <v>1677</v>
      </c>
      <c r="B1681" s="11" t="str">
        <f>MOD($G$6*B1680 + $G$7, $G$8)</f>
      </c>
      <c r="C1681" s="11" t="str">
        <f>B1681/$G$8</f>
      </c>
      <c r="D1681" s="11" t="s">
        <v>80</v>
      </c>
    </row>
    <row r="1682">
      <c r="A1682" s="12">
        <v>1678</v>
      </c>
      <c r="B1682" s="12" t="str">
        <f>MOD($G$6*B1681 + $G$7, $G$8)</f>
      </c>
      <c r="C1682" s="12" t="str">
        <f>B1682/$G$8</f>
      </c>
      <c r="D1682" s="12" t="s">
        <v>80</v>
      </c>
    </row>
    <row r="1683">
      <c r="A1683" s="11">
        <v>1679</v>
      </c>
      <c r="B1683" s="11" t="str">
        <f>MOD($G$6*B1682 + $G$7, $G$8)</f>
      </c>
      <c r="C1683" s="11" t="str">
        <f>B1683/$G$8</f>
      </c>
      <c r="D1683" s="11" t="s">
        <v>80</v>
      </c>
    </row>
    <row r="1684">
      <c r="A1684" s="12">
        <v>1680</v>
      </c>
      <c r="B1684" s="12" t="str">
        <f>MOD($G$6*B1683 + $G$7, $G$8)</f>
      </c>
      <c r="C1684" s="12" t="str">
        <f>B1684/$G$8</f>
      </c>
      <c r="D1684" s="12" t="s">
        <v>80</v>
      </c>
    </row>
    <row r="1685">
      <c r="A1685" s="11">
        <v>1681</v>
      </c>
      <c r="B1685" s="11" t="str">
        <f>MOD($G$6*B1684 + $G$7, $G$8)</f>
      </c>
      <c r="C1685" s="11" t="str">
        <f>B1685/$G$8</f>
      </c>
      <c r="D1685" s="11" t="s">
        <v>80</v>
      </c>
    </row>
    <row r="1686">
      <c r="A1686" s="12">
        <v>1682</v>
      </c>
      <c r="B1686" s="12" t="str">
        <f>MOD($G$6*B1685 + $G$7, $G$8)</f>
      </c>
      <c r="C1686" s="12" t="str">
        <f>B1686/$G$8</f>
      </c>
      <c r="D1686" s="12" t="s">
        <v>80</v>
      </c>
    </row>
    <row r="1687">
      <c r="A1687" s="11">
        <v>1683</v>
      </c>
      <c r="B1687" s="11" t="str">
        <f>MOD($G$6*B1686 + $G$7, $G$8)</f>
      </c>
      <c r="C1687" s="11" t="str">
        <f>B1687/$G$8</f>
      </c>
      <c r="D1687" s="11" t="s">
        <v>80</v>
      </c>
    </row>
    <row r="1688">
      <c r="A1688" s="12">
        <v>1684</v>
      </c>
      <c r="B1688" s="12" t="str">
        <f>MOD($G$6*B1687 + $G$7, $G$8)</f>
      </c>
      <c r="C1688" s="12" t="str">
        <f>B1688/$G$8</f>
      </c>
      <c r="D1688" s="12" t="s">
        <v>80</v>
      </c>
    </row>
    <row r="1689">
      <c r="A1689" s="11">
        <v>1685</v>
      </c>
      <c r="B1689" s="11" t="str">
        <f>MOD($G$6*B1688 + $G$7, $G$8)</f>
      </c>
      <c r="C1689" s="11" t="str">
        <f>B1689/$G$8</f>
      </c>
      <c r="D1689" s="11" t="s">
        <v>80</v>
      </c>
    </row>
    <row r="1690">
      <c r="A1690" s="12">
        <v>1686</v>
      </c>
      <c r="B1690" s="12" t="str">
        <f>MOD($G$6*B1689 + $G$7, $G$8)</f>
      </c>
      <c r="C1690" s="12" t="str">
        <f>B1690/$G$8</f>
      </c>
      <c r="D1690" s="12" t="s">
        <v>80</v>
      </c>
    </row>
    <row r="1691">
      <c r="A1691" s="11">
        <v>1687</v>
      </c>
      <c r="B1691" s="11" t="str">
        <f>MOD($G$6*B1690 + $G$7, $G$8)</f>
      </c>
      <c r="C1691" s="11" t="str">
        <f>B1691/$G$8</f>
      </c>
      <c r="D1691" s="11" t="s">
        <v>80</v>
      </c>
    </row>
    <row r="1692">
      <c r="A1692" s="12">
        <v>1688</v>
      </c>
      <c r="B1692" s="12" t="str">
        <f>MOD($G$6*B1691 + $G$7, $G$8)</f>
      </c>
      <c r="C1692" s="12" t="str">
        <f>B1692/$G$8</f>
      </c>
      <c r="D1692" s="12" t="s">
        <v>80</v>
      </c>
    </row>
    <row r="1693">
      <c r="A1693" s="11">
        <v>1689</v>
      </c>
      <c r="B1693" s="11" t="str">
        <f>MOD($G$6*B1692 + $G$7, $G$8)</f>
      </c>
      <c r="C1693" s="11" t="str">
        <f>B1693/$G$8</f>
      </c>
      <c r="D1693" s="11" t="s">
        <v>80</v>
      </c>
    </row>
    <row r="1694">
      <c r="A1694" s="12">
        <v>1690</v>
      </c>
      <c r="B1694" s="12" t="str">
        <f>MOD($G$6*B1693 + $G$7, $G$8)</f>
      </c>
      <c r="C1694" s="12" t="str">
        <f>B1694/$G$8</f>
      </c>
      <c r="D1694" s="12" t="s">
        <v>80</v>
      </c>
    </row>
    <row r="1695">
      <c r="A1695" s="11">
        <v>1691</v>
      </c>
      <c r="B1695" s="11" t="str">
        <f>MOD($G$6*B1694 + $G$7, $G$8)</f>
      </c>
      <c r="C1695" s="11" t="str">
        <f>B1695/$G$8</f>
      </c>
      <c r="D1695" s="11" t="s">
        <v>80</v>
      </c>
    </row>
    <row r="1696">
      <c r="A1696" s="12">
        <v>1692</v>
      </c>
      <c r="B1696" s="12" t="str">
        <f>MOD($G$6*B1695 + $G$7, $G$8)</f>
      </c>
      <c r="C1696" s="12" t="str">
        <f>B1696/$G$8</f>
      </c>
      <c r="D1696" s="12" t="s">
        <v>80</v>
      </c>
    </row>
    <row r="1697">
      <c r="A1697" s="11">
        <v>1693</v>
      </c>
      <c r="B1697" s="11" t="str">
        <f>MOD($G$6*B1696 + $G$7, $G$8)</f>
      </c>
      <c r="C1697" s="11" t="str">
        <f>B1697/$G$8</f>
      </c>
      <c r="D1697" s="11" t="s">
        <v>80</v>
      </c>
    </row>
    <row r="1698">
      <c r="A1698" s="12">
        <v>1694</v>
      </c>
      <c r="B1698" s="12" t="str">
        <f>MOD($G$6*B1697 + $G$7, $G$8)</f>
      </c>
      <c r="C1698" s="12" t="str">
        <f>B1698/$G$8</f>
      </c>
      <c r="D1698" s="12" t="s">
        <v>80</v>
      </c>
    </row>
    <row r="1699">
      <c r="A1699" s="11">
        <v>1695</v>
      </c>
      <c r="B1699" s="11" t="str">
        <f>MOD($G$6*B1698 + $G$7, $G$8)</f>
      </c>
      <c r="C1699" s="11" t="str">
        <f>B1699/$G$8</f>
      </c>
      <c r="D1699" s="11" t="s">
        <v>80</v>
      </c>
    </row>
    <row r="1700">
      <c r="A1700" s="12">
        <v>1696</v>
      </c>
      <c r="B1700" s="12" t="str">
        <f>MOD($G$6*B1699 + $G$7, $G$8)</f>
      </c>
      <c r="C1700" s="12" t="str">
        <f>B1700/$G$8</f>
      </c>
      <c r="D1700" s="12" t="s">
        <v>80</v>
      </c>
    </row>
    <row r="1701">
      <c r="A1701" s="11">
        <v>1697</v>
      </c>
      <c r="B1701" s="11" t="str">
        <f>MOD($G$6*B1700 + $G$7, $G$8)</f>
      </c>
      <c r="C1701" s="11" t="str">
        <f>B1701/$G$8</f>
      </c>
      <c r="D1701" s="11" t="s">
        <v>80</v>
      </c>
    </row>
    <row r="1702">
      <c r="A1702" s="12">
        <v>1698</v>
      </c>
      <c r="B1702" s="12" t="str">
        <f>MOD($G$6*B1701 + $G$7, $G$8)</f>
      </c>
      <c r="C1702" s="12" t="str">
        <f>B1702/$G$8</f>
      </c>
      <c r="D1702" s="12" t="s">
        <v>80</v>
      </c>
    </row>
    <row r="1703">
      <c r="A1703" s="11">
        <v>1699</v>
      </c>
      <c r="B1703" s="11" t="str">
        <f>MOD($G$6*B1702 + $G$7, $G$8)</f>
      </c>
      <c r="C1703" s="11" t="str">
        <f>B1703/$G$8</f>
      </c>
      <c r="D1703" s="11" t="s">
        <v>80</v>
      </c>
    </row>
    <row r="1704">
      <c r="A1704" s="12">
        <v>1700</v>
      </c>
      <c r="B1704" s="12" t="str">
        <f>MOD($G$6*B1703 + $G$7, $G$8)</f>
      </c>
      <c r="C1704" s="12" t="str">
        <f>B1704/$G$8</f>
      </c>
      <c r="D1704" s="12" t="s">
        <v>80</v>
      </c>
    </row>
    <row r="1705">
      <c r="A1705" s="11">
        <v>1701</v>
      </c>
      <c r="B1705" s="11" t="str">
        <f>MOD($G$6*B1704 + $G$7, $G$8)</f>
      </c>
      <c r="C1705" s="11" t="str">
        <f>B1705/$G$8</f>
      </c>
      <c r="D1705" s="11" t="s">
        <v>80</v>
      </c>
    </row>
    <row r="1706">
      <c r="A1706" s="12">
        <v>1702</v>
      </c>
      <c r="B1706" s="12" t="str">
        <f>MOD($G$6*B1705 + $G$7, $G$8)</f>
      </c>
      <c r="C1706" s="12" t="str">
        <f>B1706/$G$8</f>
      </c>
      <c r="D1706" s="12" t="s">
        <v>80</v>
      </c>
    </row>
    <row r="1707">
      <c r="A1707" s="11">
        <v>1703</v>
      </c>
      <c r="B1707" s="11" t="str">
        <f>MOD($G$6*B1706 + $G$7, $G$8)</f>
      </c>
      <c r="C1707" s="11" t="str">
        <f>B1707/$G$8</f>
      </c>
      <c r="D1707" s="11" t="s">
        <v>80</v>
      </c>
    </row>
    <row r="1708">
      <c r="A1708" s="12">
        <v>1704</v>
      </c>
      <c r="B1708" s="12" t="str">
        <f>MOD($G$6*B1707 + $G$7, $G$8)</f>
      </c>
      <c r="C1708" s="12" t="str">
        <f>B1708/$G$8</f>
      </c>
      <c r="D1708" s="12" t="s">
        <v>80</v>
      </c>
    </row>
    <row r="1709">
      <c r="A1709" s="11">
        <v>1705</v>
      </c>
      <c r="B1709" s="11" t="str">
        <f>MOD($G$6*B1708 + $G$7, $G$8)</f>
      </c>
      <c r="C1709" s="11" t="str">
        <f>B1709/$G$8</f>
      </c>
      <c r="D1709" s="11" t="s">
        <v>80</v>
      </c>
    </row>
    <row r="1710">
      <c r="A1710" s="12">
        <v>1706</v>
      </c>
      <c r="B1710" s="12" t="str">
        <f>MOD($G$6*B1709 + $G$7, $G$8)</f>
      </c>
      <c r="C1710" s="12" t="str">
        <f>B1710/$G$8</f>
      </c>
      <c r="D1710" s="12" t="s">
        <v>80</v>
      </c>
    </row>
    <row r="1711">
      <c r="A1711" s="11">
        <v>1707</v>
      </c>
      <c r="B1711" s="11" t="str">
        <f>MOD($G$6*B1710 + $G$7, $G$8)</f>
      </c>
      <c r="C1711" s="11" t="str">
        <f>B1711/$G$8</f>
      </c>
      <c r="D1711" s="11" t="s">
        <v>80</v>
      </c>
    </row>
    <row r="1712">
      <c r="A1712" s="12">
        <v>1708</v>
      </c>
      <c r="B1712" s="12" t="str">
        <f>MOD($G$6*B1711 + $G$7, $G$8)</f>
      </c>
      <c r="C1712" s="12" t="str">
        <f>B1712/$G$8</f>
      </c>
      <c r="D1712" s="12" t="s">
        <v>80</v>
      </c>
    </row>
    <row r="1713">
      <c r="A1713" s="11">
        <v>1709</v>
      </c>
      <c r="B1713" s="11" t="str">
        <f>MOD($G$6*B1712 + $G$7, $G$8)</f>
      </c>
      <c r="C1713" s="11" t="str">
        <f>B1713/$G$8</f>
      </c>
      <c r="D1713" s="11" t="s">
        <v>80</v>
      </c>
    </row>
    <row r="1714">
      <c r="A1714" s="12">
        <v>1710</v>
      </c>
      <c r="B1714" s="12" t="str">
        <f>MOD($G$6*B1713 + $G$7, $G$8)</f>
      </c>
      <c r="C1714" s="12" t="str">
        <f>B1714/$G$8</f>
      </c>
      <c r="D1714" s="12" t="s">
        <v>80</v>
      </c>
    </row>
    <row r="1715">
      <c r="A1715" s="11">
        <v>1711</v>
      </c>
      <c r="B1715" s="11" t="str">
        <f>MOD($G$6*B1714 + $G$7, $G$8)</f>
      </c>
      <c r="C1715" s="11" t="str">
        <f>B1715/$G$8</f>
      </c>
      <c r="D1715" s="11" t="s">
        <v>80</v>
      </c>
    </row>
    <row r="1716">
      <c r="A1716" s="12">
        <v>1712</v>
      </c>
      <c r="B1716" s="12" t="str">
        <f>MOD($G$6*B1715 + $G$7, $G$8)</f>
      </c>
      <c r="C1716" s="12" t="str">
        <f>B1716/$G$8</f>
      </c>
      <c r="D1716" s="12" t="s">
        <v>80</v>
      </c>
    </row>
    <row r="1717">
      <c r="A1717" s="11">
        <v>1713</v>
      </c>
      <c r="B1717" s="11" t="str">
        <f>MOD($G$6*B1716 + $G$7, $G$8)</f>
      </c>
      <c r="C1717" s="11" t="str">
        <f>B1717/$G$8</f>
      </c>
      <c r="D1717" s="11" t="s">
        <v>80</v>
      </c>
    </row>
    <row r="1718">
      <c r="A1718" s="12">
        <v>1714</v>
      </c>
      <c r="B1718" s="12" t="str">
        <f>MOD($G$6*B1717 + $G$7, $G$8)</f>
      </c>
      <c r="C1718" s="12" t="str">
        <f>B1718/$G$8</f>
      </c>
      <c r="D1718" s="12" t="s">
        <v>80</v>
      </c>
    </row>
    <row r="1719">
      <c r="A1719" s="11">
        <v>1715</v>
      </c>
      <c r="B1719" s="11" t="str">
        <f>MOD($G$6*B1718 + $G$7, $G$8)</f>
      </c>
      <c r="C1719" s="11" t="str">
        <f>B1719/$G$8</f>
      </c>
      <c r="D1719" s="11" t="s">
        <v>80</v>
      </c>
    </row>
    <row r="1720">
      <c r="A1720" s="12">
        <v>1716</v>
      </c>
      <c r="B1720" s="12" t="str">
        <f>MOD($G$6*B1719 + $G$7, $G$8)</f>
      </c>
      <c r="C1720" s="12" t="str">
        <f>B1720/$G$8</f>
      </c>
      <c r="D1720" s="12" t="s">
        <v>80</v>
      </c>
    </row>
    <row r="1721">
      <c r="A1721" s="11">
        <v>1717</v>
      </c>
      <c r="B1721" s="11" t="str">
        <f>MOD($G$6*B1720 + $G$7, $G$8)</f>
      </c>
      <c r="C1721" s="11" t="str">
        <f>B1721/$G$8</f>
      </c>
      <c r="D1721" s="11" t="s">
        <v>80</v>
      </c>
    </row>
    <row r="1722">
      <c r="A1722" s="12">
        <v>1718</v>
      </c>
      <c r="B1722" s="12" t="str">
        <f>MOD($G$6*B1721 + $G$7, $G$8)</f>
      </c>
      <c r="C1722" s="12" t="str">
        <f>B1722/$G$8</f>
      </c>
      <c r="D1722" s="12" t="s">
        <v>80</v>
      </c>
    </row>
    <row r="1723">
      <c r="A1723" s="11">
        <v>1719</v>
      </c>
      <c r="B1723" s="11" t="str">
        <f>MOD($G$6*B1722 + $G$7, $G$8)</f>
      </c>
      <c r="C1723" s="11" t="str">
        <f>B1723/$G$8</f>
      </c>
      <c r="D1723" s="11" t="s">
        <v>80</v>
      </c>
    </row>
    <row r="1724">
      <c r="A1724" s="12">
        <v>1720</v>
      </c>
      <c r="B1724" s="12" t="str">
        <f>MOD($G$6*B1723 + $G$7, $G$8)</f>
      </c>
      <c r="C1724" s="12" t="str">
        <f>B1724/$G$8</f>
      </c>
      <c r="D1724" s="12" t="s">
        <v>80</v>
      </c>
    </row>
    <row r="1725">
      <c r="A1725" s="11">
        <v>1721</v>
      </c>
      <c r="B1725" s="11" t="str">
        <f>MOD($G$6*B1724 + $G$7, $G$8)</f>
      </c>
      <c r="C1725" s="11" t="str">
        <f>B1725/$G$8</f>
      </c>
      <c r="D1725" s="11" t="s">
        <v>80</v>
      </c>
    </row>
    <row r="1726">
      <c r="A1726" s="12">
        <v>1722</v>
      </c>
      <c r="B1726" s="12" t="str">
        <f>MOD($G$6*B1725 + $G$7, $G$8)</f>
      </c>
      <c r="C1726" s="12" t="str">
        <f>B1726/$G$8</f>
      </c>
      <c r="D1726" s="12" t="s">
        <v>80</v>
      </c>
    </row>
    <row r="1727">
      <c r="A1727" s="11">
        <v>1723</v>
      </c>
      <c r="B1727" s="11" t="str">
        <f>MOD($G$6*B1726 + $G$7, $G$8)</f>
      </c>
      <c r="C1727" s="11" t="str">
        <f>B1727/$G$8</f>
      </c>
      <c r="D1727" s="11" t="s">
        <v>80</v>
      </c>
    </row>
    <row r="1728">
      <c r="A1728" s="12">
        <v>1724</v>
      </c>
      <c r="B1728" s="12" t="str">
        <f>MOD($G$6*B1727 + $G$7, $G$8)</f>
      </c>
      <c r="C1728" s="12" t="str">
        <f>B1728/$G$8</f>
      </c>
      <c r="D1728" s="12" t="s">
        <v>80</v>
      </c>
    </row>
    <row r="1729">
      <c r="A1729" s="11">
        <v>1725</v>
      </c>
      <c r="B1729" s="11" t="str">
        <f>MOD($G$6*B1728 + $G$7, $G$8)</f>
      </c>
      <c r="C1729" s="11" t="str">
        <f>B1729/$G$8</f>
      </c>
      <c r="D1729" s="11" t="s">
        <v>80</v>
      </c>
    </row>
    <row r="1730">
      <c r="A1730" s="12">
        <v>1726</v>
      </c>
      <c r="B1730" s="12" t="str">
        <f>MOD($G$6*B1729 + $G$7, $G$8)</f>
      </c>
      <c r="C1730" s="12" t="str">
        <f>B1730/$G$8</f>
      </c>
      <c r="D1730" s="12" t="s">
        <v>80</v>
      </c>
    </row>
    <row r="1731">
      <c r="A1731" s="11">
        <v>1727</v>
      </c>
      <c r="B1731" s="11" t="str">
        <f>MOD($G$6*B1730 + $G$7, $G$8)</f>
      </c>
      <c r="C1731" s="11" t="str">
        <f>B1731/$G$8</f>
      </c>
      <c r="D1731" s="11" t="s">
        <v>80</v>
      </c>
    </row>
    <row r="1732">
      <c r="A1732" s="12">
        <v>1728</v>
      </c>
      <c r="B1732" s="12" t="str">
        <f>MOD($G$6*B1731 + $G$7, $G$8)</f>
      </c>
      <c r="C1732" s="12" t="str">
        <f>B1732/$G$8</f>
      </c>
      <c r="D1732" s="12" t="s">
        <v>80</v>
      </c>
    </row>
    <row r="1733">
      <c r="A1733" s="11">
        <v>1729</v>
      </c>
      <c r="B1733" s="11" t="str">
        <f>MOD($G$6*B1732 + $G$7, $G$8)</f>
      </c>
      <c r="C1733" s="11" t="str">
        <f>B1733/$G$8</f>
      </c>
      <c r="D1733" s="11" t="s">
        <v>80</v>
      </c>
    </row>
    <row r="1734">
      <c r="A1734" s="12">
        <v>1730</v>
      </c>
      <c r="B1734" s="12" t="str">
        <f>MOD($G$6*B1733 + $G$7, $G$8)</f>
      </c>
      <c r="C1734" s="12" t="str">
        <f>B1734/$G$8</f>
      </c>
      <c r="D1734" s="12" t="s">
        <v>80</v>
      </c>
    </row>
    <row r="1735">
      <c r="A1735" s="11">
        <v>1731</v>
      </c>
      <c r="B1735" s="11" t="str">
        <f>MOD($G$6*B1734 + $G$7, $G$8)</f>
      </c>
      <c r="C1735" s="11" t="str">
        <f>B1735/$G$8</f>
      </c>
      <c r="D1735" s="11" t="s">
        <v>80</v>
      </c>
    </row>
    <row r="1736">
      <c r="A1736" s="12">
        <v>1732</v>
      </c>
      <c r="B1736" s="12" t="str">
        <f>MOD($G$6*B1735 + $G$7, $G$8)</f>
      </c>
      <c r="C1736" s="12" t="str">
        <f>B1736/$G$8</f>
      </c>
      <c r="D1736" s="12" t="s">
        <v>80</v>
      </c>
    </row>
    <row r="1737">
      <c r="A1737" s="11">
        <v>1733</v>
      </c>
      <c r="B1737" s="11" t="str">
        <f>MOD($G$6*B1736 + $G$7, $G$8)</f>
      </c>
      <c r="C1737" s="11" t="str">
        <f>B1737/$G$8</f>
      </c>
      <c r="D1737" s="11" t="s">
        <v>80</v>
      </c>
    </row>
    <row r="1738">
      <c r="A1738" s="12">
        <v>1734</v>
      </c>
      <c r="B1738" s="12" t="str">
        <f>MOD($G$6*B1737 + $G$7, $G$8)</f>
      </c>
      <c r="C1738" s="12" t="str">
        <f>B1738/$G$8</f>
      </c>
      <c r="D1738" s="12" t="s">
        <v>80</v>
      </c>
    </row>
    <row r="1739">
      <c r="A1739" s="11">
        <v>1735</v>
      </c>
      <c r="B1739" s="11" t="str">
        <f>MOD($G$6*B1738 + $G$7, $G$8)</f>
      </c>
      <c r="C1739" s="11" t="str">
        <f>B1739/$G$8</f>
      </c>
      <c r="D1739" s="11" t="s">
        <v>80</v>
      </c>
    </row>
    <row r="1740">
      <c r="A1740" s="12">
        <v>1736</v>
      </c>
      <c r="B1740" s="12" t="str">
        <f>MOD($G$6*B1739 + $G$7, $G$8)</f>
      </c>
      <c r="C1740" s="12" t="str">
        <f>B1740/$G$8</f>
      </c>
      <c r="D1740" s="12" t="s">
        <v>80</v>
      </c>
    </row>
    <row r="1741">
      <c r="A1741" s="11">
        <v>1737</v>
      </c>
      <c r="B1741" s="11" t="str">
        <f>MOD($G$6*B1740 + $G$7, $G$8)</f>
      </c>
      <c r="C1741" s="11" t="str">
        <f>B1741/$G$8</f>
      </c>
      <c r="D1741" s="11" t="s">
        <v>80</v>
      </c>
    </row>
    <row r="1742">
      <c r="A1742" s="12">
        <v>1738</v>
      </c>
      <c r="B1742" s="12" t="str">
        <f>MOD($G$6*B1741 + $G$7, $G$8)</f>
      </c>
      <c r="C1742" s="12" t="str">
        <f>B1742/$G$8</f>
      </c>
      <c r="D1742" s="12" t="s">
        <v>80</v>
      </c>
    </row>
    <row r="1743">
      <c r="A1743" s="11">
        <v>1739</v>
      </c>
      <c r="B1743" s="11" t="str">
        <f>MOD($G$6*B1742 + $G$7, $G$8)</f>
      </c>
      <c r="C1743" s="11" t="str">
        <f>B1743/$G$8</f>
      </c>
      <c r="D1743" s="11" t="s">
        <v>80</v>
      </c>
    </row>
    <row r="1744">
      <c r="A1744" s="12">
        <v>1740</v>
      </c>
      <c r="B1744" s="12" t="str">
        <f>MOD($G$6*B1743 + $G$7, $G$8)</f>
      </c>
      <c r="C1744" s="12" t="str">
        <f>B1744/$G$8</f>
      </c>
      <c r="D1744" s="12" t="s">
        <v>80</v>
      </c>
    </row>
    <row r="1745">
      <c r="A1745" s="11">
        <v>1741</v>
      </c>
      <c r="B1745" s="11" t="str">
        <f>MOD($G$6*B1744 + $G$7, $G$8)</f>
      </c>
      <c r="C1745" s="11" t="str">
        <f>B1745/$G$8</f>
      </c>
      <c r="D1745" s="11" t="s">
        <v>80</v>
      </c>
    </row>
    <row r="1746">
      <c r="A1746" s="12">
        <v>1742</v>
      </c>
      <c r="B1746" s="12" t="str">
        <f>MOD($G$6*B1745 + $G$7, $G$8)</f>
      </c>
      <c r="C1746" s="12" t="str">
        <f>B1746/$G$8</f>
      </c>
      <c r="D1746" s="12" t="s">
        <v>80</v>
      </c>
    </row>
    <row r="1747">
      <c r="A1747" s="11">
        <v>1743</v>
      </c>
      <c r="B1747" s="11" t="str">
        <f>MOD($G$6*B1746 + $G$7, $G$8)</f>
      </c>
      <c r="C1747" s="11" t="str">
        <f>B1747/$G$8</f>
      </c>
      <c r="D1747" s="11" t="s">
        <v>80</v>
      </c>
    </row>
    <row r="1748">
      <c r="A1748" s="12">
        <v>1744</v>
      </c>
      <c r="B1748" s="12" t="str">
        <f>MOD($G$6*B1747 + $G$7, $G$8)</f>
      </c>
      <c r="C1748" s="12" t="str">
        <f>B1748/$G$8</f>
      </c>
      <c r="D1748" s="12" t="s">
        <v>80</v>
      </c>
    </row>
    <row r="1749">
      <c r="A1749" s="11">
        <v>1745</v>
      </c>
      <c r="B1749" s="11" t="str">
        <f>MOD($G$6*B1748 + $G$7, $G$8)</f>
      </c>
      <c r="C1749" s="11" t="str">
        <f>B1749/$G$8</f>
      </c>
      <c r="D1749" s="11" t="s">
        <v>80</v>
      </c>
    </row>
    <row r="1750">
      <c r="A1750" s="12">
        <v>1746</v>
      </c>
      <c r="B1750" s="12" t="str">
        <f>MOD($G$6*B1749 + $G$7, $G$8)</f>
      </c>
      <c r="C1750" s="12" t="str">
        <f>B1750/$G$8</f>
      </c>
      <c r="D1750" s="12" t="s">
        <v>80</v>
      </c>
    </row>
    <row r="1751">
      <c r="A1751" s="11">
        <v>1747</v>
      </c>
      <c r="B1751" s="11" t="str">
        <f>MOD($G$6*B1750 + $G$7, $G$8)</f>
      </c>
      <c r="C1751" s="11" t="str">
        <f>B1751/$G$8</f>
      </c>
      <c r="D1751" s="11" t="s">
        <v>80</v>
      </c>
    </row>
    <row r="1752">
      <c r="A1752" s="12">
        <v>1748</v>
      </c>
      <c r="B1752" s="12" t="str">
        <f>MOD($G$6*B1751 + $G$7, $G$8)</f>
      </c>
      <c r="C1752" s="12" t="str">
        <f>B1752/$G$8</f>
      </c>
      <c r="D1752" s="12" t="s">
        <v>80</v>
      </c>
    </row>
    <row r="1753">
      <c r="A1753" s="11">
        <v>1749</v>
      </c>
      <c r="B1753" s="11" t="str">
        <f>MOD($G$6*B1752 + $G$7, $G$8)</f>
      </c>
      <c r="C1753" s="11" t="str">
        <f>B1753/$G$8</f>
      </c>
      <c r="D1753" s="11" t="s">
        <v>80</v>
      </c>
    </row>
    <row r="1754">
      <c r="A1754" s="12">
        <v>1750</v>
      </c>
      <c r="B1754" s="12" t="str">
        <f>MOD($G$6*B1753 + $G$7, $G$8)</f>
      </c>
      <c r="C1754" s="12" t="str">
        <f>B1754/$G$8</f>
      </c>
      <c r="D1754" s="12" t="s">
        <v>80</v>
      </c>
    </row>
    <row r="1755">
      <c r="A1755" s="11">
        <v>1751</v>
      </c>
      <c r="B1755" s="11" t="str">
        <f>MOD($G$6*B1754 + $G$7, $G$8)</f>
      </c>
      <c r="C1755" s="11" t="str">
        <f>B1755/$G$8</f>
      </c>
      <c r="D1755" s="11" t="s">
        <v>80</v>
      </c>
    </row>
    <row r="1756">
      <c r="A1756" s="12">
        <v>1752</v>
      </c>
      <c r="B1756" s="12" t="str">
        <f>MOD($G$6*B1755 + $G$7, $G$8)</f>
      </c>
      <c r="C1756" s="12" t="str">
        <f>B1756/$G$8</f>
      </c>
      <c r="D1756" s="12" t="s">
        <v>80</v>
      </c>
    </row>
    <row r="1757">
      <c r="A1757" s="11">
        <v>1753</v>
      </c>
      <c r="B1757" s="11" t="str">
        <f>MOD($G$6*B1756 + $G$7, $G$8)</f>
      </c>
      <c r="C1757" s="11" t="str">
        <f>B1757/$G$8</f>
      </c>
      <c r="D1757" s="11" t="s">
        <v>80</v>
      </c>
    </row>
    <row r="1758">
      <c r="A1758" s="12">
        <v>1754</v>
      </c>
      <c r="B1758" s="12" t="str">
        <f>MOD($G$6*B1757 + $G$7, $G$8)</f>
      </c>
      <c r="C1758" s="12" t="str">
        <f>B1758/$G$8</f>
      </c>
      <c r="D1758" s="12" t="s">
        <v>80</v>
      </c>
    </row>
    <row r="1759">
      <c r="A1759" s="11">
        <v>1755</v>
      </c>
      <c r="B1759" s="11" t="str">
        <f>MOD($G$6*B1758 + $G$7, $G$8)</f>
      </c>
      <c r="C1759" s="11" t="str">
        <f>B1759/$G$8</f>
      </c>
      <c r="D1759" s="11" t="s">
        <v>80</v>
      </c>
    </row>
    <row r="1760">
      <c r="A1760" s="12">
        <v>1756</v>
      </c>
      <c r="B1760" s="12" t="str">
        <f>MOD($G$6*B1759 + $G$7, $G$8)</f>
      </c>
      <c r="C1760" s="12" t="str">
        <f>B1760/$G$8</f>
      </c>
      <c r="D1760" s="12" t="s">
        <v>80</v>
      </c>
    </row>
    <row r="1761">
      <c r="A1761" s="11">
        <v>1757</v>
      </c>
      <c r="B1761" s="11" t="str">
        <f>MOD($G$6*B1760 + $G$7, $G$8)</f>
      </c>
      <c r="C1761" s="11" t="str">
        <f>B1761/$G$8</f>
      </c>
      <c r="D1761" s="11" t="s">
        <v>80</v>
      </c>
    </row>
    <row r="1762">
      <c r="A1762" s="12">
        <v>1758</v>
      </c>
      <c r="B1762" s="12" t="str">
        <f>MOD($G$6*B1761 + $G$7, $G$8)</f>
      </c>
      <c r="C1762" s="12" t="str">
        <f>B1762/$G$8</f>
      </c>
      <c r="D1762" s="12" t="s">
        <v>80</v>
      </c>
    </row>
    <row r="1763">
      <c r="A1763" s="11">
        <v>1759</v>
      </c>
      <c r="B1763" s="11" t="str">
        <f>MOD($G$6*B1762 + $G$7, $G$8)</f>
      </c>
      <c r="C1763" s="11" t="str">
        <f>B1763/$G$8</f>
      </c>
      <c r="D1763" s="11" t="s">
        <v>80</v>
      </c>
    </row>
    <row r="1764">
      <c r="A1764" s="12">
        <v>1760</v>
      </c>
      <c r="B1764" s="12" t="str">
        <f>MOD($G$6*B1763 + $G$7, $G$8)</f>
      </c>
      <c r="C1764" s="12" t="str">
        <f>B1764/$G$8</f>
      </c>
      <c r="D1764" s="12" t="s">
        <v>80</v>
      </c>
    </row>
    <row r="1765">
      <c r="A1765" s="11">
        <v>1761</v>
      </c>
      <c r="B1765" s="11" t="str">
        <f>MOD($G$6*B1764 + $G$7, $G$8)</f>
      </c>
      <c r="C1765" s="11" t="str">
        <f>B1765/$G$8</f>
      </c>
      <c r="D1765" s="11" t="s">
        <v>80</v>
      </c>
    </row>
    <row r="1766">
      <c r="A1766" s="12">
        <v>1762</v>
      </c>
      <c r="B1766" s="12" t="str">
        <f>MOD($G$6*B1765 + $G$7, $G$8)</f>
      </c>
      <c r="C1766" s="12" t="str">
        <f>B1766/$G$8</f>
      </c>
      <c r="D1766" s="12" t="s">
        <v>80</v>
      </c>
    </row>
    <row r="1767">
      <c r="A1767" s="11">
        <v>1763</v>
      </c>
      <c r="B1767" s="11" t="str">
        <f>MOD($G$6*B1766 + $G$7, $G$8)</f>
      </c>
      <c r="C1767" s="11" t="str">
        <f>B1767/$G$8</f>
      </c>
      <c r="D1767" s="11" t="s">
        <v>80</v>
      </c>
    </row>
    <row r="1768">
      <c r="A1768" s="12">
        <v>1764</v>
      </c>
      <c r="B1768" s="12" t="str">
        <f>MOD($G$6*B1767 + $G$7, $G$8)</f>
      </c>
      <c r="C1768" s="12" t="str">
        <f>B1768/$G$8</f>
      </c>
      <c r="D1768" s="12" t="s">
        <v>80</v>
      </c>
    </row>
    <row r="1769">
      <c r="A1769" s="11">
        <v>1765</v>
      </c>
      <c r="B1769" s="11" t="str">
        <f>MOD($G$6*B1768 + $G$7, $G$8)</f>
      </c>
      <c r="C1769" s="11" t="str">
        <f>B1769/$G$8</f>
      </c>
      <c r="D1769" s="11" t="s">
        <v>80</v>
      </c>
    </row>
    <row r="1770">
      <c r="A1770" s="12">
        <v>1766</v>
      </c>
      <c r="B1770" s="12" t="str">
        <f>MOD($G$6*B1769 + $G$7, $G$8)</f>
      </c>
      <c r="C1770" s="12" t="str">
        <f>B1770/$G$8</f>
      </c>
      <c r="D1770" s="12" t="s">
        <v>80</v>
      </c>
    </row>
    <row r="1771">
      <c r="A1771" s="11">
        <v>1767</v>
      </c>
      <c r="B1771" s="11" t="str">
        <f>MOD($G$6*B1770 + $G$7, $G$8)</f>
      </c>
      <c r="C1771" s="11" t="str">
        <f>B1771/$G$8</f>
      </c>
      <c r="D1771" s="11" t="s">
        <v>80</v>
      </c>
    </row>
    <row r="1772">
      <c r="A1772" s="12">
        <v>1768</v>
      </c>
      <c r="B1772" s="12" t="str">
        <f>MOD($G$6*B1771 + $G$7, $G$8)</f>
      </c>
      <c r="C1772" s="12" t="str">
        <f>B1772/$G$8</f>
      </c>
      <c r="D1772" s="12" t="s">
        <v>80</v>
      </c>
    </row>
    <row r="1773">
      <c r="A1773" s="11">
        <v>1769</v>
      </c>
      <c r="B1773" s="11" t="str">
        <f>MOD($G$6*B1772 + $G$7, $G$8)</f>
      </c>
      <c r="C1773" s="11" t="str">
        <f>B1773/$G$8</f>
      </c>
      <c r="D1773" s="11" t="s">
        <v>80</v>
      </c>
    </row>
    <row r="1774">
      <c r="A1774" s="12">
        <v>1770</v>
      </c>
      <c r="B1774" s="12" t="str">
        <f>MOD($G$6*B1773 + $G$7, $G$8)</f>
      </c>
      <c r="C1774" s="12" t="str">
        <f>B1774/$G$8</f>
      </c>
      <c r="D1774" s="12" t="s">
        <v>80</v>
      </c>
    </row>
    <row r="1775">
      <c r="A1775" s="11">
        <v>1771</v>
      </c>
      <c r="B1775" s="11" t="str">
        <f>MOD($G$6*B1774 + $G$7, $G$8)</f>
      </c>
      <c r="C1775" s="11" t="str">
        <f>B1775/$G$8</f>
      </c>
      <c r="D1775" s="11" t="s">
        <v>80</v>
      </c>
    </row>
    <row r="1776">
      <c r="A1776" s="12">
        <v>1772</v>
      </c>
      <c r="B1776" s="12" t="str">
        <f>MOD($G$6*B1775 + $G$7, $G$8)</f>
      </c>
      <c r="C1776" s="12" t="str">
        <f>B1776/$G$8</f>
      </c>
      <c r="D1776" s="12" t="s">
        <v>80</v>
      </c>
    </row>
    <row r="1777">
      <c r="A1777" s="11">
        <v>1773</v>
      </c>
      <c r="B1777" s="11" t="str">
        <f>MOD($G$6*B1776 + $G$7, $G$8)</f>
      </c>
      <c r="C1777" s="11" t="str">
        <f>B1777/$G$8</f>
      </c>
      <c r="D1777" s="11" t="s">
        <v>80</v>
      </c>
    </row>
    <row r="1778">
      <c r="A1778" s="12">
        <v>1774</v>
      </c>
      <c r="B1778" s="12" t="str">
        <f>MOD($G$6*B1777 + $G$7, $G$8)</f>
      </c>
      <c r="C1778" s="12" t="str">
        <f>B1778/$G$8</f>
      </c>
      <c r="D1778" s="12" t="s">
        <v>80</v>
      </c>
    </row>
    <row r="1779">
      <c r="A1779" s="11">
        <v>1775</v>
      </c>
      <c r="B1779" s="11" t="str">
        <f>MOD($G$6*B1778 + $G$7, $G$8)</f>
      </c>
      <c r="C1779" s="11" t="str">
        <f>B1779/$G$8</f>
      </c>
      <c r="D1779" s="11" t="s">
        <v>80</v>
      </c>
    </row>
    <row r="1780">
      <c r="A1780" s="12">
        <v>1776</v>
      </c>
      <c r="B1780" s="12" t="str">
        <f>MOD($G$6*B1779 + $G$7, $G$8)</f>
      </c>
      <c r="C1780" s="12" t="str">
        <f>B1780/$G$8</f>
      </c>
      <c r="D1780" s="12" t="s">
        <v>80</v>
      </c>
    </row>
    <row r="1781">
      <c r="A1781" s="11">
        <v>1777</v>
      </c>
      <c r="B1781" s="11" t="str">
        <f>MOD($G$6*B1780 + $G$7, $G$8)</f>
      </c>
      <c r="C1781" s="11" t="str">
        <f>B1781/$G$8</f>
      </c>
      <c r="D1781" s="11" t="s">
        <v>80</v>
      </c>
    </row>
    <row r="1782">
      <c r="A1782" s="12">
        <v>1778</v>
      </c>
      <c r="B1782" s="12" t="str">
        <f>MOD($G$6*B1781 + $G$7, $G$8)</f>
      </c>
      <c r="C1782" s="12" t="str">
        <f>B1782/$G$8</f>
      </c>
      <c r="D1782" s="12" t="s">
        <v>80</v>
      </c>
    </row>
    <row r="1783">
      <c r="A1783" s="11">
        <v>1779</v>
      </c>
      <c r="B1783" s="11" t="str">
        <f>MOD($G$6*B1782 + $G$7, $G$8)</f>
      </c>
      <c r="C1783" s="11" t="str">
        <f>B1783/$G$8</f>
      </c>
      <c r="D1783" s="11" t="s">
        <v>80</v>
      </c>
    </row>
    <row r="1784">
      <c r="A1784" s="12">
        <v>1780</v>
      </c>
      <c r="B1784" s="12" t="str">
        <f>MOD($G$6*B1783 + $G$7, $G$8)</f>
      </c>
      <c r="C1784" s="12" t="str">
        <f>B1784/$G$8</f>
      </c>
      <c r="D1784" s="12" t="s">
        <v>80</v>
      </c>
    </row>
    <row r="1785">
      <c r="A1785" s="11">
        <v>1781</v>
      </c>
      <c r="B1785" s="11" t="str">
        <f>MOD($G$6*B1784 + $G$7, $G$8)</f>
      </c>
      <c r="C1785" s="11" t="str">
        <f>B1785/$G$8</f>
      </c>
      <c r="D1785" s="11" t="s">
        <v>80</v>
      </c>
    </row>
    <row r="1786">
      <c r="A1786" s="12">
        <v>1782</v>
      </c>
      <c r="B1786" s="12" t="str">
        <f>MOD($G$6*B1785 + $G$7, $G$8)</f>
      </c>
      <c r="C1786" s="12" t="str">
        <f>B1786/$G$8</f>
      </c>
      <c r="D1786" s="12" t="s">
        <v>80</v>
      </c>
    </row>
    <row r="1787">
      <c r="A1787" s="11">
        <v>1783</v>
      </c>
      <c r="B1787" s="11" t="str">
        <f>MOD($G$6*B1786 + $G$7, $G$8)</f>
      </c>
      <c r="C1787" s="11" t="str">
        <f>B1787/$G$8</f>
      </c>
      <c r="D1787" s="11" t="s">
        <v>80</v>
      </c>
    </row>
    <row r="1788">
      <c r="A1788" s="12">
        <v>1784</v>
      </c>
      <c r="B1788" s="12" t="str">
        <f>MOD($G$6*B1787 + $G$7, $G$8)</f>
      </c>
      <c r="C1788" s="12" t="str">
        <f>B1788/$G$8</f>
      </c>
      <c r="D1788" s="12" t="s">
        <v>80</v>
      </c>
    </row>
    <row r="1789">
      <c r="A1789" s="11">
        <v>1785</v>
      </c>
      <c r="B1789" s="11" t="str">
        <f>MOD($G$6*B1788 + $G$7, $G$8)</f>
      </c>
      <c r="C1789" s="11" t="str">
        <f>B1789/$G$8</f>
      </c>
      <c r="D1789" s="11" t="s">
        <v>80</v>
      </c>
    </row>
    <row r="1790">
      <c r="A1790" s="12">
        <v>1786</v>
      </c>
      <c r="B1790" s="12" t="str">
        <f>MOD($G$6*B1789 + $G$7, $G$8)</f>
      </c>
      <c r="C1790" s="12" t="str">
        <f>B1790/$G$8</f>
      </c>
      <c r="D1790" s="12" t="s">
        <v>80</v>
      </c>
    </row>
    <row r="1791">
      <c r="A1791" s="11">
        <v>1787</v>
      </c>
      <c r="B1791" s="11" t="str">
        <f>MOD($G$6*B1790 + $G$7, $G$8)</f>
      </c>
      <c r="C1791" s="11" t="str">
        <f>B1791/$G$8</f>
      </c>
      <c r="D1791" s="11" t="s">
        <v>80</v>
      </c>
    </row>
    <row r="1792">
      <c r="A1792" s="12">
        <v>1788</v>
      </c>
      <c r="B1792" s="12" t="str">
        <f>MOD($G$6*B1791 + $G$7, $G$8)</f>
      </c>
      <c r="C1792" s="12" t="str">
        <f>B1792/$G$8</f>
      </c>
      <c r="D1792" s="12" t="s">
        <v>80</v>
      </c>
    </row>
    <row r="1793">
      <c r="A1793" s="11">
        <v>1789</v>
      </c>
      <c r="B1793" s="11" t="str">
        <f>MOD($G$6*B1792 + $G$7, $G$8)</f>
      </c>
      <c r="C1793" s="11" t="str">
        <f>B1793/$G$8</f>
      </c>
      <c r="D1793" s="11" t="s">
        <v>80</v>
      </c>
    </row>
    <row r="1794">
      <c r="A1794" s="12">
        <v>1790</v>
      </c>
      <c r="B1794" s="12" t="str">
        <f>MOD($G$6*B1793 + $G$7, $G$8)</f>
      </c>
      <c r="C1794" s="12" t="str">
        <f>B1794/$G$8</f>
      </c>
      <c r="D1794" s="12" t="s">
        <v>80</v>
      </c>
    </row>
    <row r="1795">
      <c r="A1795" s="11">
        <v>1791</v>
      </c>
      <c r="B1795" s="11" t="str">
        <f>MOD($G$6*B1794 + $G$7, $G$8)</f>
      </c>
      <c r="C1795" s="11" t="str">
        <f>B1795/$G$8</f>
      </c>
      <c r="D1795" s="11" t="s">
        <v>80</v>
      </c>
    </row>
    <row r="1796">
      <c r="A1796" s="12">
        <v>1792</v>
      </c>
      <c r="B1796" s="12" t="str">
        <f>MOD($G$6*B1795 + $G$7, $G$8)</f>
      </c>
      <c r="C1796" s="12" t="str">
        <f>B1796/$G$8</f>
      </c>
      <c r="D1796" s="12" t="s">
        <v>80</v>
      </c>
    </row>
    <row r="1797">
      <c r="A1797" s="11">
        <v>1793</v>
      </c>
      <c r="B1797" s="11" t="str">
        <f>MOD($G$6*B1796 + $G$7, $G$8)</f>
      </c>
      <c r="C1797" s="11" t="str">
        <f>B1797/$G$8</f>
      </c>
      <c r="D1797" s="11" t="s">
        <v>80</v>
      </c>
    </row>
    <row r="1798">
      <c r="A1798" s="12">
        <v>1794</v>
      </c>
      <c r="B1798" s="12" t="str">
        <f>MOD($G$6*B1797 + $G$7, $G$8)</f>
      </c>
      <c r="C1798" s="12" t="str">
        <f>B1798/$G$8</f>
      </c>
      <c r="D1798" s="12" t="s">
        <v>80</v>
      </c>
    </row>
    <row r="1799">
      <c r="A1799" s="11">
        <v>1795</v>
      </c>
      <c r="B1799" s="11" t="str">
        <f>MOD($G$6*B1798 + $G$7, $G$8)</f>
      </c>
      <c r="C1799" s="11" t="str">
        <f>B1799/$G$8</f>
      </c>
      <c r="D1799" s="11" t="s">
        <v>80</v>
      </c>
    </row>
    <row r="1800">
      <c r="A1800" s="12">
        <v>1796</v>
      </c>
      <c r="B1800" s="12" t="str">
        <f>MOD($G$6*B1799 + $G$7, $G$8)</f>
      </c>
      <c r="C1800" s="12" t="str">
        <f>B1800/$G$8</f>
      </c>
      <c r="D1800" s="12" t="s">
        <v>80</v>
      </c>
    </row>
    <row r="1801">
      <c r="A1801" s="11">
        <v>1797</v>
      </c>
      <c r="B1801" s="11" t="str">
        <f>MOD($G$6*B1800 + $G$7, $G$8)</f>
      </c>
      <c r="C1801" s="11" t="str">
        <f>B1801/$G$8</f>
      </c>
      <c r="D1801" s="11" t="s">
        <v>80</v>
      </c>
    </row>
    <row r="1802">
      <c r="A1802" s="12">
        <v>1798</v>
      </c>
      <c r="B1802" s="12" t="str">
        <f>MOD($G$6*B1801 + $G$7, $G$8)</f>
      </c>
      <c r="C1802" s="12" t="str">
        <f>B1802/$G$8</f>
      </c>
      <c r="D1802" s="12" t="s">
        <v>80</v>
      </c>
    </row>
    <row r="1803">
      <c r="A1803" s="11">
        <v>1799</v>
      </c>
      <c r="B1803" s="11" t="str">
        <f>MOD($G$6*B1802 + $G$7, $G$8)</f>
      </c>
      <c r="C1803" s="11" t="str">
        <f>B1803/$G$8</f>
      </c>
      <c r="D1803" s="11" t="s">
        <v>80</v>
      </c>
    </row>
    <row r="1804">
      <c r="A1804" s="12">
        <v>1800</v>
      </c>
      <c r="B1804" s="12" t="str">
        <f>MOD($G$6*B1803 + $G$7, $G$8)</f>
      </c>
      <c r="C1804" s="12" t="str">
        <f>B1804/$G$8</f>
      </c>
      <c r="D1804" s="12" t="s">
        <v>80</v>
      </c>
    </row>
    <row r="1805">
      <c r="A1805" s="11">
        <v>1801</v>
      </c>
      <c r="B1805" s="11" t="str">
        <f>MOD($G$6*B1804 + $G$7, $G$8)</f>
      </c>
      <c r="C1805" s="11" t="str">
        <f>B1805/$G$8</f>
      </c>
      <c r="D1805" s="11" t="s">
        <v>80</v>
      </c>
    </row>
    <row r="1806">
      <c r="A1806" s="12">
        <v>1802</v>
      </c>
      <c r="B1806" s="12" t="str">
        <f>MOD($G$6*B1805 + $G$7, $G$8)</f>
      </c>
      <c r="C1806" s="12" t="str">
        <f>B1806/$G$8</f>
      </c>
      <c r="D1806" s="12" t="s">
        <v>80</v>
      </c>
    </row>
    <row r="1807">
      <c r="A1807" s="11">
        <v>1803</v>
      </c>
      <c r="B1807" s="11" t="str">
        <f>MOD($G$6*B1806 + $G$7, $G$8)</f>
      </c>
      <c r="C1807" s="11" t="str">
        <f>B1807/$G$8</f>
      </c>
      <c r="D1807" s="11" t="s">
        <v>80</v>
      </c>
    </row>
    <row r="1808">
      <c r="A1808" s="12">
        <v>1804</v>
      </c>
      <c r="B1808" s="12" t="str">
        <f>MOD($G$6*B1807 + $G$7, $G$8)</f>
      </c>
      <c r="C1808" s="12" t="str">
        <f>B1808/$G$8</f>
      </c>
      <c r="D1808" s="12" t="s">
        <v>80</v>
      </c>
    </row>
    <row r="1809">
      <c r="A1809" s="11">
        <v>1805</v>
      </c>
      <c r="B1809" s="11" t="str">
        <f>MOD($G$6*B1808 + $G$7, $G$8)</f>
      </c>
      <c r="C1809" s="11" t="str">
        <f>B1809/$G$8</f>
      </c>
      <c r="D1809" s="11" t="s">
        <v>80</v>
      </c>
    </row>
    <row r="1810">
      <c r="A1810" s="12">
        <v>1806</v>
      </c>
      <c r="B1810" s="12" t="str">
        <f>MOD($G$6*B1809 + $G$7, $G$8)</f>
      </c>
      <c r="C1810" s="12" t="str">
        <f>B1810/$G$8</f>
      </c>
      <c r="D1810" s="12" t="s">
        <v>80</v>
      </c>
    </row>
    <row r="1811">
      <c r="A1811" s="11">
        <v>1807</v>
      </c>
      <c r="B1811" s="11" t="str">
        <f>MOD($G$6*B1810 + $G$7, $G$8)</f>
      </c>
      <c r="C1811" s="11" t="str">
        <f>B1811/$G$8</f>
      </c>
      <c r="D1811" s="11" t="s">
        <v>80</v>
      </c>
    </row>
    <row r="1812">
      <c r="A1812" s="12">
        <v>1808</v>
      </c>
      <c r="B1812" s="12" t="str">
        <f>MOD($G$6*B1811 + $G$7, $G$8)</f>
      </c>
      <c r="C1812" s="12" t="str">
        <f>B1812/$G$8</f>
      </c>
      <c r="D1812" s="12" t="s">
        <v>80</v>
      </c>
    </row>
    <row r="1813">
      <c r="A1813" s="11">
        <v>1809</v>
      </c>
      <c r="B1813" s="11" t="str">
        <f>MOD($G$6*B1812 + $G$7, $G$8)</f>
      </c>
      <c r="C1813" s="11" t="str">
        <f>B1813/$G$8</f>
      </c>
      <c r="D1813" s="11" t="s">
        <v>80</v>
      </c>
    </row>
    <row r="1814">
      <c r="A1814" s="12">
        <v>1810</v>
      </c>
      <c r="B1814" s="12" t="str">
        <f>MOD($G$6*B1813 + $G$7, $G$8)</f>
      </c>
      <c r="C1814" s="12" t="str">
        <f>B1814/$G$8</f>
      </c>
      <c r="D1814" s="12" t="s">
        <v>80</v>
      </c>
    </row>
    <row r="1815">
      <c r="A1815" s="11">
        <v>1811</v>
      </c>
      <c r="B1815" s="11" t="str">
        <f>MOD($G$6*B1814 + $G$7, $G$8)</f>
      </c>
      <c r="C1815" s="11" t="str">
        <f>B1815/$G$8</f>
      </c>
      <c r="D1815" s="11" t="s">
        <v>80</v>
      </c>
    </row>
    <row r="1816">
      <c r="A1816" s="12">
        <v>1812</v>
      </c>
      <c r="B1816" s="12" t="str">
        <f>MOD($G$6*B1815 + $G$7, $G$8)</f>
      </c>
      <c r="C1816" s="12" t="str">
        <f>B1816/$G$8</f>
      </c>
      <c r="D1816" s="12" t="s">
        <v>80</v>
      </c>
    </row>
    <row r="1817">
      <c r="A1817" s="11">
        <v>1813</v>
      </c>
      <c r="B1817" s="11" t="str">
        <f>MOD($G$6*B1816 + $G$7, $G$8)</f>
      </c>
      <c r="C1817" s="11" t="str">
        <f>B1817/$G$8</f>
      </c>
      <c r="D1817" s="11" t="s">
        <v>80</v>
      </c>
    </row>
    <row r="1818">
      <c r="A1818" s="12">
        <v>1814</v>
      </c>
      <c r="B1818" s="12" t="str">
        <f>MOD($G$6*B1817 + $G$7, $G$8)</f>
      </c>
      <c r="C1818" s="12" t="str">
        <f>B1818/$G$8</f>
      </c>
      <c r="D1818" s="12" t="s">
        <v>80</v>
      </c>
    </row>
    <row r="1819">
      <c r="A1819" s="11">
        <v>1815</v>
      </c>
      <c r="B1819" s="11" t="str">
        <f>MOD($G$6*B1818 + $G$7, $G$8)</f>
      </c>
      <c r="C1819" s="11" t="str">
        <f>B1819/$G$8</f>
      </c>
      <c r="D1819" s="11" t="s">
        <v>80</v>
      </c>
    </row>
    <row r="1820">
      <c r="A1820" s="12">
        <v>1816</v>
      </c>
      <c r="B1820" s="12" t="str">
        <f>MOD($G$6*B1819 + $G$7, $G$8)</f>
      </c>
      <c r="C1820" s="12" t="str">
        <f>B1820/$G$8</f>
      </c>
      <c r="D1820" s="12" t="s">
        <v>80</v>
      </c>
    </row>
    <row r="1821">
      <c r="A1821" s="11">
        <v>1817</v>
      </c>
      <c r="B1821" s="11" t="str">
        <f>MOD($G$6*B1820 + $G$7, $G$8)</f>
      </c>
      <c r="C1821" s="11" t="str">
        <f>B1821/$G$8</f>
      </c>
      <c r="D1821" s="11" t="s">
        <v>80</v>
      </c>
    </row>
    <row r="1822">
      <c r="A1822" s="12">
        <v>1818</v>
      </c>
      <c r="B1822" s="12" t="str">
        <f>MOD($G$6*B1821 + $G$7, $G$8)</f>
      </c>
      <c r="C1822" s="12" t="str">
        <f>B1822/$G$8</f>
      </c>
      <c r="D1822" s="12" t="s">
        <v>80</v>
      </c>
    </row>
    <row r="1823">
      <c r="A1823" s="11">
        <v>1819</v>
      </c>
      <c r="B1823" s="11" t="str">
        <f>MOD($G$6*B1822 + $G$7, $G$8)</f>
      </c>
      <c r="C1823" s="11" t="str">
        <f>B1823/$G$8</f>
      </c>
      <c r="D1823" s="11" t="s">
        <v>80</v>
      </c>
    </row>
    <row r="1824">
      <c r="A1824" s="12">
        <v>1820</v>
      </c>
      <c r="B1824" s="12" t="str">
        <f>MOD($G$6*B1823 + $G$7, $G$8)</f>
      </c>
      <c r="C1824" s="12" t="str">
        <f>B1824/$G$8</f>
      </c>
      <c r="D1824" s="12" t="s">
        <v>80</v>
      </c>
    </row>
    <row r="1825">
      <c r="A1825" s="11">
        <v>1821</v>
      </c>
      <c r="B1825" s="11" t="str">
        <f>MOD($G$6*B1824 + $G$7, $G$8)</f>
      </c>
      <c r="C1825" s="11" t="str">
        <f>B1825/$G$8</f>
      </c>
      <c r="D1825" s="11" t="s">
        <v>80</v>
      </c>
    </row>
    <row r="1826">
      <c r="A1826" s="12">
        <v>1822</v>
      </c>
      <c r="B1826" s="12" t="str">
        <f>MOD($G$6*B1825 + $G$7, $G$8)</f>
      </c>
      <c r="C1826" s="12" t="str">
        <f>B1826/$G$8</f>
      </c>
      <c r="D1826" s="12" t="s">
        <v>80</v>
      </c>
    </row>
    <row r="1827">
      <c r="A1827" s="11">
        <v>1823</v>
      </c>
      <c r="B1827" s="11" t="str">
        <f>MOD($G$6*B1826 + $G$7, $G$8)</f>
      </c>
      <c r="C1827" s="11" t="str">
        <f>B1827/$G$8</f>
      </c>
      <c r="D1827" s="11" t="s">
        <v>80</v>
      </c>
    </row>
    <row r="1828">
      <c r="A1828" s="12">
        <v>1824</v>
      </c>
      <c r="B1828" s="12" t="str">
        <f>MOD($G$6*B1827 + $G$7, $G$8)</f>
      </c>
      <c r="C1828" s="12" t="str">
        <f>B1828/$G$8</f>
      </c>
      <c r="D1828" s="12" t="s">
        <v>80</v>
      </c>
    </row>
    <row r="1829">
      <c r="A1829" s="11">
        <v>1825</v>
      </c>
      <c r="B1829" s="11" t="str">
        <f>MOD($G$6*B1828 + $G$7, $G$8)</f>
      </c>
      <c r="C1829" s="11" t="str">
        <f>B1829/$G$8</f>
      </c>
      <c r="D1829" s="11" t="s">
        <v>80</v>
      </c>
    </row>
    <row r="1830">
      <c r="A1830" s="12">
        <v>1826</v>
      </c>
      <c r="B1830" s="12" t="str">
        <f>MOD($G$6*B1829 + $G$7, $G$8)</f>
      </c>
      <c r="C1830" s="12" t="str">
        <f>B1830/$G$8</f>
      </c>
      <c r="D1830" s="12" t="s">
        <v>80</v>
      </c>
    </row>
    <row r="1831">
      <c r="A1831" s="11">
        <v>1827</v>
      </c>
      <c r="B1831" s="11" t="str">
        <f>MOD($G$6*B1830 + $G$7, $G$8)</f>
      </c>
      <c r="C1831" s="11" t="str">
        <f>B1831/$G$8</f>
      </c>
      <c r="D1831" s="11" t="s">
        <v>80</v>
      </c>
    </row>
    <row r="1832">
      <c r="A1832" s="12">
        <v>1828</v>
      </c>
      <c r="B1832" s="12" t="str">
        <f>MOD($G$6*B1831 + $G$7, $G$8)</f>
      </c>
      <c r="C1832" s="12" t="str">
        <f>B1832/$G$8</f>
      </c>
      <c r="D1832" s="12" t="s">
        <v>80</v>
      </c>
    </row>
    <row r="1833">
      <c r="A1833" s="11">
        <v>1829</v>
      </c>
      <c r="B1833" s="11" t="str">
        <f>MOD($G$6*B1832 + $G$7, $G$8)</f>
      </c>
      <c r="C1833" s="11" t="str">
        <f>B1833/$G$8</f>
      </c>
      <c r="D1833" s="11" t="s">
        <v>80</v>
      </c>
    </row>
    <row r="1834">
      <c r="A1834" s="12">
        <v>1830</v>
      </c>
      <c r="B1834" s="12" t="str">
        <f>MOD($G$6*B1833 + $G$7, $G$8)</f>
      </c>
      <c r="C1834" s="12" t="str">
        <f>B1834/$G$8</f>
      </c>
      <c r="D1834" s="12" t="s">
        <v>80</v>
      </c>
    </row>
    <row r="1835">
      <c r="A1835" s="11">
        <v>1831</v>
      </c>
      <c r="B1835" s="11" t="str">
        <f>MOD($G$6*B1834 + $G$7, $G$8)</f>
      </c>
      <c r="C1835" s="11" t="str">
        <f>B1835/$G$8</f>
      </c>
      <c r="D1835" s="11" t="s">
        <v>80</v>
      </c>
    </row>
    <row r="1836">
      <c r="A1836" s="12">
        <v>1832</v>
      </c>
      <c r="B1836" s="12" t="str">
        <f>MOD($G$6*B1835 + $G$7, $G$8)</f>
      </c>
      <c r="C1836" s="12" t="str">
        <f>B1836/$G$8</f>
      </c>
      <c r="D1836" s="12" t="s">
        <v>80</v>
      </c>
    </row>
    <row r="1837">
      <c r="A1837" s="11">
        <v>1833</v>
      </c>
      <c r="B1837" s="11" t="str">
        <f>MOD($G$6*B1836 + $G$7, $G$8)</f>
      </c>
      <c r="C1837" s="11" t="str">
        <f>B1837/$G$8</f>
      </c>
      <c r="D1837" s="11" t="s">
        <v>80</v>
      </c>
    </row>
    <row r="1838">
      <c r="A1838" s="12">
        <v>1834</v>
      </c>
      <c r="B1838" s="12" t="str">
        <f>MOD($G$6*B1837 + $G$7, $G$8)</f>
      </c>
      <c r="C1838" s="12" t="str">
        <f>B1838/$G$8</f>
      </c>
      <c r="D1838" s="12" t="s">
        <v>80</v>
      </c>
    </row>
    <row r="1839">
      <c r="A1839" s="11">
        <v>1835</v>
      </c>
      <c r="B1839" s="11" t="str">
        <f>MOD($G$6*B1838 + $G$7, $G$8)</f>
      </c>
      <c r="C1839" s="11" t="str">
        <f>B1839/$G$8</f>
      </c>
      <c r="D1839" s="11" t="s">
        <v>80</v>
      </c>
    </row>
    <row r="1840">
      <c r="A1840" s="12">
        <v>1836</v>
      </c>
      <c r="B1840" s="12" t="str">
        <f>MOD($G$6*B1839 + $G$7, $G$8)</f>
      </c>
      <c r="C1840" s="12" t="str">
        <f>B1840/$G$8</f>
      </c>
      <c r="D1840" s="12" t="s">
        <v>80</v>
      </c>
    </row>
    <row r="1841">
      <c r="A1841" s="11">
        <v>1837</v>
      </c>
      <c r="B1841" s="11" t="str">
        <f>MOD($G$6*B1840 + $G$7, $G$8)</f>
      </c>
      <c r="C1841" s="11" t="str">
        <f>B1841/$G$8</f>
      </c>
      <c r="D1841" s="11" t="s">
        <v>80</v>
      </c>
    </row>
    <row r="1842">
      <c r="A1842" s="12">
        <v>1838</v>
      </c>
      <c r="B1842" s="12" t="str">
        <f>MOD($G$6*B1841 + $G$7, $G$8)</f>
      </c>
      <c r="C1842" s="12" t="str">
        <f>B1842/$G$8</f>
      </c>
      <c r="D1842" s="12" t="s">
        <v>80</v>
      </c>
    </row>
    <row r="1843">
      <c r="A1843" s="11">
        <v>1839</v>
      </c>
      <c r="B1843" s="11" t="str">
        <f>MOD($G$6*B1842 + $G$7, $G$8)</f>
      </c>
      <c r="C1843" s="11" t="str">
        <f>B1843/$G$8</f>
      </c>
      <c r="D1843" s="11" t="s">
        <v>80</v>
      </c>
    </row>
    <row r="1844">
      <c r="A1844" s="12">
        <v>1840</v>
      </c>
      <c r="B1844" s="12" t="str">
        <f>MOD($G$6*B1843 + $G$7, $G$8)</f>
      </c>
      <c r="C1844" s="12" t="str">
        <f>B1844/$G$8</f>
      </c>
      <c r="D1844" s="12" t="s">
        <v>80</v>
      </c>
    </row>
    <row r="1845">
      <c r="A1845" s="11">
        <v>1841</v>
      </c>
      <c r="B1845" s="11" t="str">
        <f>MOD($G$6*B1844 + $G$7, $G$8)</f>
      </c>
      <c r="C1845" s="11" t="str">
        <f>B1845/$G$8</f>
      </c>
      <c r="D1845" s="11" t="s">
        <v>80</v>
      </c>
    </row>
    <row r="1846">
      <c r="A1846" s="12">
        <v>1842</v>
      </c>
      <c r="B1846" s="12" t="str">
        <f>MOD($G$6*B1845 + $G$7, $G$8)</f>
      </c>
      <c r="C1846" s="12" t="str">
        <f>B1846/$G$8</f>
      </c>
      <c r="D1846" s="12" t="s">
        <v>80</v>
      </c>
    </row>
    <row r="1847">
      <c r="A1847" s="11">
        <v>1843</v>
      </c>
      <c r="B1847" s="11" t="str">
        <f>MOD($G$6*B1846 + $G$7, $G$8)</f>
      </c>
      <c r="C1847" s="11" t="str">
        <f>B1847/$G$8</f>
      </c>
      <c r="D1847" s="11" t="s">
        <v>80</v>
      </c>
    </row>
    <row r="1848">
      <c r="A1848" s="12">
        <v>1844</v>
      </c>
      <c r="B1848" s="12" t="str">
        <f>MOD($G$6*B1847 + $G$7, $G$8)</f>
      </c>
      <c r="C1848" s="12" t="str">
        <f>B1848/$G$8</f>
      </c>
      <c r="D1848" s="12" t="s">
        <v>80</v>
      </c>
    </row>
    <row r="1849">
      <c r="A1849" s="11">
        <v>1845</v>
      </c>
      <c r="B1849" s="11" t="str">
        <f>MOD($G$6*B1848 + $G$7, $G$8)</f>
      </c>
      <c r="C1849" s="11" t="str">
        <f>B1849/$G$8</f>
      </c>
      <c r="D1849" s="11" t="s">
        <v>80</v>
      </c>
    </row>
    <row r="1850">
      <c r="A1850" s="12">
        <v>1846</v>
      </c>
      <c r="B1850" s="12" t="str">
        <f>MOD($G$6*B1849 + $G$7, $G$8)</f>
      </c>
      <c r="C1850" s="12" t="str">
        <f>B1850/$G$8</f>
      </c>
      <c r="D1850" s="12" t="s">
        <v>80</v>
      </c>
    </row>
    <row r="1851">
      <c r="A1851" s="11">
        <v>1847</v>
      </c>
      <c r="B1851" s="11" t="str">
        <f>MOD($G$6*B1850 + $G$7, $G$8)</f>
      </c>
      <c r="C1851" s="11" t="str">
        <f>B1851/$G$8</f>
      </c>
      <c r="D1851" s="11" t="s">
        <v>80</v>
      </c>
    </row>
    <row r="1852">
      <c r="A1852" s="12">
        <v>1848</v>
      </c>
      <c r="B1852" s="12" t="str">
        <f>MOD($G$6*B1851 + $G$7, $G$8)</f>
      </c>
      <c r="C1852" s="12" t="str">
        <f>B1852/$G$8</f>
      </c>
      <c r="D1852" s="12" t="s">
        <v>80</v>
      </c>
    </row>
    <row r="1853">
      <c r="A1853" s="11">
        <v>1849</v>
      </c>
      <c r="B1853" s="11" t="str">
        <f>MOD($G$6*B1852 + $G$7, $G$8)</f>
      </c>
      <c r="C1853" s="11" t="str">
        <f>B1853/$G$8</f>
      </c>
      <c r="D1853" s="11" t="s">
        <v>80</v>
      </c>
    </row>
    <row r="1854">
      <c r="A1854" s="12">
        <v>1850</v>
      </c>
      <c r="B1854" s="12" t="str">
        <f>MOD($G$6*B1853 + $G$7, $G$8)</f>
      </c>
      <c r="C1854" s="12" t="str">
        <f>B1854/$G$8</f>
      </c>
      <c r="D1854" s="12" t="s">
        <v>80</v>
      </c>
    </row>
    <row r="1855">
      <c r="A1855" s="11">
        <v>1851</v>
      </c>
      <c r="B1855" s="11" t="str">
        <f>MOD($G$6*B1854 + $G$7, $G$8)</f>
      </c>
      <c r="C1855" s="11" t="str">
        <f>B1855/$G$8</f>
      </c>
      <c r="D1855" s="11" t="s">
        <v>80</v>
      </c>
    </row>
    <row r="1856">
      <c r="A1856" s="12">
        <v>1852</v>
      </c>
      <c r="B1856" s="12" t="str">
        <f>MOD($G$6*B1855 + $G$7, $G$8)</f>
      </c>
      <c r="C1856" s="12" t="str">
        <f>B1856/$G$8</f>
      </c>
      <c r="D1856" s="12" t="s">
        <v>80</v>
      </c>
    </row>
    <row r="1857">
      <c r="A1857" s="11">
        <v>1853</v>
      </c>
      <c r="B1857" s="11" t="str">
        <f>MOD($G$6*B1856 + $G$7, $G$8)</f>
      </c>
      <c r="C1857" s="11" t="str">
        <f>B1857/$G$8</f>
      </c>
      <c r="D1857" s="11" t="s">
        <v>80</v>
      </c>
    </row>
    <row r="1858">
      <c r="A1858" s="12">
        <v>1854</v>
      </c>
      <c r="B1858" s="12" t="str">
        <f>MOD($G$6*B1857 + $G$7, $G$8)</f>
      </c>
      <c r="C1858" s="12" t="str">
        <f>B1858/$G$8</f>
      </c>
      <c r="D1858" s="12" t="s">
        <v>80</v>
      </c>
    </row>
    <row r="1859">
      <c r="A1859" s="11">
        <v>1855</v>
      </c>
      <c r="B1859" s="11" t="str">
        <f>MOD($G$6*B1858 + $G$7, $G$8)</f>
      </c>
      <c r="C1859" s="11" t="str">
        <f>B1859/$G$8</f>
      </c>
      <c r="D1859" s="11" t="s">
        <v>80</v>
      </c>
    </row>
    <row r="1860">
      <c r="A1860" s="12">
        <v>1856</v>
      </c>
      <c r="B1860" s="12" t="str">
        <f>MOD($G$6*B1859 + $G$7, $G$8)</f>
      </c>
      <c r="C1860" s="12" t="str">
        <f>B1860/$G$8</f>
      </c>
      <c r="D1860" s="12" t="s">
        <v>80</v>
      </c>
    </row>
    <row r="1861">
      <c r="A1861" s="11">
        <v>1857</v>
      </c>
      <c r="B1861" s="11" t="str">
        <f>MOD($G$6*B1860 + $G$7, $G$8)</f>
      </c>
      <c r="C1861" s="11" t="str">
        <f>B1861/$G$8</f>
      </c>
      <c r="D1861" s="11" t="s">
        <v>80</v>
      </c>
    </row>
    <row r="1862">
      <c r="A1862" s="12">
        <v>1858</v>
      </c>
      <c r="B1862" s="12" t="str">
        <f>MOD($G$6*B1861 + $G$7, $G$8)</f>
      </c>
      <c r="C1862" s="12" t="str">
        <f>B1862/$G$8</f>
      </c>
      <c r="D1862" s="12" t="s">
        <v>80</v>
      </c>
    </row>
    <row r="1863">
      <c r="A1863" s="11">
        <v>1859</v>
      </c>
      <c r="B1863" s="11" t="str">
        <f>MOD($G$6*B1862 + $G$7, $G$8)</f>
      </c>
      <c r="C1863" s="11" t="str">
        <f>B1863/$G$8</f>
      </c>
      <c r="D1863" s="11" t="s">
        <v>80</v>
      </c>
    </row>
    <row r="1864">
      <c r="A1864" s="12">
        <v>1860</v>
      </c>
      <c r="B1864" s="12" t="str">
        <f>MOD($G$6*B1863 + $G$7, $G$8)</f>
      </c>
      <c r="C1864" s="12" t="str">
        <f>B1864/$G$8</f>
      </c>
      <c r="D1864" s="12" t="s">
        <v>80</v>
      </c>
    </row>
    <row r="1865">
      <c r="A1865" s="11">
        <v>1861</v>
      </c>
      <c r="B1865" s="11" t="str">
        <f>MOD($G$6*B1864 + $G$7, $G$8)</f>
      </c>
      <c r="C1865" s="11" t="str">
        <f>B1865/$G$8</f>
      </c>
      <c r="D1865" s="11" t="s">
        <v>80</v>
      </c>
    </row>
    <row r="1866">
      <c r="A1866" s="12">
        <v>1862</v>
      </c>
      <c r="B1866" s="12" t="str">
        <f>MOD($G$6*B1865 + $G$7, $G$8)</f>
      </c>
      <c r="C1866" s="12" t="str">
        <f>B1866/$G$8</f>
      </c>
      <c r="D1866" s="12" t="s">
        <v>80</v>
      </c>
    </row>
    <row r="1867">
      <c r="A1867" s="11">
        <v>1863</v>
      </c>
      <c r="B1867" s="11" t="str">
        <f>MOD($G$6*B1866 + $G$7, $G$8)</f>
      </c>
      <c r="C1867" s="11" t="str">
        <f>B1867/$G$8</f>
      </c>
      <c r="D1867" s="11" t="s">
        <v>80</v>
      </c>
    </row>
    <row r="1868">
      <c r="A1868" s="12">
        <v>1864</v>
      </c>
      <c r="B1868" s="12" t="str">
        <f>MOD($G$6*B1867 + $G$7, $G$8)</f>
      </c>
      <c r="C1868" s="12" t="str">
        <f>B1868/$G$8</f>
      </c>
      <c r="D1868" s="12" t="s">
        <v>80</v>
      </c>
    </row>
    <row r="1869">
      <c r="A1869" s="11">
        <v>1865</v>
      </c>
      <c r="B1869" s="11" t="str">
        <f>MOD($G$6*B1868 + $G$7, $G$8)</f>
      </c>
      <c r="C1869" s="11" t="str">
        <f>B1869/$G$8</f>
      </c>
      <c r="D1869" s="11" t="s">
        <v>80</v>
      </c>
    </row>
    <row r="1870">
      <c r="A1870" s="12">
        <v>1866</v>
      </c>
      <c r="B1870" s="12" t="str">
        <f>MOD($G$6*B1869 + $G$7, $G$8)</f>
      </c>
      <c r="C1870" s="12" t="str">
        <f>B1870/$G$8</f>
      </c>
      <c r="D1870" s="12" t="s">
        <v>80</v>
      </c>
    </row>
    <row r="1871">
      <c r="A1871" s="11">
        <v>1867</v>
      </c>
      <c r="B1871" s="11" t="str">
        <f>MOD($G$6*B1870 + $G$7, $G$8)</f>
      </c>
      <c r="C1871" s="11" t="str">
        <f>B1871/$G$8</f>
      </c>
      <c r="D1871" s="11" t="s">
        <v>80</v>
      </c>
    </row>
    <row r="1872">
      <c r="A1872" s="12">
        <v>1868</v>
      </c>
      <c r="B1872" s="12" t="str">
        <f>MOD($G$6*B1871 + $G$7, $G$8)</f>
      </c>
      <c r="C1872" s="12" t="str">
        <f>B1872/$G$8</f>
      </c>
      <c r="D1872" s="12" t="s">
        <v>80</v>
      </c>
    </row>
    <row r="1873">
      <c r="A1873" s="11">
        <v>1869</v>
      </c>
      <c r="B1873" s="11" t="str">
        <f>MOD($G$6*B1872 + $G$7, $G$8)</f>
      </c>
      <c r="C1873" s="11" t="str">
        <f>B1873/$G$8</f>
      </c>
      <c r="D1873" s="11" t="s">
        <v>80</v>
      </c>
    </row>
    <row r="1874">
      <c r="A1874" s="12">
        <v>1870</v>
      </c>
      <c r="B1874" s="12" t="str">
        <f>MOD($G$6*B1873 + $G$7, $G$8)</f>
      </c>
      <c r="C1874" s="12" t="str">
        <f>B1874/$G$8</f>
      </c>
      <c r="D1874" s="12" t="s">
        <v>80</v>
      </c>
    </row>
    <row r="1875">
      <c r="A1875" s="11">
        <v>1871</v>
      </c>
      <c r="B1875" s="11" t="str">
        <f>MOD($G$6*B1874 + $G$7, $G$8)</f>
      </c>
      <c r="C1875" s="11" t="str">
        <f>B1875/$G$8</f>
      </c>
      <c r="D1875" s="11" t="s">
        <v>80</v>
      </c>
    </row>
    <row r="1876">
      <c r="A1876" s="12">
        <v>1872</v>
      </c>
      <c r="B1876" s="12" t="str">
        <f>MOD($G$6*B1875 + $G$7, $G$8)</f>
      </c>
      <c r="C1876" s="12" t="str">
        <f>B1876/$G$8</f>
      </c>
      <c r="D1876" s="12" t="s">
        <v>80</v>
      </c>
    </row>
    <row r="1877">
      <c r="A1877" s="11">
        <v>1873</v>
      </c>
      <c r="B1877" s="11" t="str">
        <f>MOD($G$6*B1876 + $G$7, $G$8)</f>
      </c>
      <c r="C1877" s="11" t="str">
        <f>B1877/$G$8</f>
      </c>
      <c r="D1877" s="11" t="s">
        <v>80</v>
      </c>
    </row>
    <row r="1878">
      <c r="A1878" s="12">
        <v>1874</v>
      </c>
      <c r="B1878" s="12" t="str">
        <f>MOD($G$6*B1877 + $G$7, $G$8)</f>
      </c>
      <c r="C1878" s="12" t="str">
        <f>B1878/$G$8</f>
      </c>
      <c r="D1878" s="12" t="s">
        <v>80</v>
      </c>
    </row>
    <row r="1879">
      <c r="A1879" s="11">
        <v>1875</v>
      </c>
      <c r="B1879" s="11" t="str">
        <f>MOD($G$6*B1878 + $G$7, $G$8)</f>
      </c>
      <c r="C1879" s="11" t="str">
        <f>B1879/$G$8</f>
      </c>
      <c r="D1879" s="11" t="s">
        <v>80</v>
      </c>
    </row>
    <row r="1880">
      <c r="A1880" s="12">
        <v>1876</v>
      </c>
      <c r="B1880" s="12" t="str">
        <f>MOD($G$6*B1879 + $G$7, $G$8)</f>
      </c>
      <c r="C1880" s="12" t="str">
        <f>B1880/$G$8</f>
      </c>
      <c r="D1880" s="12" t="s">
        <v>80</v>
      </c>
    </row>
    <row r="1881">
      <c r="A1881" s="11">
        <v>1877</v>
      </c>
      <c r="B1881" s="11" t="str">
        <f>MOD($G$6*B1880 + $G$7, $G$8)</f>
      </c>
      <c r="C1881" s="11" t="str">
        <f>B1881/$G$8</f>
      </c>
      <c r="D1881" s="11" t="s">
        <v>80</v>
      </c>
    </row>
    <row r="1882">
      <c r="A1882" s="12">
        <v>1878</v>
      </c>
      <c r="B1882" s="12" t="str">
        <f>MOD($G$6*B1881 + $G$7, $G$8)</f>
      </c>
      <c r="C1882" s="12" t="str">
        <f>B1882/$G$8</f>
      </c>
      <c r="D1882" s="12" t="s">
        <v>80</v>
      </c>
    </row>
    <row r="1883">
      <c r="A1883" s="11">
        <v>1879</v>
      </c>
      <c r="B1883" s="11" t="str">
        <f>MOD($G$6*B1882 + $G$7, $G$8)</f>
      </c>
      <c r="C1883" s="11" t="str">
        <f>B1883/$G$8</f>
      </c>
      <c r="D1883" s="11" t="s">
        <v>80</v>
      </c>
    </row>
    <row r="1884">
      <c r="A1884" s="12">
        <v>1880</v>
      </c>
      <c r="B1884" s="12" t="str">
        <f>MOD($G$6*B1883 + $G$7, $G$8)</f>
      </c>
      <c r="C1884" s="12" t="str">
        <f>B1884/$G$8</f>
      </c>
      <c r="D1884" s="12" t="s">
        <v>80</v>
      </c>
    </row>
    <row r="1885">
      <c r="A1885" s="11">
        <v>1881</v>
      </c>
      <c r="B1885" s="11" t="str">
        <f>MOD($G$6*B1884 + $G$7, $G$8)</f>
      </c>
      <c r="C1885" s="11" t="str">
        <f>B1885/$G$8</f>
      </c>
      <c r="D1885" s="11" t="s">
        <v>80</v>
      </c>
    </row>
    <row r="1886">
      <c r="A1886" s="12">
        <v>1882</v>
      </c>
      <c r="B1886" s="12" t="str">
        <f>MOD($G$6*B1885 + $G$7, $G$8)</f>
      </c>
      <c r="C1886" s="12" t="str">
        <f>B1886/$G$8</f>
      </c>
      <c r="D1886" s="12" t="s">
        <v>80</v>
      </c>
    </row>
    <row r="1887">
      <c r="A1887" s="11">
        <v>1883</v>
      </c>
      <c r="B1887" s="11" t="str">
        <f>MOD($G$6*B1886 + $G$7, $G$8)</f>
      </c>
      <c r="C1887" s="11" t="str">
        <f>B1887/$G$8</f>
      </c>
      <c r="D1887" s="11" t="s">
        <v>80</v>
      </c>
    </row>
    <row r="1888">
      <c r="A1888" s="12">
        <v>1884</v>
      </c>
      <c r="B1888" s="12" t="str">
        <f>MOD($G$6*B1887 + $G$7, $G$8)</f>
      </c>
      <c r="C1888" s="12" t="str">
        <f>B1888/$G$8</f>
      </c>
      <c r="D1888" s="12" t="s">
        <v>80</v>
      </c>
    </row>
    <row r="1889">
      <c r="A1889" s="11">
        <v>1885</v>
      </c>
      <c r="B1889" s="11" t="str">
        <f>MOD($G$6*B1888 + $G$7, $G$8)</f>
      </c>
      <c r="C1889" s="11" t="str">
        <f>B1889/$G$8</f>
      </c>
      <c r="D1889" s="11" t="s">
        <v>80</v>
      </c>
    </row>
    <row r="1890">
      <c r="A1890" s="12">
        <v>1886</v>
      </c>
      <c r="B1890" s="12" t="str">
        <f>MOD($G$6*B1889 + $G$7, $G$8)</f>
      </c>
      <c r="C1890" s="12" t="str">
        <f>B1890/$G$8</f>
      </c>
      <c r="D1890" s="12" t="s">
        <v>80</v>
      </c>
    </row>
    <row r="1891">
      <c r="A1891" s="11">
        <v>1887</v>
      </c>
      <c r="B1891" s="11" t="str">
        <f>MOD($G$6*B1890 + $G$7, $G$8)</f>
      </c>
      <c r="C1891" s="11" t="str">
        <f>B1891/$G$8</f>
      </c>
      <c r="D1891" s="11" t="s">
        <v>80</v>
      </c>
    </row>
    <row r="1892">
      <c r="A1892" s="12">
        <v>1888</v>
      </c>
      <c r="B1892" s="12" t="str">
        <f>MOD($G$6*B1891 + $G$7, $G$8)</f>
      </c>
      <c r="C1892" s="12" t="str">
        <f>B1892/$G$8</f>
      </c>
      <c r="D1892" s="12" t="s">
        <v>80</v>
      </c>
    </row>
    <row r="1893">
      <c r="A1893" s="11">
        <v>1889</v>
      </c>
      <c r="B1893" s="11" t="str">
        <f>MOD($G$6*B1892 + $G$7, $G$8)</f>
      </c>
      <c r="C1893" s="11" t="str">
        <f>B1893/$G$8</f>
      </c>
      <c r="D1893" s="11" t="s">
        <v>80</v>
      </c>
    </row>
    <row r="1894">
      <c r="A1894" s="12">
        <v>1890</v>
      </c>
      <c r="B1894" s="12" t="str">
        <f>MOD($G$6*B1893 + $G$7, $G$8)</f>
      </c>
      <c r="C1894" s="12" t="str">
        <f>B1894/$G$8</f>
      </c>
      <c r="D1894" s="12" t="s">
        <v>80</v>
      </c>
    </row>
    <row r="1895">
      <c r="A1895" s="11">
        <v>1891</v>
      </c>
      <c r="B1895" s="11" t="str">
        <f>MOD($G$6*B1894 + $G$7, $G$8)</f>
      </c>
      <c r="C1895" s="11" t="str">
        <f>B1895/$G$8</f>
      </c>
      <c r="D1895" s="11" t="s">
        <v>80</v>
      </c>
    </row>
    <row r="1896">
      <c r="A1896" s="12">
        <v>1892</v>
      </c>
      <c r="B1896" s="12" t="str">
        <f>MOD($G$6*B1895 + $G$7, $G$8)</f>
      </c>
      <c r="C1896" s="12" t="str">
        <f>B1896/$G$8</f>
      </c>
      <c r="D1896" s="12" t="s">
        <v>80</v>
      </c>
    </row>
    <row r="1897">
      <c r="A1897" s="11">
        <v>1893</v>
      </c>
      <c r="B1897" s="11" t="str">
        <f>MOD($G$6*B1896 + $G$7, $G$8)</f>
      </c>
      <c r="C1897" s="11" t="str">
        <f>B1897/$G$8</f>
      </c>
      <c r="D1897" s="11" t="s">
        <v>80</v>
      </c>
    </row>
    <row r="1898">
      <c r="A1898" s="12">
        <v>1894</v>
      </c>
      <c r="B1898" s="12" t="str">
        <f>MOD($G$6*B1897 + $G$7, $G$8)</f>
      </c>
      <c r="C1898" s="12" t="str">
        <f>B1898/$G$8</f>
      </c>
      <c r="D1898" s="12" t="s">
        <v>80</v>
      </c>
    </row>
    <row r="1899">
      <c r="A1899" s="11">
        <v>1895</v>
      </c>
      <c r="B1899" s="11" t="str">
        <f>MOD($G$6*B1898 + $G$7, $G$8)</f>
      </c>
      <c r="C1899" s="11" t="str">
        <f>B1899/$G$8</f>
      </c>
      <c r="D1899" s="11" t="s">
        <v>80</v>
      </c>
    </row>
    <row r="1900">
      <c r="A1900" s="12">
        <v>1896</v>
      </c>
      <c r="B1900" s="12" t="str">
        <f>MOD($G$6*B1899 + $G$7, $G$8)</f>
      </c>
      <c r="C1900" s="12" t="str">
        <f>B1900/$G$8</f>
      </c>
      <c r="D1900" s="12" t="s">
        <v>80</v>
      </c>
    </row>
    <row r="1901">
      <c r="A1901" s="11">
        <v>1897</v>
      </c>
      <c r="B1901" s="11" t="str">
        <f>MOD($G$6*B1900 + $G$7, $G$8)</f>
      </c>
      <c r="C1901" s="11" t="str">
        <f>B1901/$G$8</f>
      </c>
      <c r="D1901" s="11" t="s">
        <v>80</v>
      </c>
    </row>
    <row r="1902">
      <c r="A1902" s="12">
        <v>1898</v>
      </c>
      <c r="B1902" s="12" t="str">
        <f>MOD($G$6*B1901 + $G$7, $G$8)</f>
      </c>
      <c r="C1902" s="12" t="str">
        <f>B1902/$G$8</f>
      </c>
      <c r="D1902" s="12" t="s">
        <v>80</v>
      </c>
    </row>
    <row r="1903">
      <c r="A1903" s="11">
        <v>1899</v>
      </c>
      <c r="B1903" s="11" t="str">
        <f>MOD($G$6*B1902 + $G$7, $G$8)</f>
      </c>
      <c r="C1903" s="11" t="str">
        <f>B1903/$G$8</f>
      </c>
      <c r="D1903" s="11" t="s">
        <v>80</v>
      </c>
    </row>
    <row r="1904">
      <c r="A1904" s="12">
        <v>1900</v>
      </c>
      <c r="B1904" s="12" t="str">
        <f>MOD($G$6*B1903 + $G$7, $G$8)</f>
      </c>
      <c r="C1904" s="12" t="str">
        <f>B1904/$G$8</f>
      </c>
      <c r="D1904" s="12" t="s">
        <v>80</v>
      </c>
    </row>
    <row r="1905">
      <c r="A1905" s="11">
        <v>1901</v>
      </c>
      <c r="B1905" s="11" t="str">
        <f>MOD($G$6*B1904 + $G$7, $G$8)</f>
      </c>
      <c r="C1905" s="11" t="str">
        <f>B1905/$G$8</f>
      </c>
      <c r="D1905" s="11" t="s">
        <v>80</v>
      </c>
    </row>
    <row r="1906">
      <c r="A1906" s="12">
        <v>1902</v>
      </c>
      <c r="B1906" s="12" t="str">
        <f>MOD($G$6*B1905 + $G$7, $G$8)</f>
      </c>
      <c r="C1906" s="12" t="str">
        <f>B1906/$G$8</f>
      </c>
      <c r="D1906" s="12" t="s">
        <v>80</v>
      </c>
    </row>
    <row r="1907">
      <c r="A1907" s="11">
        <v>1903</v>
      </c>
      <c r="B1907" s="11" t="str">
        <f>MOD($G$6*B1906 + $G$7, $G$8)</f>
      </c>
      <c r="C1907" s="11" t="str">
        <f>B1907/$G$8</f>
      </c>
      <c r="D1907" s="11" t="s">
        <v>80</v>
      </c>
    </row>
    <row r="1908">
      <c r="A1908" s="12">
        <v>1904</v>
      </c>
      <c r="B1908" s="12" t="str">
        <f>MOD($G$6*B1907 + $G$7, $G$8)</f>
      </c>
      <c r="C1908" s="12" t="str">
        <f>B1908/$G$8</f>
      </c>
      <c r="D1908" s="12" t="s">
        <v>80</v>
      </c>
    </row>
    <row r="1909">
      <c r="A1909" s="11">
        <v>1905</v>
      </c>
      <c r="B1909" s="11" t="str">
        <f>MOD($G$6*B1908 + $G$7, $G$8)</f>
      </c>
      <c r="C1909" s="11" t="str">
        <f>B1909/$G$8</f>
      </c>
      <c r="D1909" s="11" t="s">
        <v>80</v>
      </c>
    </row>
    <row r="1910">
      <c r="A1910" s="12">
        <v>1906</v>
      </c>
      <c r="B1910" s="12" t="str">
        <f>MOD($G$6*B1909 + $G$7, $G$8)</f>
      </c>
      <c r="C1910" s="12" t="str">
        <f>B1910/$G$8</f>
      </c>
      <c r="D1910" s="12" t="s">
        <v>80</v>
      </c>
    </row>
    <row r="1911">
      <c r="A1911" s="11">
        <v>1907</v>
      </c>
      <c r="B1911" s="11" t="str">
        <f>MOD($G$6*B1910 + $G$7, $G$8)</f>
      </c>
      <c r="C1911" s="11" t="str">
        <f>B1911/$G$8</f>
      </c>
      <c r="D1911" s="11" t="s">
        <v>80</v>
      </c>
    </row>
    <row r="1912">
      <c r="A1912" s="12">
        <v>1908</v>
      </c>
      <c r="B1912" s="12" t="str">
        <f>MOD($G$6*B1911 + $G$7, $G$8)</f>
      </c>
      <c r="C1912" s="12" t="str">
        <f>B1912/$G$8</f>
      </c>
      <c r="D1912" s="12" t="s">
        <v>80</v>
      </c>
    </row>
    <row r="1913">
      <c r="A1913" s="11">
        <v>1909</v>
      </c>
      <c r="B1913" s="11" t="str">
        <f>MOD($G$6*B1912 + $G$7, $G$8)</f>
      </c>
      <c r="C1913" s="11" t="str">
        <f>B1913/$G$8</f>
      </c>
      <c r="D1913" s="11" t="s">
        <v>80</v>
      </c>
    </row>
    <row r="1914">
      <c r="A1914" s="12">
        <v>1910</v>
      </c>
      <c r="B1914" s="12" t="str">
        <f>MOD($G$6*B1913 + $G$7, $G$8)</f>
      </c>
      <c r="C1914" s="12" t="str">
        <f>B1914/$G$8</f>
      </c>
      <c r="D1914" s="12" t="s">
        <v>80</v>
      </c>
    </row>
    <row r="1915">
      <c r="A1915" s="11">
        <v>1911</v>
      </c>
      <c r="B1915" s="11" t="str">
        <f>MOD($G$6*B1914 + $G$7, $G$8)</f>
      </c>
      <c r="C1915" s="11" t="str">
        <f>B1915/$G$8</f>
      </c>
      <c r="D1915" s="11" t="s">
        <v>80</v>
      </c>
    </row>
    <row r="1916">
      <c r="A1916" s="12">
        <v>1912</v>
      </c>
      <c r="B1916" s="12" t="str">
        <f>MOD($G$6*B1915 + $G$7, $G$8)</f>
      </c>
      <c r="C1916" s="12" t="str">
        <f>B1916/$G$8</f>
      </c>
      <c r="D1916" s="12" t="s">
        <v>80</v>
      </c>
    </row>
    <row r="1917">
      <c r="A1917" s="11">
        <v>1913</v>
      </c>
      <c r="B1917" s="11" t="str">
        <f>MOD($G$6*B1916 + $G$7, $G$8)</f>
      </c>
      <c r="C1917" s="11" t="str">
        <f>B1917/$G$8</f>
      </c>
      <c r="D1917" s="11" t="s">
        <v>80</v>
      </c>
    </row>
    <row r="1918">
      <c r="A1918" s="12">
        <v>1914</v>
      </c>
      <c r="B1918" s="12" t="str">
        <f>MOD($G$6*B1917 + $G$7, $G$8)</f>
      </c>
      <c r="C1918" s="12" t="str">
        <f>B1918/$G$8</f>
      </c>
      <c r="D1918" s="12" t="s">
        <v>80</v>
      </c>
    </row>
    <row r="1919">
      <c r="A1919" s="11">
        <v>1915</v>
      </c>
      <c r="B1919" s="11" t="str">
        <f>MOD($G$6*B1918 + $G$7, $G$8)</f>
      </c>
      <c r="C1919" s="11" t="str">
        <f>B1919/$G$8</f>
      </c>
      <c r="D1919" s="11" t="s">
        <v>80</v>
      </c>
    </row>
    <row r="1920">
      <c r="A1920" s="12">
        <v>1916</v>
      </c>
      <c r="B1920" s="12" t="str">
        <f>MOD($G$6*B1919 + $G$7, $G$8)</f>
      </c>
      <c r="C1920" s="12" t="str">
        <f>B1920/$G$8</f>
      </c>
      <c r="D1920" s="12" t="s">
        <v>80</v>
      </c>
    </row>
    <row r="1921">
      <c r="A1921" s="11">
        <v>1917</v>
      </c>
      <c r="B1921" s="11" t="str">
        <f>MOD($G$6*B1920 + $G$7, $G$8)</f>
      </c>
      <c r="C1921" s="11" t="str">
        <f>B1921/$G$8</f>
      </c>
      <c r="D1921" s="11" t="s">
        <v>80</v>
      </c>
    </row>
    <row r="1922">
      <c r="A1922" s="12">
        <v>1918</v>
      </c>
      <c r="B1922" s="12" t="str">
        <f>MOD($G$6*B1921 + $G$7, $G$8)</f>
      </c>
      <c r="C1922" s="12" t="str">
        <f>B1922/$G$8</f>
      </c>
      <c r="D1922" s="12" t="s">
        <v>80</v>
      </c>
    </row>
    <row r="1923">
      <c r="A1923" s="11">
        <v>1919</v>
      </c>
      <c r="B1923" s="11" t="str">
        <f>MOD($G$6*B1922 + $G$7, $G$8)</f>
      </c>
      <c r="C1923" s="11" t="str">
        <f>B1923/$G$8</f>
      </c>
      <c r="D1923" s="11" t="s">
        <v>80</v>
      </c>
    </row>
    <row r="1924">
      <c r="A1924" s="12">
        <v>1920</v>
      </c>
      <c r="B1924" s="12" t="str">
        <f>MOD($G$6*B1923 + $G$7, $G$8)</f>
      </c>
      <c r="C1924" s="12" t="str">
        <f>B1924/$G$8</f>
      </c>
      <c r="D1924" s="12" t="s">
        <v>80</v>
      </c>
    </row>
    <row r="1925">
      <c r="A1925" s="11">
        <v>1921</v>
      </c>
      <c r="B1925" s="11" t="str">
        <f>MOD($G$6*B1924 + $G$7, $G$8)</f>
      </c>
      <c r="C1925" s="11" t="str">
        <f>B1925/$G$8</f>
      </c>
      <c r="D1925" s="11" t="s">
        <v>80</v>
      </c>
    </row>
    <row r="1926">
      <c r="A1926" s="12">
        <v>1922</v>
      </c>
      <c r="B1926" s="12" t="str">
        <f>MOD($G$6*B1925 + $G$7, $G$8)</f>
      </c>
      <c r="C1926" s="12" t="str">
        <f>B1926/$G$8</f>
      </c>
      <c r="D1926" s="12" t="s">
        <v>80</v>
      </c>
    </row>
    <row r="1927">
      <c r="A1927" s="11">
        <v>1923</v>
      </c>
      <c r="B1927" s="11" t="str">
        <f>MOD($G$6*B1926 + $G$7, $G$8)</f>
      </c>
      <c r="C1927" s="11" t="str">
        <f>B1927/$G$8</f>
      </c>
      <c r="D1927" s="11" t="s">
        <v>80</v>
      </c>
    </row>
    <row r="1928">
      <c r="A1928" s="12">
        <v>1924</v>
      </c>
      <c r="B1928" s="12" t="str">
        <f>MOD($G$6*B1927 + $G$7, $G$8)</f>
      </c>
      <c r="C1928" s="12" t="str">
        <f>B1928/$G$8</f>
      </c>
      <c r="D1928" s="12" t="s">
        <v>80</v>
      </c>
    </row>
    <row r="1929">
      <c r="A1929" s="11">
        <v>1925</v>
      </c>
      <c r="B1929" s="11" t="str">
        <f>MOD($G$6*B1928 + $G$7, $G$8)</f>
      </c>
      <c r="C1929" s="11" t="str">
        <f>B1929/$G$8</f>
      </c>
      <c r="D1929" s="11" t="s">
        <v>80</v>
      </c>
    </row>
    <row r="1930">
      <c r="A1930" s="12">
        <v>1926</v>
      </c>
      <c r="B1930" s="12" t="str">
        <f>MOD($G$6*B1929 + $G$7, $G$8)</f>
      </c>
      <c r="C1930" s="12" t="str">
        <f>B1930/$G$8</f>
      </c>
      <c r="D1930" s="12" t="s">
        <v>80</v>
      </c>
    </row>
    <row r="1931">
      <c r="A1931" s="11">
        <v>1927</v>
      </c>
      <c r="B1931" s="11" t="str">
        <f>MOD($G$6*B1930 + $G$7, $G$8)</f>
      </c>
      <c r="C1931" s="11" t="str">
        <f>B1931/$G$8</f>
      </c>
      <c r="D1931" s="11" t="s">
        <v>80</v>
      </c>
    </row>
    <row r="1932">
      <c r="A1932" s="12">
        <v>1928</v>
      </c>
      <c r="B1932" s="12" t="str">
        <f>MOD($G$6*B1931 + $G$7, $G$8)</f>
      </c>
      <c r="C1932" s="12" t="str">
        <f>B1932/$G$8</f>
      </c>
      <c r="D1932" s="12" t="s">
        <v>80</v>
      </c>
    </row>
    <row r="1933">
      <c r="A1933" s="11">
        <v>1929</v>
      </c>
      <c r="B1933" s="11" t="str">
        <f>MOD($G$6*B1932 + $G$7, $G$8)</f>
      </c>
      <c r="C1933" s="11" t="str">
        <f>B1933/$G$8</f>
      </c>
      <c r="D1933" s="11" t="s">
        <v>80</v>
      </c>
    </row>
    <row r="1934">
      <c r="A1934" s="12">
        <v>1930</v>
      </c>
      <c r="B1934" s="12" t="str">
        <f>MOD($G$6*B1933 + $G$7, $G$8)</f>
      </c>
      <c r="C1934" s="12" t="str">
        <f>B1934/$G$8</f>
      </c>
      <c r="D1934" s="12" t="s">
        <v>80</v>
      </c>
    </row>
    <row r="1935">
      <c r="A1935" s="11">
        <v>1931</v>
      </c>
      <c r="B1935" s="11" t="str">
        <f>MOD($G$6*B1934 + $G$7, $G$8)</f>
      </c>
      <c r="C1935" s="11" t="str">
        <f>B1935/$G$8</f>
      </c>
      <c r="D1935" s="11" t="s">
        <v>80</v>
      </c>
    </row>
    <row r="1936">
      <c r="A1936" s="12">
        <v>1932</v>
      </c>
      <c r="B1936" s="12" t="str">
        <f>MOD($G$6*B1935 + $G$7, $G$8)</f>
      </c>
      <c r="C1936" s="12" t="str">
        <f>B1936/$G$8</f>
      </c>
      <c r="D1936" s="12" t="s">
        <v>80</v>
      </c>
    </row>
    <row r="1937">
      <c r="A1937" s="11">
        <v>1933</v>
      </c>
      <c r="B1937" s="11" t="str">
        <f>MOD($G$6*B1936 + $G$7, $G$8)</f>
      </c>
      <c r="C1937" s="11" t="str">
        <f>B1937/$G$8</f>
      </c>
      <c r="D1937" s="11" t="s">
        <v>80</v>
      </c>
    </row>
    <row r="1938">
      <c r="A1938" s="12">
        <v>1934</v>
      </c>
      <c r="B1938" s="12" t="str">
        <f>MOD($G$6*B1937 + $G$7, $G$8)</f>
      </c>
      <c r="C1938" s="12" t="str">
        <f>B1938/$G$8</f>
      </c>
      <c r="D1938" s="12" t="s">
        <v>80</v>
      </c>
    </row>
    <row r="1939">
      <c r="A1939" s="11">
        <v>1935</v>
      </c>
      <c r="B1939" s="11" t="str">
        <f>MOD($G$6*B1938 + $G$7, $G$8)</f>
      </c>
      <c r="C1939" s="11" t="str">
        <f>B1939/$G$8</f>
      </c>
      <c r="D1939" s="11" t="s">
        <v>80</v>
      </c>
    </row>
    <row r="1940">
      <c r="A1940" s="12">
        <v>1936</v>
      </c>
      <c r="B1940" s="12" t="str">
        <f>MOD($G$6*B1939 + $G$7, $G$8)</f>
      </c>
      <c r="C1940" s="12" t="str">
        <f>B1940/$G$8</f>
      </c>
      <c r="D1940" s="12" t="s">
        <v>80</v>
      </c>
    </row>
    <row r="1941">
      <c r="A1941" s="11">
        <v>1937</v>
      </c>
      <c r="B1941" s="11" t="str">
        <f>MOD($G$6*B1940 + $G$7, $G$8)</f>
      </c>
      <c r="C1941" s="11" t="str">
        <f>B1941/$G$8</f>
      </c>
      <c r="D1941" s="11" t="s">
        <v>80</v>
      </c>
    </row>
    <row r="1942">
      <c r="A1942" s="12">
        <v>1938</v>
      </c>
      <c r="B1942" s="12" t="str">
        <f>MOD($G$6*B1941 + $G$7, $G$8)</f>
      </c>
      <c r="C1942" s="12" t="str">
        <f>B1942/$G$8</f>
      </c>
      <c r="D1942" s="12" t="s">
        <v>80</v>
      </c>
    </row>
    <row r="1943">
      <c r="A1943" s="11">
        <v>1939</v>
      </c>
      <c r="B1943" s="11" t="str">
        <f>MOD($G$6*B1942 + $G$7, $G$8)</f>
      </c>
      <c r="C1943" s="11" t="str">
        <f>B1943/$G$8</f>
      </c>
      <c r="D1943" s="11" t="s">
        <v>80</v>
      </c>
    </row>
    <row r="1944">
      <c r="A1944" s="12">
        <v>1940</v>
      </c>
      <c r="B1944" s="12" t="str">
        <f>MOD($G$6*B1943 + $G$7, $G$8)</f>
      </c>
      <c r="C1944" s="12" t="str">
        <f>B1944/$G$8</f>
      </c>
      <c r="D1944" s="12" t="s">
        <v>80</v>
      </c>
    </row>
    <row r="1945">
      <c r="A1945" s="11">
        <v>1941</v>
      </c>
      <c r="B1945" s="11" t="str">
        <f>MOD($G$6*B1944 + $G$7, $G$8)</f>
      </c>
      <c r="C1945" s="11" t="str">
        <f>B1945/$G$8</f>
      </c>
      <c r="D1945" s="11" t="s">
        <v>80</v>
      </c>
    </row>
    <row r="1946">
      <c r="A1946" s="12">
        <v>1942</v>
      </c>
      <c r="B1946" s="12" t="str">
        <f>MOD($G$6*B1945 + $G$7, $G$8)</f>
      </c>
      <c r="C1946" s="12" t="str">
        <f>B1946/$G$8</f>
      </c>
      <c r="D1946" s="12" t="s">
        <v>80</v>
      </c>
    </row>
    <row r="1947">
      <c r="A1947" s="11">
        <v>1943</v>
      </c>
      <c r="B1947" s="11" t="str">
        <f>MOD($G$6*B1946 + $G$7, $G$8)</f>
      </c>
      <c r="C1947" s="11" t="str">
        <f>B1947/$G$8</f>
      </c>
      <c r="D1947" s="11" t="s">
        <v>80</v>
      </c>
    </row>
    <row r="1948">
      <c r="A1948" s="12">
        <v>1944</v>
      </c>
      <c r="B1948" s="12" t="str">
        <f>MOD($G$6*B1947 + $G$7, $G$8)</f>
      </c>
      <c r="C1948" s="12" t="str">
        <f>B1948/$G$8</f>
      </c>
      <c r="D1948" s="12" t="s">
        <v>80</v>
      </c>
    </row>
    <row r="1949">
      <c r="A1949" s="11">
        <v>1945</v>
      </c>
      <c r="B1949" s="11" t="str">
        <f>MOD($G$6*B1948 + $G$7, $G$8)</f>
      </c>
      <c r="C1949" s="11" t="str">
        <f>B1949/$G$8</f>
      </c>
      <c r="D1949" s="11" t="s">
        <v>80</v>
      </c>
    </row>
    <row r="1950">
      <c r="A1950" s="12">
        <v>1946</v>
      </c>
      <c r="B1950" s="12" t="str">
        <f>MOD($G$6*B1949 + $G$7, $G$8)</f>
      </c>
      <c r="C1950" s="12" t="str">
        <f>B1950/$G$8</f>
      </c>
      <c r="D1950" s="12" t="s">
        <v>80</v>
      </c>
    </row>
    <row r="1951">
      <c r="A1951" s="11">
        <v>1947</v>
      </c>
      <c r="B1951" s="11" t="str">
        <f>MOD($G$6*B1950 + $G$7, $G$8)</f>
      </c>
      <c r="C1951" s="11" t="str">
        <f>B1951/$G$8</f>
      </c>
      <c r="D1951" s="11" t="s">
        <v>80</v>
      </c>
    </row>
    <row r="1952">
      <c r="A1952" s="12">
        <v>1948</v>
      </c>
      <c r="B1952" s="12" t="str">
        <f>MOD($G$6*B1951 + $G$7, $G$8)</f>
      </c>
      <c r="C1952" s="12" t="str">
        <f>B1952/$G$8</f>
      </c>
      <c r="D1952" s="12" t="s">
        <v>80</v>
      </c>
    </row>
    <row r="1953">
      <c r="A1953" s="11">
        <v>1949</v>
      </c>
      <c r="B1953" s="11" t="str">
        <f>MOD($G$6*B1952 + $G$7, $G$8)</f>
      </c>
      <c r="C1953" s="11" t="str">
        <f>B1953/$G$8</f>
      </c>
      <c r="D1953" s="11" t="s">
        <v>80</v>
      </c>
    </row>
    <row r="1954">
      <c r="A1954" s="12">
        <v>1950</v>
      </c>
      <c r="B1954" s="12" t="str">
        <f>MOD($G$6*B1953 + $G$7, $G$8)</f>
      </c>
      <c r="C1954" s="12" t="str">
        <f>B1954/$G$8</f>
      </c>
      <c r="D1954" s="12" t="s">
        <v>80</v>
      </c>
    </row>
    <row r="1955">
      <c r="A1955" s="11">
        <v>1951</v>
      </c>
      <c r="B1955" s="11" t="str">
        <f>MOD($G$6*B1954 + $G$7, $G$8)</f>
      </c>
      <c r="C1955" s="11" t="str">
        <f>B1955/$G$8</f>
      </c>
      <c r="D1955" s="11" t="s">
        <v>80</v>
      </c>
    </row>
    <row r="1956">
      <c r="A1956" s="12">
        <v>1952</v>
      </c>
      <c r="B1956" s="12" t="str">
        <f>MOD($G$6*B1955 + $G$7, $G$8)</f>
      </c>
      <c r="C1956" s="12" t="str">
        <f>B1956/$G$8</f>
      </c>
      <c r="D1956" s="12" t="s">
        <v>80</v>
      </c>
    </row>
    <row r="1957">
      <c r="A1957" s="11">
        <v>1953</v>
      </c>
      <c r="B1957" s="11" t="str">
        <f>MOD($G$6*B1956 + $G$7, $G$8)</f>
      </c>
      <c r="C1957" s="11" t="str">
        <f>B1957/$G$8</f>
      </c>
      <c r="D1957" s="11" t="s">
        <v>80</v>
      </c>
    </row>
    <row r="1958">
      <c r="A1958" s="12">
        <v>1954</v>
      </c>
      <c r="B1958" s="12" t="str">
        <f>MOD($G$6*B1957 + $G$7, $G$8)</f>
      </c>
      <c r="C1958" s="12" t="str">
        <f>B1958/$G$8</f>
      </c>
      <c r="D1958" s="12" t="s">
        <v>80</v>
      </c>
    </row>
    <row r="1959">
      <c r="A1959" s="11">
        <v>1955</v>
      </c>
      <c r="B1959" s="11" t="str">
        <f>MOD($G$6*B1958 + $G$7, $G$8)</f>
      </c>
      <c r="C1959" s="11" t="str">
        <f>B1959/$G$8</f>
      </c>
      <c r="D1959" s="11" t="s">
        <v>80</v>
      </c>
    </row>
    <row r="1960">
      <c r="A1960" s="12">
        <v>1956</v>
      </c>
      <c r="B1960" s="12" t="str">
        <f>MOD($G$6*B1959 + $G$7, $G$8)</f>
      </c>
      <c r="C1960" s="12" t="str">
        <f>B1960/$G$8</f>
      </c>
      <c r="D1960" s="12" t="s">
        <v>80</v>
      </c>
    </row>
    <row r="1961">
      <c r="A1961" s="11">
        <v>1957</v>
      </c>
      <c r="B1961" s="11" t="str">
        <f>MOD($G$6*B1960 + $G$7, $G$8)</f>
      </c>
      <c r="C1961" s="11" t="str">
        <f>B1961/$G$8</f>
      </c>
      <c r="D1961" s="11" t="s">
        <v>80</v>
      </c>
    </row>
    <row r="1962">
      <c r="A1962" s="12">
        <v>1958</v>
      </c>
      <c r="B1962" s="12" t="str">
        <f>MOD($G$6*B1961 + $G$7, $G$8)</f>
      </c>
      <c r="C1962" s="12" t="str">
        <f>B1962/$G$8</f>
      </c>
      <c r="D1962" s="12" t="s">
        <v>80</v>
      </c>
    </row>
    <row r="1963">
      <c r="A1963" s="11">
        <v>1959</v>
      </c>
      <c r="B1963" s="11" t="str">
        <f>MOD($G$6*B1962 + $G$7, $G$8)</f>
      </c>
      <c r="C1963" s="11" t="str">
        <f>B1963/$G$8</f>
      </c>
      <c r="D1963" s="11" t="s">
        <v>80</v>
      </c>
    </row>
    <row r="1964">
      <c r="A1964" s="12">
        <v>1960</v>
      </c>
      <c r="B1964" s="12" t="str">
        <f>MOD($G$6*B1963 + $G$7, $G$8)</f>
      </c>
      <c r="C1964" s="12" t="str">
        <f>B1964/$G$8</f>
      </c>
      <c r="D1964" s="12" t="s">
        <v>80</v>
      </c>
    </row>
    <row r="1965">
      <c r="A1965" s="11">
        <v>1961</v>
      </c>
      <c r="B1965" s="11" t="str">
        <f>MOD($G$6*B1964 + $G$7, $G$8)</f>
      </c>
      <c r="C1965" s="11" t="str">
        <f>B1965/$G$8</f>
      </c>
      <c r="D1965" s="11" t="s">
        <v>80</v>
      </c>
    </row>
    <row r="1966">
      <c r="A1966" s="12">
        <v>1962</v>
      </c>
      <c r="B1966" s="12" t="str">
        <f>MOD($G$6*B1965 + $G$7, $G$8)</f>
      </c>
      <c r="C1966" s="12" t="str">
        <f>B1966/$G$8</f>
      </c>
      <c r="D1966" s="12" t="s">
        <v>80</v>
      </c>
    </row>
    <row r="1967">
      <c r="A1967" s="11">
        <v>1963</v>
      </c>
      <c r="B1967" s="11" t="str">
        <f>MOD($G$6*B1966 + $G$7, $G$8)</f>
      </c>
      <c r="C1967" s="11" t="str">
        <f>B1967/$G$8</f>
      </c>
      <c r="D1967" s="11" t="s">
        <v>80</v>
      </c>
    </row>
    <row r="1968">
      <c r="A1968" s="12">
        <v>1964</v>
      </c>
      <c r="B1968" s="12" t="str">
        <f>MOD($G$6*B1967 + $G$7, $G$8)</f>
      </c>
      <c r="C1968" s="12" t="str">
        <f>B1968/$G$8</f>
      </c>
      <c r="D1968" s="12" t="s">
        <v>80</v>
      </c>
    </row>
    <row r="1969">
      <c r="A1969" s="11">
        <v>1965</v>
      </c>
      <c r="B1969" s="11" t="str">
        <f>MOD($G$6*B1968 + $G$7, $G$8)</f>
      </c>
      <c r="C1969" s="11" t="str">
        <f>B1969/$G$8</f>
      </c>
      <c r="D1969" s="11" t="s">
        <v>80</v>
      </c>
    </row>
    <row r="1970">
      <c r="A1970" s="12">
        <v>1966</v>
      </c>
      <c r="B1970" s="12" t="str">
        <f>MOD($G$6*B1969 + $G$7, $G$8)</f>
      </c>
      <c r="C1970" s="12" t="str">
        <f>B1970/$G$8</f>
      </c>
      <c r="D1970" s="12" t="s">
        <v>80</v>
      </c>
    </row>
    <row r="1971">
      <c r="A1971" s="11">
        <v>1967</v>
      </c>
      <c r="B1971" s="11" t="str">
        <f>MOD($G$6*B1970 + $G$7, $G$8)</f>
      </c>
      <c r="C1971" s="11" t="str">
        <f>B1971/$G$8</f>
      </c>
      <c r="D1971" s="11" t="s">
        <v>80</v>
      </c>
    </row>
    <row r="1972">
      <c r="A1972" s="12">
        <v>1968</v>
      </c>
      <c r="B1972" s="12" t="str">
        <f>MOD($G$6*B1971 + $G$7, $G$8)</f>
      </c>
      <c r="C1972" s="12" t="str">
        <f>B1972/$G$8</f>
      </c>
      <c r="D1972" s="12" t="s">
        <v>80</v>
      </c>
    </row>
    <row r="1973">
      <c r="A1973" s="11">
        <v>1969</v>
      </c>
      <c r="B1973" s="11" t="str">
        <f>MOD($G$6*B1972 + $G$7, $G$8)</f>
      </c>
      <c r="C1973" s="11" t="str">
        <f>B1973/$G$8</f>
      </c>
      <c r="D1973" s="11" t="s">
        <v>80</v>
      </c>
    </row>
    <row r="1974">
      <c r="A1974" s="12">
        <v>1970</v>
      </c>
      <c r="B1974" s="12" t="str">
        <f>MOD($G$6*B1973 + $G$7, $G$8)</f>
      </c>
      <c r="C1974" s="12" t="str">
        <f>B1974/$G$8</f>
      </c>
      <c r="D1974" s="12" t="s">
        <v>80</v>
      </c>
    </row>
    <row r="1975">
      <c r="A1975" s="11">
        <v>1971</v>
      </c>
      <c r="B1975" s="11" t="str">
        <f>MOD($G$6*B1974 + $G$7, $G$8)</f>
      </c>
      <c r="C1975" s="11" t="str">
        <f>B1975/$G$8</f>
      </c>
      <c r="D1975" s="11" t="s">
        <v>80</v>
      </c>
    </row>
    <row r="1976">
      <c r="A1976" s="12">
        <v>1972</v>
      </c>
      <c r="B1976" s="12" t="str">
        <f>MOD($G$6*B1975 + $G$7, $G$8)</f>
      </c>
      <c r="C1976" s="12" t="str">
        <f>B1976/$G$8</f>
      </c>
      <c r="D1976" s="12" t="s">
        <v>80</v>
      </c>
    </row>
    <row r="1977">
      <c r="A1977" s="11">
        <v>1973</v>
      </c>
      <c r="B1977" s="11" t="str">
        <f>MOD($G$6*B1976 + $G$7, $G$8)</f>
      </c>
      <c r="C1977" s="11" t="str">
        <f>B1977/$G$8</f>
      </c>
      <c r="D1977" s="11" t="s">
        <v>80</v>
      </c>
    </row>
    <row r="1978">
      <c r="A1978" s="12">
        <v>1974</v>
      </c>
      <c r="B1978" s="12" t="str">
        <f>MOD($G$6*B1977 + $G$7, $G$8)</f>
      </c>
      <c r="C1978" s="12" t="str">
        <f>B1978/$G$8</f>
      </c>
      <c r="D1978" s="12" t="s">
        <v>80</v>
      </c>
    </row>
    <row r="1979">
      <c r="A1979" s="11">
        <v>1975</v>
      </c>
      <c r="B1979" s="11" t="str">
        <f>MOD($G$6*B1978 + $G$7, $G$8)</f>
      </c>
      <c r="C1979" s="11" t="str">
        <f>B1979/$G$8</f>
      </c>
      <c r="D1979" s="11" t="s">
        <v>80</v>
      </c>
    </row>
    <row r="1980">
      <c r="A1980" s="12">
        <v>1976</v>
      </c>
      <c r="B1980" s="12" t="str">
        <f>MOD($G$6*B1979 + $G$7, $G$8)</f>
      </c>
      <c r="C1980" s="12" t="str">
        <f>B1980/$G$8</f>
      </c>
      <c r="D1980" s="12" t="s">
        <v>80</v>
      </c>
    </row>
    <row r="1981">
      <c r="A1981" s="11">
        <v>1977</v>
      </c>
      <c r="B1981" s="11" t="str">
        <f>MOD($G$6*B1980 + $G$7, $G$8)</f>
      </c>
      <c r="C1981" s="11" t="str">
        <f>B1981/$G$8</f>
      </c>
      <c r="D1981" s="11" t="s">
        <v>80</v>
      </c>
    </row>
    <row r="1982">
      <c r="A1982" s="12">
        <v>1978</v>
      </c>
      <c r="B1982" s="12" t="str">
        <f>MOD($G$6*B1981 + $G$7, $G$8)</f>
      </c>
      <c r="C1982" s="12" t="str">
        <f>B1982/$G$8</f>
      </c>
      <c r="D1982" s="12" t="s">
        <v>80</v>
      </c>
    </row>
    <row r="1983">
      <c r="A1983" s="11">
        <v>1979</v>
      </c>
      <c r="B1983" s="11" t="str">
        <f>MOD($G$6*B1982 + $G$7, $G$8)</f>
      </c>
      <c r="C1983" s="11" t="str">
        <f>B1983/$G$8</f>
      </c>
      <c r="D1983" s="11" t="s">
        <v>80</v>
      </c>
    </row>
    <row r="1984">
      <c r="A1984" s="12">
        <v>1980</v>
      </c>
      <c r="B1984" s="12" t="str">
        <f>MOD($G$6*B1983 + $G$7, $G$8)</f>
      </c>
      <c r="C1984" s="12" t="str">
        <f>B1984/$G$8</f>
      </c>
      <c r="D1984" s="12" t="s">
        <v>80</v>
      </c>
    </row>
    <row r="1985">
      <c r="A1985" s="11">
        <v>1981</v>
      </c>
      <c r="B1985" s="11" t="str">
        <f>MOD($G$6*B1984 + $G$7, $G$8)</f>
      </c>
      <c r="C1985" s="11" t="str">
        <f>B1985/$G$8</f>
      </c>
      <c r="D1985" s="11" t="s">
        <v>80</v>
      </c>
    </row>
    <row r="1986">
      <c r="A1986" s="12">
        <v>1982</v>
      </c>
      <c r="B1986" s="12" t="str">
        <f>MOD($G$6*B1985 + $G$7, $G$8)</f>
      </c>
      <c r="C1986" s="12" t="str">
        <f>B1986/$G$8</f>
      </c>
      <c r="D1986" s="12" t="s">
        <v>80</v>
      </c>
    </row>
    <row r="1987">
      <c r="A1987" s="11">
        <v>1983</v>
      </c>
      <c r="B1987" s="11" t="str">
        <f>MOD($G$6*B1986 + $G$7, $G$8)</f>
      </c>
      <c r="C1987" s="11" t="str">
        <f>B1987/$G$8</f>
      </c>
      <c r="D1987" s="11" t="s">
        <v>80</v>
      </c>
    </row>
    <row r="1988">
      <c r="A1988" s="12">
        <v>1984</v>
      </c>
      <c r="B1988" s="12" t="str">
        <f>MOD($G$6*B1987 + $G$7, $G$8)</f>
      </c>
      <c r="C1988" s="12" t="str">
        <f>B1988/$G$8</f>
      </c>
      <c r="D1988" s="12" t="s">
        <v>80</v>
      </c>
    </row>
    <row r="1989">
      <c r="A1989" s="11">
        <v>1985</v>
      </c>
      <c r="B1989" s="11" t="str">
        <f>MOD($G$6*B1988 + $G$7, $G$8)</f>
      </c>
      <c r="C1989" s="11" t="str">
        <f>B1989/$G$8</f>
      </c>
      <c r="D1989" s="11" t="s">
        <v>80</v>
      </c>
    </row>
    <row r="1990">
      <c r="A1990" s="12">
        <v>1986</v>
      </c>
      <c r="B1990" s="12" t="str">
        <f>MOD($G$6*B1989 + $G$7, $G$8)</f>
      </c>
      <c r="C1990" s="12" t="str">
        <f>B1990/$G$8</f>
      </c>
      <c r="D1990" s="12" t="s">
        <v>80</v>
      </c>
    </row>
    <row r="1991">
      <c r="A1991" s="11">
        <v>1987</v>
      </c>
      <c r="B1991" s="11" t="str">
        <f>MOD($G$6*B1990 + $G$7, $G$8)</f>
      </c>
      <c r="C1991" s="11" t="str">
        <f>B1991/$G$8</f>
      </c>
      <c r="D1991" s="11" t="s">
        <v>80</v>
      </c>
    </row>
    <row r="1992">
      <c r="A1992" s="12">
        <v>1988</v>
      </c>
      <c r="B1992" s="12" t="str">
        <f>MOD($G$6*B1991 + $G$7, $G$8)</f>
      </c>
      <c r="C1992" s="12" t="str">
        <f>B1992/$G$8</f>
      </c>
      <c r="D1992" s="12" t="s">
        <v>80</v>
      </c>
    </row>
    <row r="1993">
      <c r="A1993" s="11">
        <v>1989</v>
      </c>
      <c r="B1993" s="11" t="str">
        <f>MOD($G$6*B1992 + $G$7, $G$8)</f>
      </c>
      <c r="C1993" s="11" t="str">
        <f>B1993/$G$8</f>
      </c>
      <c r="D1993" s="11" t="s">
        <v>80</v>
      </c>
    </row>
    <row r="1994">
      <c r="A1994" s="12">
        <v>1990</v>
      </c>
      <c r="B1994" s="12" t="str">
        <f>MOD($G$6*B1993 + $G$7, $G$8)</f>
      </c>
      <c r="C1994" s="12" t="str">
        <f>B1994/$G$8</f>
      </c>
      <c r="D1994" s="12" t="s">
        <v>80</v>
      </c>
    </row>
    <row r="1995">
      <c r="A1995" s="11">
        <v>1991</v>
      </c>
      <c r="B1995" s="11" t="str">
        <f>MOD($G$6*B1994 + $G$7, $G$8)</f>
      </c>
      <c r="C1995" s="11" t="str">
        <f>B1995/$G$8</f>
      </c>
      <c r="D1995" s="11" t="s">
        <v>80</v>
      </c>
    </row>
    <row r="1996">
      <c r="A1996" s="12">
        <v>1992</v>
      </c>
      <c r="B1996" s="12" t="str">
        <f>MOD($G$6*B1995 + $G$7, $G$8)</f>
      </c>
      <c r="C1996" s="12" t="str">
        <f>B1996/$G$8</f>
      </c>
      <c r="D1996" s="12" t="s">
        <v>80</v>
      </c>
    </row>
    <row r="1997">
      <c r="A1997" s="11">
        <v>1993</v>
      </c>
      <c r="B1997" s="11" t="str">
        <f>MOD($G$6*B1996 + $G$7, $G$8)</f>
      </c>
      <c r="C1997" s="11" t="str">
        <f>B1997/$G$8</f>
      </c>
      <c r="D1997" s="11" t="s">
        <v>80</v>
      </c>
    </row>
    <row r="1998">
      <c r="A1998" s="12">
        <v>1994</v>
      </c>
      <c r="B1998" s="12" t="str">
        <f>MOD($G$6*B1997 + $G$7, $G$8)</f>
      </c>
      <c r="C1998" s="12" t="str">
        <f>B1998/$G$8</f>
      </c>
      <c r="D1998" s="12" t="s">
        <v>80</v>
      </c>
    </row>
    <row r="1999">
      <c r="A1999" s="11">
        <v>1995</v>
      </c>
      <c r="B1999" s="11" t="str">
        <f>MOD($G$6*B1998 + $G$7, $G$8)</f>
      </c>
      <c r="C1999" s="11" t="str">
        <f>B1999/$G$8</f>
      </c>
      <c r="D1999" s="11" t="s">
        <v>80</v>
      </c>
    </row>
    <row r="2000">
      <c r="A2000" s="12">
        <v>1996</v>
      </c>
      <c r="B2000" s="12" t="str">
        <f>MOD($G$6*B1999 + $G$7, $G$8)</f>
      </c>
      <c r="C2000" s="12" t="str">
        <f>B2000/$G$8</f>
      </c>
      <c r="D2000" s="12" t="s">
        <v>80</v>
      </c>
    </row>
    <row r="2001">
      <c r="A2001" s="11">
        <v>1997</v>
      </c>
      <c r="B2001" s="11" t="str">
        <f>MOD($G$6*B2000 + $G$7, $G$8)</f>
      </c>
      <c r="C2001" s="11" t="str">
        <f>B2001/$G$8</f>
      </c>
      <c r="D2001" s="11" t="s">
        <v>80</v>
      </c>
    </row>
    <row r="2002">
      <c r="A2002" s="12">
        <v>1998</v>
      </c>
      <c r="B2002" s="12" t="str">
        <f>MOD($G$6*B2001 + $G$7, $G$8)</f>
      </c>
      <c r="C2002" s="12" t="str">
        <f>B2002/$G$8</f>
      </c>
      <c r="D2002" s="12" t="s">
        <v>80</v>
      </c>
    </row>
    <row r="2003">
      <c r="A2003" s="11">
        <v>1999</v>
      </c>
      <c r="B2003" s="11" t="str">
        <f>MOD($G$6*B2002 + $G$7, $G$8)</f>
      </c>
      <c r="C2003" s="11" t="str">
        <f>B2003/$G$8</f>
      </c>
      <c r="D2003" s="11" t="s">
        <v>80</v>
      </c>
    </row>
    <row r="2004">
      <c r="A2004" s="12">
        <v>2000</v>
      </c>
      <c r="B2004" s="12" t="str">
        <f>MOD($G$6*B2003 + $G$7, $G$8)</f>
      </c>
      <c r="C2004" s="12" t="str">
        <f>B2004/$G$8</f>
      </c>
      <c r="D2004" s="12" t="s">
        <v>80</v>
      </c>
    </row>
    <row r="2006" ht="6" customHeight="true"/>
    <row r="2007">
      <c r="A2007" s="15" t="s">
        <v>81</v>
      </c>
      <c r="B2007" s="15"/>
      <c r="C2007" s="16">
        <v>2000</v>
      </c>
    </row>
    <row r="2008">
      <c r="A2008" s="15" t="s">
        <v>82</v>
      </c>
      <c r="B2008" s="15"/>
      <c r="C2008" s="16">
        <v>0</v>
      </c>
    </row>
  </sheetData>
  <mergeCells count="6">
    <mergeCell ref="A1:K1"/>
    <mergeCell ref="A2:K2"/>
    <mergeCell ref="F4:G4"/>
    <mergeCell ref="H4:K4"/>
    <mergeCell ref="A2007:B2007"/>
    <mergeCell ref="A2008:B2008"/>
  </mergeCells>
  <conditionalFormatting sqref="K6:K12">
    <cfRule type="cellIs" dxfId="0" priority="1" operator="equal">
      <formula>"✅ APROBADO"</formula>
    </cfRule>
    <cfRule type="cellIs" dxfId="1" priority="2" operator="equal">
      <formula>"❌ RECHAZADO"</formula>
    </cfRule>
  </conditionalFormatting>
</worksheet>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7" min="1" width="20"/>
    <col customWidth="true" max="8" min="8" width="30"/>
  </cols>
  <sheetData>
    <row r="1" ht="32" customHeight="true">
      <c r="A1" s="1" t="s">
        <v>0</v>
      </c>
      <c r="B1" s="1"/>
      <c r="C1" s="1"/>
      <c r="D1" s="1"/>
      <c r="E1" s="1"/>
      <c r="F1" s="1"/>
      <c r="G1" s="1"/>
      <c r="H1" s="1"/>
    </row>
    <row r="2" ht="30" customHeight="true">
      <c r="A2" s="2" t="s">
        <v>1</v>
      </c>
      <c r="B2" s="2"/>
      <c r="C2" s="2"/>
      <c r="D2" s="2"/>
      <c r="E2" s="2"/>
      <c r="F2" s="2"/>
      <c r="G2" s="2"/>
      <c r="H2" s="2"/>
    </row>
    <row r="4" ht="22" customHeight="true">
      <c r="A4" s="3" t="s">
        <v>2</v>
      </c>
      <c r="B4" s="3"/>
      <c r="C4" s="3"/>
      <c r="D4" s="3"/>
      <c r="E4" s="3"/>
      <c r="F4" s="3"/>
      <c r="G4" s="3"/>
      <c r="H4" s="3"/>
    </row>
    <row r="5">
      <c r="A5" s="4" t="s">
        <v>3</v>
      </c>
      <c r="B5" s="4" t="s">
        <v>4</v>
      </c>
    </row>
    <row r="6">
      <c r="A6" s="5" t="s">
        <v>5</v>
      </c>
      <c r="B6" s="5" t="str">
        <f>AVERAGE('Lineal Mixto'!$C$5:$C$2004)</f>
      </c>
    </row>
    <row r="7">
      <c r="A7" s="6" t="s">
        <v>6</v>
      </c>
      <c r="B7" s="6" t="str">
        <f>COUNT('Lineal Mixto'!$C$5:$C$2004)</f>
      </c>
    </row>
    <row r="8">
      <c r="A8" s="5" t="s">
        <v>7</v>
      </c>
      <c r="B8" s="5" t="str">
        <f>(B6-0.5)*SQRT(B7)/SQRT(1/12)</f>
      </c>
    </row>
    <row r="10" ht="22" customHeight="true">
      <c r="A10" s="3" t="s">
        <v>8</v>
      </c>
      <c r="B10" s="3"/>
      <c r="C10" s="3"/>
      <c r="D10" s="3"/>
      <c r="E10" s="3"/>
      <c r="F10" s="3"/>
      <c r="G10" s="3"/>
      <c r="H10" s="3"/>
    </row>
    <row r="11">
      <c r="A11" s="4" t="s">
        <v>9</v>
      </c>
      <c r="B11" s="4" t="s">
        <v>10</v>
      </c>
      <c r="C11" s="4" t="s">
        <v>11</v>
      </c>
      <c r="D11" s="4" t="s">
        <v>12</v>
      </c>
      <c r="E11" s="4" t="s">
        <v>13</v>
      </c>
      <c r="F11" s="4" t="s">
        <v>14</v>
      </c>
      <c r="G11" s="4" t="s">
        <v>15</v>
      </c>
      <c r="H11" s="4" t="s">
        <v>16</v>
      </c>
    </row>
    <row r="12">
      <c r="A12" s="5">
        <v>0</v>
      </c>
      <c r="B12" s="5" t="str">
        <f>A12/10</f>
      </c>
      <c r="C12" s="5" t="str">
        <f>(A12+1)/10</f>
      </c>
      <c r="D12" s="5" t="str">
        <f>COUNTIFS('Lineal Mixto'!$C$5:$C$2004,"&gt;="&amp;B12,'Lineal Mixto'!$C$5:$C$2004,"&lt;"&amp;C12)</f>
      </c>
      <c r="E12" s="5" t="str">
        <f>COUNT('Lineal Mixto'!$C$5:$C$2004)/10</f>
      </c>
      <c r="F12" s="5" t="str">
        <f>(D12-E12)^2/E12</f>
      </c>
      <c r="G12" s="5" t="str">
        <f>D12/COUNT('Lineal Mixto'!$C$5:$C$2004)</f>
      </c>
      <c r="H12" s="5" t="str">
        <f>IF(D12&gt;0,-G12*LOG(G12,2),0)</f>
      </c>
    </row>
    <row r="13">
      <c r="A13" s="6">
        <v>1</v>
      </c>
      <c r="B13" s="6" t="str">
        <f>A13/10</f>
      </c>
      <c r="C13" s="6" t="str">
        <f>(A13+1)/10</f>
      </c>
      <c r="D13" s="6" t="str">
        <f>COUNTIFS('Lineal Mixto'!$C$5:$C$2004,"&gt;="&amp;B13,'Lineal Mixto'!$C$5:$C$2004,"&lt;"&amp;C13)</f>
      </c>
      <c r="E13" s="6" t="str">
        <f>COUNT('Lineal Mixto'!$C$5:$C$2004)/10</f>
      </c>
      <c r="F13" s="6" t="str">
        <f>(D13-E13)^2/E13</f>
      </c>
      <c r="G13" s="6" t="str">
        <f>D13/COUNT('Lineal Mixto'!$C$5:$C$2004)</f>
      </c>
      <c r="H13" s="6" t="str">
        <f>IF(D13&gt;0,-G13*LOG(G13,2),0)</f>
      </c>
    </row>
    <row r="14">
      <c r="A14" s="5">
        <v>2</v>
      </c>
      <c r="B14" s="5" t="str">
        <f>A14/10</f>
      </c>
      <c r="C14" s="5" t="str">
        <f>(A14+1)/10</f>
      </c>
      <c r="D14" s="5" t="str">
        <f>COUNTIFS('Lineal Mixto'!$C$5:$C$2004,"&gt;="&amp;B14,'Lineal Mixto'!$C$5:$C$2004,"&lt;"&amp;C14)</f>
      </c>
      <c r="E14" s="5" t="str">
        <f>COUNT('Lineal Mixto'!$C$5:$C$2004)/10</f>
      </c>
      <c r="F14" s="5" t="str">
        <f>(D14-E14)^2/E14</f>
      </c>
      <c r="G14" s="5" t="str">
        <f>D14/COUNT('Lineal Mixto'!$C$5:$C$2004)</f>
      </c>
      <c r="H14" s="5" t="str">
        <f>IF(D14&gt;0,-G14*LOG(G14,2),0)</f>
      </c>
    </row>
    <row r="15">
      <c r="A15" s="6">
        <v>3</v>
      </c>
      <c r="B15" s="6" t="str">
        <f>A15/10</f>
      </c>
      <c r="C15" s="6" t="str">
        <f>(A15+1)/10</f>
      </c>
      <c r="D15" s="6" t="str">
        <f>COUNTIFS('Lineal Mixto'!$C$5:$C$2004,"&gt;="&amp;B15,'Lineal Mixto'!$C$5:$C$2004,"&lt;"&amp;C15)</f>
      </c>
      <c r="E15" s="6" t="str">
        <f>COUNT('Lineal Mixto'!$C$5:$C$2004)/10</f>
      </c>
      <c r="F15" s="6" t="str">
        <f>(D15-E15)^2/E15</f>
      </c>
      <c r="G15" s="6" t="str">
        <f>D15/COUNT('Lineal Mixto'!$C$5:$C$2004)</f>
      </c>
      <c r="H15" s="6" t="str">
        <f>IF(D15&gt;0,-G15*LOG(G15,2),0)</f>
      </c>
    </row>
    <row r="16">
      <c r="A16" s="5">
        <v>4</v>
      </c>
      <c r="B16" s="5" t="str">
        <f>A16/10</f>
      </c>
      <c r="C16" s="5" t="str">
        <f>(A16+1)/10</f>
      </c>
      <c r="D16" s="5" t="str">
        <f>COUNTIFS('Lineal Mixto'!$C$5:$C$2004,"&gt;="&amp;B16,'Lineal Mixto'!$C$5:$C$2004,"&lt;"&amp;C16)</f>
      </c>
      <c r="E16" s="5" t="str">
        <f>COUNT('Lineal Mixto'!$C$5:$C$2004)/10</f>
      </c>
      <c r="F16" s="5" t="str">
        <f>(D16-E16)^2/E16</f>
      </c>
      <c r="G16" s="5" t="str">
        <f>D16/COUNT('Lineal Mixto'!$C$5:$C$2004)</f>
      </c>
      <c r="H16" s="5" t="str">
        <f>IF(D16&gt;0,-G16*LOG(G16,2),0)</f>
      </c>
    </row>
    <row r="17">
      <c r="A17" s="6">
        <v>5</v>
      </c>
      <c r="B17" s="6" t="str">
        <f>A17/10</f>
      </c>
      <c r="C17" s="6" t="str">
        <f>(A17+1)/10</f>
      </c>
      <c r="D17" s="6" t="str">
        <f>COUNTIFS('Lineal Mixto'!$C$5:$C$2004,"&gt;="&amp;B17,'Lineal Mixto'!$C$5:$C$2004,"&lt;"&amp;C17)</f>
      </c>
      <c r="E17" s="6" t="str">
        <f>COUNT('Lineal Mixto'!$C$5:$C$2004)/10</f>
      </c>
      <c r="F17" s="6" t="str">
        <f>(D17-E17)^2/E17</f>
      </c>
      <c r="G17" s="6" t="str">
        <f>D17/COUNT('Lineal Mixto'!$C$5:$C$2004)</f>
      </c>
      <c r="H17" s="6" t="str">
        <f>IF(D17&gt;0,-G17*LOG(G17,2),0)</f>
      </c>
    </row>
    <row r="18">
      <c r="A18" s="5">
        <v>6</v>
      </c>
      <c r="B18" s="5" t="str">
        <f>A18/10</f>
      </c>
      <c r="C18" s="5" t="str">
        <f>(A18+1)/10</f>
      </c>
      <c r="D18" s="5" t="str">
        <f>COUNTIFS('Lineal Mixto'!$C$5:$C$2004,"&gt;="&amp;B18,'Lineal Mixto'!$C$5:$C$2004,"&lt;"&amp;C18)</f>
      </c>
      <c r="E18" s="5" t="str">
        <f>COUNT('Lineal Mixto'!$C$5:$C$2004)/10</f>
      </c>
      <c r="F18" s="5" t="str">
        <f>(D18-E18)^2/E18</f>
      </c>
      <c r="G18" s="5" t="str">
        <f>D18/COUNT('Lineal Mixto'!$C$5:$C$2004)</f>
      </c>
      <c r="H18" s="5" t="str">
        <f>IF(D18&gt;0,-G18*LOG(G18,2),0)</f>
      </c>
    </row>
    <row r="19">
      <c r="A19" s="6">
        <v>7</v>
      </c>
      <c r="B19" s="6" t="str">
        <f>A19/10</f>
      </c>
      <c r="C19" s="6" t="str">
        <f>(A19+1)/10</f>
      </c>
      <c r="D19" s="6" t="str">
        <f>COUNTIFS('Lineal Mixto'!$C$5:$C$2004,"&gt;="&amp;B19,'Lineal Mixto'!$C$5:$C$2004,"&lt;"&amp;C19)</f>
      </c>
      <c r="E19" s="6" t="str">
        <f>COUNT('Lineal Mixto'!$C$5:$C$2004)/10</f>
      </c>
      <c r="F19" s="6" t="str">
        <f>(D19-E19)^2/E19</f>
      </c>
      <c r="G19" s="6" t="str">
        <f>D19/COUNT('Lineal Mixto'!$C$5:$C$2004)</f>
      </c>
      <c r="H19" s="6" t="str">
        <f>IF(D19&gt;0,-G19*LOG(G19,2),0)</f>
      </c>
    </row>
    <row r="20">
      <c r="A20" s="5">
        <v>8</v>
      </c>
      <c r="B20" s="5" t="str">
        <f>A20/10</f>
      </c>
      <c r="C20" s="5" t="str">
        <f>(A20+1)/10</f>
      </c>
      <c r="D20" s="5" t="str">
        <f>COUNTIFS('Lineal Mixto'!$C$5:$C$2004,"&gt;="&amp;B20,'Lineal Mixto'!$C$5:$C$2004,"&lt;"&amp;C20)</f>
      </c>
      <c r="E20" s="5" t="str">
        <f>COUNT('Lineal Mixto'!$C$5:$C$2004)/10</f>
      </c>
      <c r="F20" s="5" t="str">
        <f>(D20-E20)^2/E20</f>
      </c>
      <c r="G20" s="5" t="str">
        <f>D20/COUNT('Lineal Mixto'!$C$5:$C$2004)</f>
      </c>
      <c r="H20" s="5" t="str">
        <f>IF(D20&gt;0,-G20*LOG(G20,2),0)</f>
      </c>
    </row>
    <row r="21">
      <c r="A21" s="6">
        <v>9</v>
      </c>
      <c r="B21" s="6" t="str">
        <f>A21/10</f>
      </c>
      <c r="C21" s="6">
        <v>1</v>
      </c>
      <c r="D21" s="6" t="str">
        <f>COUNTIFS('Lineal Mixto'!$C$5:$C$2004,"&gt;="&amp;B21)</f>
      </c>
      <c r="E21" s="6" t="str">
        <f>COUNT('Lineal Mixto'!$C$5:$C$2004)/10</f>
      </c>
      <c r="F21" s="6" t="str">
        <f>(D21-E21)^2/E21</f>
      </c>
      <c r="G21" s="6" t="str">
        <f>D21/COUNT('Lineal Mixto'!$C$5:$C$2004)</f>
      </c>
      <c r="H21" s="6" t="str">
        <f>IF(D21&gt;0,-G21*LOG(G21,2),0)</f>
      </c>
    </row>
    <row r="23" ht="22" customHeight="true">
      <c r="A23" s="3" t="s">
        <v>17</v>
      </c>
      <c r="B23" s="3"/>
      <c r="C23" s="3"/>
      <c r="D23" s="3"/>
      <c r="E23" s="3"/>
      <c r="F23" s="3"/>
      <c r="G23" s="3"/>
      <c r="H23" s="3"/>
    </row>
    <row r="24">
      <c r="A24" s="4" t="s">
        <v>18</v>
      </c>
      <c r="B24" s="4" t="s">
        <v>19</v>
      </c>
      <c r="C24" s="4" t="s">
        <v>20</v>
      </c>
      <c r="D24" s="4" t="s">
        <v>21</v>
      </c>
    </row>
    <row r="25">
      <c r="A25" s="5">
        <v>1</v>
      </c>
      <c r="B25" s="5" t="str">
        <f>SMALL('Lineal Mixto'!$C$5:$C$2004,A25)</f>
      </c>
      <c r="C25" s="5" t="str">
        <f>A25/COUNT('Lineal Mixto'!$C$5:$C$2004)</f>
      </c>
      <c r="D25" s="5" t="str">
        <f>ABS(C25-B25)</f>
      </c>
    </row>
    <row r="26">
      <c r="A26" s="6">
        <v>2</v>
      </c>
      <c r="B26" s="6" t="str">
        <f>SMALL('Lineal Mixto'!$C$5:$C$2004,A26)</f>
      </c>
      <c r="C26" s="6" t="str">
        <f>A26/COUNT('Lineal Mixto'!$C$5:$C$2004)</f>
      </c>
      <c r="D26" s="6" t="str">
        <f>ABS(C26-B26)</f>
      </c>
    </row>
    <row r="27">
      <c r="A27" s="5">
        <v>3</v>
      </c>
      <c r="B27" s="5" t="str">
        <f>SMALL('Lineal Mixto'!$C$5:$C$2004,A27)</f>
      </c>
      <c r="C27" s="5" t="str">
        <f>A27/COUNT('Lineal Mixto'!$C$5:$C$2004)</f>
      </c>
      <c r="D27" s="5" t="str">
        <f>ABS(C27-B27)</f>
      </c>
    </row>
    <row r="28">
      <c r="A28" s="6">
        <v>4</v>
      </c>
      <c r="B28" s="6" t="str">
        <f>SMALL('Lineal Mixto'!$C$5:$C$2004,A28)</f>
      </c>
      <c r="C28" s="6" t="str">
        <f>A28/COUNT('Lineal Mixto'!$C$5:$C$2004)</f>
      </c>
      <c r="D28" s="6" t="str">
        <f>ABS(C28-B28)</f>
      </c>
    </row>
    <row r="29">
      <c r="A29" s="5">
        <v>5</v>
      </c>
      <c r="B29" s="5" t="str">
        <f>SMALL('Lineal Mixto'!$C$5:$C$2004,A29)</f>
      </c>
      <c r="C29" s="5" t="str">
        <f>A29/COUNT('Lineal Mixto'!$C$5:$C$2004)</f>
      </c>
      <c r="D29" s="5" t="str">
        <f>ABS(C29-B29)</f>
      </c>
    </row>
    <row r="30">
      <c r="A30" s="6">
        <v>6</v>
      </c>
      <c r="B30" s="6" t="str">
        <f>SMALL('Lineal Mixto'!$C$5:$C$2004,A30)</f>
      </c>
      <c r="C30" s="6" t="str">
        <f>A30/COUNT('Lineal Mixto'!$C$5:$C$2004)</f>
      </c>
      <c r="D30" s="6" t="str">
        <f>ABS(C30-B30)</f>
      </c>
    </row>
    <row r="31">
      <c r="A31" s="5">
        <v>7</v>
      </c>
      <c r="B31" s="5" t="str">
        <f>SMALL('Lineal Mixto'!$C$5:$C$2004,A31)</f>
      </c>
      <c r="C31" s="5" t="str">
        <f>A31/COUNT('Lineal Mixto'!$C$5:$C$2004)</f>
      </c>
      <c r="D31" s="5" t="str">
        <f>ABS(C31-B31)</f>
      </c>
    </row>
    <row r="32">
      <c r="A32" s="6">
        <v>8</v>
      </c>
      <c r="B32" s="6" t="str">
        <f>SMALL('Lineal Mixto'!$C$5:$C$2004,A32)</f>
      </c>
      <c r="C32" s="6" t="str">
        <f>A32/COUNT('Lineal Mixto'!$C$5:$C$2004)</f>
      </c>
      <c r="D32" s="6" t="str">
        <f>ABS(C32-B32)</f>
      </c>
    </row>
    <row r="33">
      <c r="A33" s="5">
        <v>9</v>
      </c>
      <c r="B33" s="5" t="str">
        <f>SMALL('Lineal Mixto'!$C$5:$C$2004,A33)</f>
      </c>
      <c r="C33" s="5" t="str">
        <f>A33/COUNT('Lineal Mixto'!$C$5:$C$2004)</f>
      </c>
      <c r="D33" s="5" t="str">
        <f>ABS(C33-B33)</f>
      </c>
    </row>
    <row r="34">
      <c r="A34" s="6">
        <v>10</v>
      </c>
      <c r="B34" s="6" t="str">
        <f>SMALL('Lineal Mixto'!$C$5:$C$2004,A34)</f>
      </c>
      <c r="C34" s="6" t="str">
        <f>A34/COUNT('Lineal Mixto'!$C$5:$C$2004)</f>
      </c>
      <c r="D34" s="6" t="str">
        <f>ABS(C34-B34)</f>
      </c>
    </row>
    <row r="35">
      <c r="A35" s="5">
        <v>11</v>
      </c>
      <c r="B35" s="5" t="str">
        <f>SMALL('Lineal Mixto'!$C$5:$C$2004,A35)</f>
      </c>
      <c r="C35" s="5" t="str">
        <f>A35/COUNT('Lineal Mixto'!$C$5:$C$2004)</f>
      </c>
      <c r="D35" s="5" t="str">
        <f>ABS(C35-B35)</f>
      </c>
    </row>
    <row r="36">
      <c r="A36" s="6">
        <v>12</v>
      </c>
      <c r="B36" s="6" t="str">
        <f>SMALL('Lineal Mixto'!$C$5:$C$2004,A36)</f>
      </c>
      <c r="C36" s="6" t="str">
        <f>A36/COUNT('Lineal Mixto'!$C$5:$C$2004)</f>
      </c>
      <c r="D36" s="6" t="str">
        <f>ABS(C36-B36)</f>
      </c>
    </row>
    <row r="37">
      <c r="A37" s="5">
        <v>13</v>
      </c>
      <c r="B37" s="5" t="str">
        <f>SMALL('Lineal Mixto'!$C$5:$C$2004,A37)</f>
      </c>
      <c r="C37" s="5" t="str">
        <f>A37/COUNT('Lineal Mixto'!$C$5:$C$2004)</f>
      </c>
      <c r="D37" s="5" t="str">
        <f>ABS(C37-B37)</f>
      </c>
    </row>
    <row r="38">
      <c r="A38" s="6">
        <v>14</v>
      </c>
      <c r="B38" s="6" t="str">
        <f>SMALL('Lineal Mixto'!$C$5:$C$2004,A38)</f>
      </c>
      <c r="C38" s="6" t="str">
        <f>A38/COUNT('Lineal Mixto'!$C$5:$C$2004)</f>
      </c>
      <c r="D38" s="6" t="str">
        <f>ABS(C38-B38)</f>
      </c>
    </row>
    <row r="39">
      <c r="A39" s="5">
        <v>15</v>
      </c>
      <c r="B39" s="5" t="str">
        <f>SMALL('Lineal Mixto'!$C$5:$C$2004,A39)</f>
      </c>
      <c r="C39" s="5" t="str">
        <f>A39/COUNT('Lineal Mixto'!$C$5:$C$2004)</f>
      </c>
      <c r="D39" s="5" t="str">
        <f>ABS(C39-B39)</f>
      </c>
    </row>
    <row r="40">
      <c r="A40" s="6">
        <v>16</v>
      </c>
      <c r="B40" s="6" t="str">
        <f>SMALL('Lineal Mixto'!$C$5:$C$2004,A40)</f>
      </c>
      <c r="C40" s="6" t="str">
        <f>A40/COUNT('Lineal Mixto'!$C$5:$C$2004)</f>
      </c>
      <c r="D40" s="6" t="str">
        <f>ABS(C40-B40)</f>
      </c>
    </row>
    <row r="41">
      <c r="A41" s="5">
        <v>17</v>
      </c>
      <c r="B41" s="5" t="str">
        <f>SMALL('Lineal Mixto'!$C$5:$C$2004,A41)</f>
      </c>
      <c r="C41" s="5" t="str">
        <f>A41/COUNT('Lineal Mixto'!$C$5:$C$2004)</f>
      </c>
      <c r="D41" s="5" t="str">
        <f>ABS(C41-B41)</f>
      </c>
    </row>
    <row r="42">
      <c r="A42" s="6">
        <v>18</v>
      </c>
      <c r="B42" s="6" t="str">
        <f>SMALL('Lineal Mixto'!$C$5:$C$2004,A42)</f>
      </c>
      <c r="C42" s="6" t="str">
        <f>A42/COUNT('Lineal Mixto'!$C$5:$C$2004)</f>
      </c>
      <c r="D42" s="6" t="str">
        <f>ABS(C42-B42)</f>
      </c>
    </row>
    <row r="43">
      <c r="A43" s="5">
        <v>19</v>
      </c>
      <c r="B43" s="5" t="str">
        <f>SMALL('Lineal Mixto'!$C$5:$C$2004,A43)</f>
      </c>
      <c r="C43" s="5" t="str">
        <f>A43/COUNT('Lineal Mixto'!$C$5:$C$2004)</f>
      </c>
      <c r="D43" s="5" t="str">
        <f>ABS(C43-B43)</f>
      </c>
    </row>
    <row r="44">
      <c r="A44" s="6">
        <v>20</v>
      </c>
      <c r="B44" s="6" t="str">
        <f>SMALL('Lineal Mixto'!$C$5:$C$2004,A44)</f>
      </c>
      <c r="C44" s="6" t="str">
        <f>A44/COUNT('Lineal Mixto'!$C$5:$C$2004)</f>
      </c>
      <c r="D44" s="6" t="str">
        <f>ABS(C44-B44)</f>
      </c>
    </row>
    <row r="45">
      <c r="A45" s="5">
        <v>21</v>
      </c>
      <c r="B45" s="5" t="str">
        <f>SMALL('Lineal Mixto'!$C$5:$C$2004,A45)</f>
      </c>
      <c r="C45" s="5" t="str">
        <f>A45/COUNT('Lineal Mixto'!$C$5:$C$2004)</f>
      </c>
      <c r="D45" s="5" t="str">
        <f>ABS(C45-B45)</f>
      </c>
    </row>
    <row r="46">
      <c r="A46" s="6">
        <v>22</v>
      </c>
      <c r="B46" s="6" t="str">
        <f>SMALL('Lineal Mixto'!$C$5:$C$2004,A46)</f>
      </c>
      <c r="C46" s="6" t="str">
        <f>A46/COUNT('Lineal Mixto'!$C$5:$C$2004)</f>
      </c>
      <c r="D46" s="6" t="str">
        <f>ABS(C46-B46)</f>
      </c>
    </row>
    <row r="47">
      <c r="A47" s="5">
        <v>23</v>
      </c>
      <c r="B47" s="5" t="str">
        <f>SMALL('Lineal Mixto'!$C$5:$C$2004,A47)</f>
      </c>
      <c r="C47" s="5" t="str">
        <f>A47/COUNT('Lineal Mixto'!$C$5:$C$2004)</f>
      </c>
      <c r="D47" s="5" t="str">
        <f>ABS(C47-B47)</f>
      </c>
    </row>
    <row r="48">
      <c r="A48" s="6">
        <v>24</v>
      </c>
      <c r="B48" s="6" t="str">
        <f>SMALL('Lineal Mixto'!$C$5:$C$2004,A48)</f>
      </c>
      <c r="C48" s="6" t="str">
        <f>A48/COUNT('Lineal Mixto'!$C$5:$C$2004)</f>
      </c>
      <c r="D48" s="6" t="str">
        <f>ABS(C48-B48)</f>
      </c>
    </row>
    <row r="49">
      <c r="A49" s="5">
        <v>25</v>
      </c>
      <c r="B49" s="5" t="str">
        <f>SMALL('Lineal Mixto'!$C$5:$C$2004,A49)</f>
      </c>
      <c r="C49" s="5" t="str">
        <f>A49/COUNT('Lineal Mixto'!$C$5:$C$2004)</f>
      </c>
      <c r="D49" s="5" t="str">
        <f>ABS(C49-B49)</f>
      </c>
    </row>
    <row r="50">
      <c r="A50" s="6">
        <v>26</v>
      </c>
      <c r="B50" s="6" t="str">
        <f>SMALL('Lineal Mixto'!$C$5:$C$2004,A50)</f>
      </c>
      <c r="C50" s="6" t="str">
        <f>A50/COUNT('Lineal Mixto'!$C$5:$C$2004)</f>
      </c>
      <c r="D50" s="6" t="str">
        <f>ABS(C50-B50)</f>
      </c>
    </row>
    <row r="51">
      <c r="A51" s="5">
        <v>27</v>
      </c>
      <c r="B51" s="5" t="str">
        <f>SMALL('Lineal Mixto'!$C$5:$C$2004,A51)</f>
      </c>
      <c r="C51" s="5" t="str">
        <f>A51/COUNT('Lineal Mixto'!$C$5:$C$2004)</f>
      </c>
      <c r="D51" s="5" t="str">
        <f>ABS(C51-B51)</f>
      </c>
    </row>
    <row r="52">
      <c r="A52" s="6">
        <v>28</v>
      </c>
      <c r="B52" s="6" t="str">
        <f>SMALL('Lineal Mixto'!$C$5:$C$2004,A52)</f>
      </c>
      <c r="C52" s="6" t="str">
        <f>A52/COUNT('Lineal Mixto'!$C$5:$C$2004)</f>
      </c>
      <c r="D52" s="6" t="str">
        <f>ABS(C52-B52)</f>
      </c>
    </row>
    <row r="53">
      <c r="A53" s="5">
        <v>29</v>
      </c>
      <c r="B53" s="5" t="str">
        <f>SMALL('Lineal Mixto'!$C$5:$C$2004,A53)</f>
      </c>
      <c r="C53" s="5" t="str">
        <f>A53/COUNT('Lineal Mixto'!$C$5:$C$2004)</f>
      </c>
      <c r="D53" s="5" t="str">
        <f>ABS(C53-B53)</f>
      </c>
    </row>
    <row r="54">
      <c r="A54" s="6">
        <v>30</v>
      </c>
      <c r="B54" s="6" t="str">
        <f>SMALL('Lineal Mixto'!$C$5:$C$2004,A54)</f>
      </c>
      <c r="C54" s="6" t="str">
        <f>A54/COUNT('Lineal Mixto'!$C$5:$C$2004)</f>
      </c>
      <c r="D54" s="6" t="str">
        <f>ABS(C54-B54)</f>
      </c>
    </row>
    <row r="55">
      <c r="A55" s="5">
        <v>31</v>
      </c>
      <c r="B55" s="5" t="str">
        <f>SMALL('Lineal Mixto'!$C$5:$C$2004,A55)</f>
      </c>
      <c r="C55" s="5" t="str">
        <f>A55/COUNT('Lineal Mixto'!$C$5:$C$2004)</f>
      </c>
      <c r="D55" s="5" t="str">
        <f>ABS(C55-B55)</f>
      </c>
    </row>
    <row r="56">
      <c r="A56" s="6">
        <v>32</v>
      </c>
      <c r="B56" s="6" t="str">
        <f>SMALL('Lineal Mixto'!$C$5:$C$2004,A56)</f>
      </c>
      <c r="C56" s="6" t="str">
        <f>A56/COUNT('Lineal Mixto'!$C$5:$C$2004)</f>
      </c>
      <c r="D56" s="6" t="str">
        <f>ABS(C56-B56)</f>
      </c>
    </row>
    <row r="57">
      <c r="A57" s="5">
        <v>33</v>
      </c>
      <c r="B57" s="5" t="str">
        <f>SMALL('Lineal Mixto'!$C$5:$C$2004,A57)</f>
      </c>
      <c r="C57" s="5" t="str">
        <f>A57/COUNT('Lineal Mixto'!$C$5:$C$2004)</f>
      </c>
      <c r="D57" s="5" t="str">
        <f>ABS(C57-B57)</f>
      </c>
    </row>
    <row r="58">
      <c r="A58" s="6">
        <v>34</v>
      </c>
      <c r="B58" s="6" t="str">
        <f>SMALL('Lineal Mixto'!$C$5:$C$2004,A58)</f>
      </c>
      <c r="C58" s="6" t="str">
        <f>A58/COUNT('Lineal Mixto'!$C$5:$C$2004)</f>
      </c>
      <c r="D58" s="6" t="str">
        <f>ABS(C58-B58)</f>
      </c>
    </row>
    <row r="59">
      <c r="A59" s="5">
        <v>35</v>
      </c>
      <c r="B59" s="5" t="str">
        <f>SMALL('Lineal Mixto'!$C$5:$C$2004,A59)</f>
      </c>
      <c r="C59" s="5" t="str">
        <f>A59/COUNT('Lineal Mixto'!$C$5:$C$2004)</f>
      </c>
      <c r="D59" s="5" t="str">
        <f>ABS(C59-B59)</f>
      </c>
    </row>
    <row r="60">
      <c r="A60" s="6">
        <v>36</v>
      </c>
      <c r="B60" s="6" t="str">
        <f>SMALL('Lineal Mixto'!$C$5:$C$2004,A60)</f>
      </c>
      <c r="C60" s="6" t="str">
        <f>A60/COUNT('Lineal Mixto'!$C$5:$C$2004)</f>
      </c>
      <c r="D60" s="6" t="str">
        <f>ABS(C60-B60)</f>
      </c>
    </row>
    <row r="61">
      <c r="A61" s="5">
        <v>37</v>
      </c>
      <c r="B61" s="5" t="str">
        <f>SMALL('Lineal Mixto'!$C$5:$C$2004,A61)</f>
      </c>
      <c r="C61" s="5" t="str">
        <f>A61/COUNT('Lineal Mixto'!$C$5:$C$2004)</f>
      </c>
      <c r="D61" s="5" t="str">
        <f>ABS(C61-B61)</f>
      </c>
    </row>
    <row r="62">
      <c r="A62" s="6">
        <v>38</v>
      </c>
      <c r="B62" s="6" t="str">
        <f>SMALL('Lineal Mixto'!$C$5:$C$2004,A62)</f>
      </c>
      <c r="C62" s="6" t="str">
        <f>A62/COUNT('Lineal Mixto'!$C$5:$C$2004)</f>
      </c>
      <c r="D62" s="6" t="str">
        <f>ABS(C62-B62)</f>
      </c>
    </row>
    <row r="63">
      <c r="A63" s="5">
        <v>39</v>
      </c>
      <c r="B63" s="5" t="str">
        <f>SMALL('Lineal Mixto'!$C$5:$C$2004,A63)</f>
      </c>
      <c r="C63" s="5" t="str">
        <f>A63/COUNT('Lineal Mixto'!$C$5:$C$2004)</f>
      </c>
      <c r="D63" s="5" t="str">
        <f>ABS(C63-B63)</f>
      </c>
    </row>
    <row r="64">
      <c r="A64" s="6">
        <v>40</v>
      </c>
      <c r="B64" s="6" t="str">
        <f>SMALL('Lineal Mixto'!$C$5:$C$2004,A64)</f>
      </c>
      <c r="C64" s="6" t="str">
        <f>A64/COUNT('Lineal Mixto'!$C$5:$C$2004)</f>
      </c>
      <c r="D64" s="6" t="str">
        <f>ABS(C64-B64)</f>
      </c>
    </row>
    <row r="65">
      <c r="A65" s="5">
        <v>41</v>
      </c>
      <c r="B65" s="5" t="str">
        <f>SMALL('Lineal Mixto'!$C$5:$C$2004,A65)</f>
      </c>
      <c r="C65" s="5" t="str">
        <f>A65/COUNT('Lineal Mixto'!$C$5:$C$2004)</f>
      </c>
      <c r="D65" s="5" t="str">
        <f>ABS(C65-B65)</f>
      </c>
    </row>
    <row r="66">
      <c r="A66" s="6">
        <v>42</v>
      </c>
      <c r="B66" s="6" t="str">
        <f>SMALL('Lineal Mixto'!$C$5:$C$2004,A66)</f>
      </c>
      <c r="C66" s="6" t="str">
        <f>A66/COUNT('Lineal Mixto'!$C$5:$C$2004)</f>
      </c>
      <c r="D66" s="6" t="str">
        <f>ABS(C66-B66)</f>
      </c>
    </row>
    <row r="67">
      <c r="A67" s="5">
        <v>43</v>
      </c>
      <c r="B67" s="5" t="str">
        <f>SMALL('Lineal Mixto'!$C$5:$C$2004,A67)</f>
      </c>
      <c r="C67" s="5" t="str">
        <f>A67/COUNT('Lineal Mixto'!$C$5:$C$2004)</f>
      </c>
      <c r="D67" s="5" t="str">
        <f>ABS(C67-B67)</f>
      </c>
    </row>
    <row r="68">
      <c r="A68" s="6">
        <v>44</v>
      </c>
      <c r="B68" s="6" t="str">
        <f>SMALL('Lineal Mixto'!$C$5:$C$2004,A68)</f>
      </c>
      <c r="C68" s="6" t="str">
        <f>A68/COUNT('Lineal Mixto'!$C$5:$C$2004)</f>
      </c>
      <c r="D68" s="6" t="str">
        <f>ABS(C68-B68)</f>
      </c>
    </row>
    <row r="69">
      <c r="A69" s="5">
        <v>45</v>
      </c>
      <c r="B69" s="5" t="str">
        <f>SMALL('Lineal Mixto'!$C$5:$C$2004,A69)</f>
      </c>
      <c r="C69" s="5" t="str">
        <f>A69/COUNT('Lineal Mixto'!$C$5:$C$2004)</f>
      </c>
      <c r="D69" s="5" t="str">
        <f>ABS(C69-B69)</f>
      </c>
    </row>
    <row r="70">
      <c r="A70" s="6">
        <v>46</v>
      </c>
      <c r="B70" s="6" t="str">
        <f>SMALL('Lineal Mixto'!$C$5:$C$2004,A70)</f>
      </c>
      <c r="C70" s="6" t="str">
        <f>A70/COUNT('Lineal Mixto'!$C$5:$C$2004)</f>
      </c>
      <c r="D70" s="6" t="str">
        <f>ABS(C70-B70)</f>
      </c>
    </row>
    <row r="71">
      <c r="A71" s="5">
        <v>47</v>
      </c>
      <c r="B71" s="5" t="str">
        <f>SMALL('Lineal Mixto'!$C$5:$C$2004,A71)</f>
      </c>
      <c r="C71" s="5" t="str">
        <f>A71/COUNT('Lineal Mixto'!$C$5:$C$2004)</f>
      </c>
      <c r="D71" s="5" t="str">
        <f>ABS(C71-B71)</f>
      </c>
    </row>
    <row r="72">
      <c r="A72" s="6">
        <v>48</v>
      </c>
      <c r="B72" s="6" t="str">
        <f>SMALL('Lineal Mixto'!$C$5:$C$2004,A72)</f>
      </c>
      <c r="C72" s="6" t="str">
        <f>A72/COUNT('Lineal Mixto'!$C$5:$C$2004)</f>
      </c>
      <c r="D72" s="6" t="str">
        <f>ABS(C72-B72)</f>
      </c>
    </row>
    <row r="73">
      <c r="A73" s="5">
        <v>49</v>
      </c>
      <c r="B73" s="5" t="str">
        <f>SMALL('Lineal Mixto'!$C$5:$C$2004,A73)</f>
      </c>
      <c r="C73" s="5" t="str">
        <f>A73/COUNT('Lineal Mixto'!$C$5:$C$2004)</f>
      </c>
      <c r="D73" s="5" t="str">
        <f>ABS(C73-B73)</f>
      </c>
    </row>
    <row r="74">
      <c r="A74" s="6">
        <v>50</v>
      </c>
      <c r="B74" s="6" t="str">
        <f>SMALL('Lineal Mixto'!$C$5:$C$2004,A74)</f>
      </c>
      <c r="C74" s="6" t="str">
        <f>A74/COUNT('Lineal Mixto'!$C$5:$C$2004)</f>
      </c>
      <c r="D74" s="6" t="str">
        <f>ABS(C74-B74)</f>
      </c>
    </row>
    <row r="75">
      <c r="A75" s="5">
        <v>51</v>
      </c>
      <c r="B75" s="5" t="str">
        <f>SMALL('Lineal Mixto'!$C$5:$C$2004,A75)</f>
      </c>
      <c r="C75" s="5" t="str">
        <f>A75/COUNT('Lineal Mixto'!$C$5:$C$2004)</f>
      </c>
      <c r="D75" s="5" t="str">
        <f>ABS(C75-B75)</f>
      </c>
    </row>
    <row r="76">
      <c r="A76" s="6">
        <v>52</v>
      </c>
      <c r="B76" s="6" t="str">
        <f>SMALL('Lineal Mixto'!$C$5:$C$2004,A76)</f>
      </c>
      <c r="C76" s="6" t="str">
        <f>A76/COUNT('Lineal Mixto'!$C$5:$C$2004)</f>
      </c>
      <c r="D76" s="6" t="str">
        <f>ABS(C76-B76)</f>
      </c>
    </row>
    <row r="77">
      <c r="A77" s="5">
        <v>53</v>
      </c>
      <c r="B77" s="5" t="str">
        <f>SMALL('Lineal Mixto'!$C$5:$C$2004,A77)</f>
      </c>
      <c r="C77" s="5" t="str">
        <f>A77/COUNT('Lineal Mixto'!$C$5:$C$2004)</f>
      </c>
      <c r="D77" s="5" t="str">
        <f>ABS(C77-B77)</f>
      </c>
    </row>
    <row r="78">
      <c r="A78" s="6">
        <v>54</v>
      </c>
      <c r="B78" s="6" t="str">
        <f>SMALL('Lineal Mixto'!$C$5:$C$2004,A78)</f>
      </c>
      <c r="C78" s="6" t="str">
        <f>A78/COUNT('Lineal Mixto'!$C$5:$C$2004)</f>
      </c>
      <c r="D78" s="6" t="str">
        <f>ABS(C78-B78)</f>
      </c>
    </row>
    <row r="79">
      <c r="A79" s="5">
        <v>55</v>
      </c>
      <c r="B79" s="5" t="str">
        <f>SMALL('Lineal Mixto'!$C$5:$C$2004,A79)</f>
      </c>
      <c r="C79" s="5" t="str">
        <f>A79/COUNT('Lineal Mixto'!$C$5:$C$2004)</f>
      </c>
      <c r="D79" s="5" t="str">
        <f>ABS(C79-B79)</f>
      </c>
    </row>
    <row r="80">
      <c r="A80" s="6">
        <v>56</v>
      </c>
      <c r="B80" s="6" t="str">
        <f>SMALL('Lineal Mixto'!$C$5:$C$2004,A80)</f>
      </c>
      <c r="C80" s="6" t="str">
        <f>A80/COUNT('Lineal Mixto'!$C$5:$C$2004)</f>
      </c>
      <c r="D80" s="6" t="str">
        <f>ABS(C80-B80)</f>
      </c>
    </row>
    <row r="81">
      <c r="A81" s="5">
        <v>57</v>
      </c>
      <c r="B81" s="5" t="str">
        <f>SMALL('Lineal Mixto'!$C$5:$C$2004,A81)</f>
      </c>
      <c r="C81" s="5" t="str">
        <f>A81/COUNT('Lineal Mixto'!$C$5:$C$2004)</f>
      </c>
      <c r="D81" s="5" t="str">
        <f>ABS(C81-B81)</f>
      </c>
    </row>
    <row r="82">
      <c r="A82" s="6">
        <v>58</v>
      </c>
      <c r="B82" s="6" t="str">
        <f>SMALL('Lineal Mixto'!$C$5:$C$2004,A82)</f>
      </c>
      <c r="C82" s="6" t="str">
        <f>A82/COUNT('Lineal Mixto'!$C$5:$C$2004)</f>
      </c>
      <c r="D82" s="6" t="str">
        <f>ABS(C82-B82)</f>
      </c>
    </row>
    <row r="83">
      <c r="A83" s="5">
        <v>59</v>
      </c>
      <c r="B83" s="5" t="str">
        <f>SMALL('Lineal Mixto'!$C$5:$C$2004,A83)</f>
      </c>
      <c r="C83" s="5" t="str">
        <f>A83/COUNT('Lineal Mixto'!$C$5:$C$2004)</f>
      </c>
      <c r="D83" s="5" t="str">
        <f>ABS(C83-B83)</f>
      </c>
    </row>
    <row r="84">
      <c r="A84" s="6">
        <v>60</v>
      </c>
      <c r="B84" s="6" t="str">
        <f>SMALL('Lineal Mixto'!$C$5:$C$2004,A84)</f>
      </c>
      <c r="C84" s="6" t="str">
        <f>A84/COUNT('Lineal Mixto'!$C$5:$C$2004)</f>
      </c>
      <c r="D84" s="6" t="str">
        <f>ABS(C84-B84)</f>
      </c>
    </row>
    <row r="85">
      <c r="A85" s="5">
        <v>61</v>
      </c>
      <c r="B85" s="5" t="str">
        <f>SMALL('Lineal Mixto'!$C$5:$C$2004,A85)</f>
      </c>
      <c r="C85" s="5" t="str">
        <f>A85/COUNT('Lineal Mixto'!$C$5:$C$2004)</f>
      </c>
      <c r="D85" s="5" t="str">
        <f>ABS(C85-B85)</f>
      </c>
    </row>
    <row r="86">
      <c r="A86" s="6">
        <v>62</v>
      </c>
      <c r="B86" s="6" t="str">
        <f>SMALL('Lineal Mixto'!$C$5:$C$2004,A86)</f>
      </c>
      <c r="C86" s="6" t="str">
        <f>A86/COUNT('Lineal Mixto'!$C$5:$C$2004)</f>
      </c>
      <c r="D86" s="6" t="str">
        <f>ABS(C86-B86)</f>
      </c>
    </row>
    <row r="87">
      <c r="A87" s="5">
        <v>63</v>
      </c>
      <c r="B87" s="5" t="str">
        <f>SMALL('Lineal Mixto'!$C$5:$C$2004,A87)</f>
      </c>
      <c r="C87" s="5" t="str">
        <f>A87/COUNT('Lineal Mixto'!$C$5:$C$2004)</f>
      </c>
      <c r="D87" s="5" t="str">
        <f>ABS(C87-B87)</f>
      </c>
    </row>
    <row r="88">
      <c r="A88" s="6">
        <v>64</v>
      </c>
      <c r="B88" s="6" t="str">
        <f>SMALL('Lineal Mixto'!$C$5:$C$2004,A88)</f>
      </c>
      <c r="C88" s="6" t="str">
        <f>A88/COUNT('Lineal Mixto'!$C$5:$C$2004)</f>
      </c>
      <c r="D88" s="6" t="str">
        <f>ABS(C88-B88)</f>
      </c>
    </row>
    <row r="89">
      <c r="A89" s="5">
        <v>65</v>
      </c>
      <c r="B89" s="5" t="str">
        <f>SMALL('Lineal Mixto'!$C$5:$C$2004,A89)</f>
      </c>
      <c r="C89" s="5" t="str">
        <f>A89/COUNT('Lineal Mixto'!$C$5:$C$2004)</f>
      </c>
      <c r="D89" s="5" t="str">
        <f>ABS(C89-B89)</f>
      </c>
    </row>
    <row r="90">
      <c r="A90" s="6">
        <v>66</v>
      </c>
      <c r="B90" s="6" t="str">
        <f>SMALL('Lineal Mixto'!$C$5:$C$2004,A90)</f>
      </c>
      <c r="C90" s="6" t="str">
        <f>A90/COUNT('Lineal Mixto'!$C$5:$C$2004)</f>
      </c>
      <c r="D90" s="6" t="str">
        <f>ABS(C90-B90)</f>
      </c>
    </row>
    <row r="91">
      <c r="A91" s="5">
        <v>67</v>
      </c>
      <c r="B91" s="5" t="str">
        <f>SMALL('Lineal Mixto'!$C$5:$C$2004,A91)</f>
      </c>
      <c r="C91" s="5" t="str">
        <f>A91/COUNT('Lineal Mixto'!$C$5:$C$2004)</f>
      </c>
      <c r="D91" s="5" t="str">
        <f>ABS(C91-B91)</f>
      </c>
    </row>
    <row r="92">
      <c r="A92" s="6">
        <v>68</v>
      </c>
      <c r="B92" s="6" t="str">
        <f>SMALL('Lineal Mixto'!$C$5:$C$2004,A92)</f>
      </c>
      <c r="C92" s="6" t="str">
        <f>A92/COUNT('Lineal Mixto'!$C$5:$C$2004)</f>
      </c>
      <c r="D92" s="6" t="str">
        <f>ABS(C92-B92)</f>
      </c>
    </row>
    <row r="93">
      <c r="A93" s="5">
        <v>69</v>
      </c>
      <c r="B93" s="5" t="str">
        <f>SMALL('Lineal Mixto'!$C$5:$C$2004,A93)</f>
      </c>
      <c r="C93" s="5" t="str">
        <f>A93/COUNT('Lineal Mixto'!$C$5:$C$2004)</f>
      </c>
      <c r="D93" s="5" t="str">
        <f>ABS(C93-B93)</f>
      </c>
    </row>
    <row r="94">
      <c r="A94" s="6">
        <v>70</v>
      </c>
      <c r="B94" s="6" t="str">
        <f>SMALL('Lineal Mixto'!$C$5:$C$2004,A94)</f>
      </c>
      <c r="C94" s="6" t="str">
        <f>A94/COUNT('Lineal Mixto'!$C$5:$C$2004)</f>
      </c>
      <c r="D94" s="6" t="str">
        <f>ABS(C94-B94)</f>
      </c>
    </row>
    <row r="95">
      <c r="A95" s="5">
        <v>71</v>
      </c>
      <c r="B95" s="5" t="str">
        <f>SMALL('Lineal Mixto'!$C$5:$C$2004,A95)</f>
      </c>
      <c r="C95" s="5" t="str">
        <f>A95/COUNT('Lineal Mixto'!$C$5:$C$2004)</f>
      </c>
      <c r="D95" s="5" t="str">
        <f>ABS(C95-B95)</f>
      </c>
    </row>
    <row r="96">
      <c r="A96" s="6">
        <v>72</v>
      </c>
      <c r="B96" s="6" t="str">
        <f>SMALL('Lineal Mixto'!$C$5:$C$2004,A96)</f>
      </c>
      <c r="C96" s="6" t="str">
        <f>A96/COUNT('Lineal Mixto'!$C$5:$C$2004)</f>
      </c>
      <c r="D96" s="6" t="str">
        <f>ABS(C96-B96)</f>
      </c>
    </row>
    <row r="97">
      <c r="A97" s="5">
        <v>73</v>
      </c>
      <c r="B97" s="5" t="str">
        <f>SMALL('Lineal Mixto'!$C$5:$C$2004,A97)</f>
      </c>
      <c r="C97" s="5" t="str">
        <f>A97/COUNT('Lineal Mixto'!$C$5:$C$2004)</f>
      </c>
      <c r="D97" s="5" t="str">
        <f>ABS(C97-B97)</f>
      </c>
    </row>
    <row r="98">
      <c r="A98" s="6">
        <v>74</v>
      </c>
      <c r="B98" s="6" t="str">
        <f>SMALL('Lineal Mixto'!$C$5:$C$2004,A98)</f>
      </c>
      <c r="C98" s="6" t="str">
        <f>A98/COUNT('Lineal Mixto'!$C$5:$C$2004)</f>
      </c>
      <c r="D98" s="6" t="str">
        <f>ABS(C98-B98)</f>
      </c>
    </row>
    <row r="99">
      <c r="A99" s="5">
        <v>75</v>
      </c>
      <c r="B99" s="5" t="str">
        <f>SMALL('Lineal Mixto'!$C$5:$C$2004,A99)</f>
      </c>
      <c r="C99" s="5" t="str">
        <f>A99/COUNT('Lineal Mixto'!$C$5:$C$2004)</f>
      </c>
      <c r="D99" s="5" t="str">
        <f>ABS(C99-B99)</f>
      </c>
    </row>
    <row r="100">
      <c r="A100" s="6">
        <v>76</v>
      </c>
      <c r="B100" s="6" t="str">
        <f>SMALL('Lineal Mixto'!$C$5:$C$2004,A100)</f>
      </c>
      <c r="C100" s="6" t="str">
        <f>A100/COUNT('Lineal Mixto'!$C$5:$C$2004)</f>
      </c>
      <c r="D100" s="6" t="str">
        <f>ABS(C100-B100)</f>
      </c>
    </row>
    <row r="101">
      <c r="A101" s="5">
        <v>77</v>
      </c>
      <c r="B101" s="5" t="str">
        <f>SMALL('Lineal Mixto'!$C$5:$C$2004,A101)</f>
      </c>
      <c r="C101" s="5" t="str">
        <f>A101/COUNT('Lineal Mixto'!$C$5:$C$2004)</f>
      </c>
      <c r="D101" s="5" t="str">
        <f>ABS(C101-B101)</f>
      </c>
    </row>
    <row r="102">
      <c r="A102" s="6">
        <v>78</v>
      </c>
      <c r="B102" s="6" t="str">
        <f>SMALL('Lineal Mixto'!$C$5:$C$2004,A102)</f>
      </c>
      <c r="C102" s="6" t="str">
        <f>A102/COUNT('Lineal Mixto'!$C$5:$C$2004)</f>
      </c>
      <c r="D102" s="6" t="str">
        <f>ABS(C102-B102)</f>
      </c>
    </row>
    <row r="103">
      <c r="A103" s="5">
        <v>79</v>
      </c>
      <c r="B103" s="5" t="str">
        <f>SMALL('Lineal Mixto'!$C$5:$C$2004,A103)</f>
      </c>
      <c r="C103" s="5" t="str">
        <f>A103/COUNT('Lineal Mixto'!$C$5:$C$2004)</f>
      </c>
      <c r="D103" s="5" t="str">
        <f>ABS(C103-B103)</f>
      </c>
    </row>
    <row r="104">
      <c r="A104" s="6">
        <v>80</v>
      </c>
      <c r="B104" s="6" t="str">
        <f>SMALL('Lineal Mixto'!$C$5:$C$2004,A104)</f>
      </c>
      <c r="C104" s="6" t="str">
        <f>A104/COUNT('Lineal Mixto'!$C$5:$C$2004)</f>
      </c>
      <c r="D104" s="6" t="str">
        <f>ABS(C104-B104)</f>
      </c>
    </row>
    <row r="105">
      <c r="A105" s="5">
        <v>81</v>
      </c>
      <c r="B105" s="5" t="str">
        <f>SMALL('Lineal Mixto'!$C$5:$C$2004,A105)</f>
      </c>
      <c r="C105" s="5" t="str">
        <f>A105/COUNT('Lineal Mixto'!$C$5:$C$2004)</f>
      </c>
      <c r="D105" s="5" t="str">
        <f>ABS(C105-B105)</f>
      </c>
    </row>
    <row r="106">
      <c r="A106" s="6">
        <v>82</v>
      </c>
      <c r="B106" s="6" t="str">
        <f>SMALL('Lineal Mixto'!$C$5:$C$2004,A106)</f>
      </c>
      <c r="C106" s="6" t="str">
        <f>A106/COUNT('Lineal Mixto'!$C$5:$C$2004)</f>
      </c>
      <c r="D106" s="6" t="str">
        <f>ABS(C106-B106)</f>
      </c>
    </row>
    <row r="107">
      <c r="A107" s="5">
        <v>83</v>
      </c>
      <c r="B107" s="5" t="str">
        <f>SMALL('Lineal Mixto'!$C$5:$C$2004,A107)</f>
      </c>
      <c r="C107" s="5" t="str">
        <f>A107/COUNT('Lineal Mixto'!$C$5:$C$2004)</f>
      </c>
      <c r="D107" s="5" t="str">
        <f>ABS(C107-B107)</f>
      </c>
    </row>
    <row r="108">
      <c r="A108" s="6">
        <v>84</v>
      </c>
      <c r="B108" s="6" t="str">
        <f>SMALL('Lineal Mixto'!$C$5:$C$2004,A108)</f>
      </c>
      <c r="C108" s="6" t="str">
        <f>A108/COUNT('Lineal Mixto'!$C$5:$C$2004)</f>
      </c>
      <c r="D108" s="6" t="str">
        <f>ABS(C108-B108)</f>
      </c>
    </row>
    <row r="109">
      <c r="A109" s="5">
        <v>85</v>
      </c>
      <c r="B109" s="5" t="str">
        <f>SMALL('Lineal Mixto'!$C$5:$C$2004,A109)</f>
      </c>
      <c r="C109" s="5" t="str">
        <f>A109/COUNT('Lineal Mixto'!$C$5:$C$2004)</f>
      </c>
      <c r="D109" s="5" t="str">
        <f>ABS(C109-B109)</f>
      </c>
    </row>
    <row r="110">
      <c r="A110" s="6">
        <v>86</v>
      </c>
      <c r="B110" s="6" t="str">
        <f>SMALL('Lineal Mixto'!$C$5:$C$2004,A110)</f>
      </c>
      <c r="C110" s="6" t="str">
        <f>A110/COUNT('Lineal Mixto'!$C$5:$C$2004)</f>
      </c>
      <c r="D110" s="6" t="str">
        <f>ABS(C110-B110)</f>
      </c>
    </row>
    <row r="111">
      <c r="A111" s="5">
        <v>87</v>
      </c>
      <c r="B111" s="5" t="str">
        <f>SMALL('Lineal Mixto'!$C$5:$C$2004,A111)</f>
      </c>
      <c r="C111" s="5" t="str">
        <f>A111/COUNT('Lineal Mixto'!$C$5:$C$2004)</f>
      </c>
      <c r="D111" s="5" t="str">
        <f>ABS(C111-B111)</f>
      </c>
    </row>
    <row r="112">
      <c r="A112" s="6">
        <v>88</v>
      </c>
      <c r="B112" s="6" t="str">
        <f>SMALL('Lineal Mixto'!$C$5:$C$2004,A112)</f>
      </c>
      <c r="C112" s="6" t="str">
        <f>A112/COUNT('Lineal Mixto'!$C$5:$C$2004)</f>
      </c>
      <c r="D112" s="6" t="str">
        <f>ABS(C112-B112)</f>
      </c>
    </row>
    <row r="113">
      <c r="A113" s="5">
        <v>89</v>
      </c>
      <c r="B113" s="5" t="str">
        <f>SMALL('Lineal Mixto'!$C$5:$C$2004,A113)</f>
      </c>
      <c r="C113" s="5" t="str">
        <f>A113/COUNT('Lineal Mixto'!$C$5:$C$2004)</f>
      </c>
      <c r="D113" s="5" t="str">
        <f>ABS(C113-B113)</f>
      </c>
    </row>
    <row r="114">
      <c r="A114" s="6">
        <v>90</v>
      </c>
      <c r="B114" s="6" t="str">
        <f>SMALL('Lineal Mixto'!$C$5:$C$2004,A114)</f>
      </c>
      <c r="C114" s="6" t="str">
        <f>A114/COUNT('Lineal Mixto'!$C$5:$C$2004)</f>
      </c>
      <c r="D114" s="6" t="str">
        <f>ABS(C114-B114)</f>
      </c>
    </row>
    <row r="115">
      <c r="A115" s="5">
        <v>91</v>
      </c>
      <c r="B115" s="5" t="str">
        <f>SMALL('Lineal Mixto'!$C$5:$C$2004,A115)</f>
      </c>
      <c r="C115" s="5" t="str">
        <f>A115/COUNT('Lineal Mixto'!$C$5:$C$2004)</f>
      </c>
      <c r="D115" s="5" t="str">
        <f>ABS(C115-B115)</f>
      </c>
    </row>
    <row r="116">
      <c r="A116" s="6">
        <v>92</v>
      </c>
      <c r="B116" s="6" t="str">
        <f>SMALL('Lineal Mixto'!$C$5:$C$2004,A116)</f>
      </c>
      <c r="C116" s="6" t="str">
        <f>A116/COUNT('Lineal Mixto'!$C$5:$C$2004)</f>
      </c>
      <c r="D116" s="6" t="str">
        <f>ABS(C116-B116)</f>
      </c>
    </row>
    <row r="117">
      <c r="A117" s="5">
        <v>93</v>
      </c>
      <c r="B117" s="5" t="str">
        <f>SMALL('Lineal Mixto'!$C$5:$C$2004,A117)</f>
      </c>
      <c r="C117" s="5" t="str">
        <f>A117/COUNT('Lineal Mixto'!$C$5:$C$2004)</f>
      </c>
      <c r="D117" s="5" t="str">
        <f>ABS(C117-B117)</f>
      </c>
    </row>
    <row r="118">
      <c r="A118" s="6">
        <v>94</v>
      </c>
      <c r="B118" s="6" t="str">
        <f>SMALL('Lineal Mixto'!$C$5:$C$2004,A118)</f>
      </c>
      <c r="C118" s="6" t="str">
        <f>A118/COUNT('Lineal Mixto'!$C$5:$C$2004)</f>
      </c>
      <c r="D118" s="6" t="str">
        <f>ABS(C118-B118)</f>
      </c>
    </row>
    <row r="119">
      <c r="A119" s="5">
        <v>95</v>
      </c>
      <c r="B119" s="5" t="str">
        <f>SMALL('Lineal Mixto'!$C$5:$C$2004,A119)</f>
      </c>
      <c r="C119" s="5" t="str">
        <f>A119/COUNT('Lineal Mixto'!$C$5:$C$2004)</f>
      </c>
      <c r="D119" s="5" t="str">
        <f>ABS(C119-B119)</f>
      </c>
    </row>
    <row r="120">
      <c r="A120" s="6">
        <v>96</v>
      </c>
      <c r="B120" s="6" t="str">
        <f>SMALL('Lineal Mixto'!$C$5:$C$2004,A120)</f>
      </c>
      <c r="C120" s="6" t="str">
        <f>A120/COUNT('Lineal Mixto'!$C$5:$C$2004)</f>
      </c>
      <c r="D120" s="6" t="str">
        <f>ABS(C120-B120)</f>
      </c>
    </row>
    <row r="121">
      <c r="A121" s="5">
        <v>97</v>
      </c>
      <c r="B121" s="5" t="str">
        <f>SMALL('Lineal Mixto'!$C$5:$C$2004,A121)</f>
      </c>
      <c r="C121" s="5" t="str">
        <f>A121/COUNT('Lineal Mixto'!$C$5:$C$2004)</f>
      </c>
      <c r="D121" s="5" t="str">
        <f>ABS(C121-B121)</f>
      </c>
    </row>
    <row r="122">
      <c r="A122" s="6">
        <v>98</v>
      </c>
      <c r="B122" s="6" t="str">
        <f>SMALL('Lineal Mixto'!$C$5:$C$2004,A122)</f>
      </c>
      <c r="C122" s="6" t="str">
        <f>A122/COUNT('Lineal Mixto'!$C$5:$C$2004)</f>
      </c>
      <c r="D122" s="6" t="str">
        <f>ABS(C122-B122)</f>
      </c>
    </row>
    <row r="123">
      <c r="A123" s="5">
        <v>99</v>
      </c>
      <c r="B123" s="5" t="str">
        <f>SMALL('Lineal Mixto'!$C$5:$C$2004,A123)</f>
      </c>
      <c r="C123" s="5" t="str">
        <f>A123/COUNT('Lineal Mixto'!$C$5:$C$2004)</f>
      </c>
      <c r="D123" s="5" t="str">
        <f>ABS(C123-B123)</f>
      </c>
    </row>
    <row r="124">
      <c r="A124" s="6">
        <v>100</v>
      </c>
      <c r="B124" s="6" t="str">
        <f>SMALL('Lineal Mixto'!$C$5:$C$2004,A124)</f>
      </c>
      <c r="C124" s="6" t="str">
        <f>A124/COUNT('Lineal Mixto'!$C$5:$C$2004)</f>
      </c>
      <c r="D124" s="6" t="str">
        <f>ABS(C124-B124)</f>
      </c>
    </row>
    <row r="125">
      <c r="A125" s="5">
        <v>101</v>
      </c>
      <c r="B125" s="5" t="str">
        <f>SMALL('Lineal Mixto'!$C$5:$C$2004,A125)</f>
      </c>
      <c r="C125" s="5" t="str">
        <f>A125/COUNT('Lineal Mixto'!$C$5:$C$2004)</f>
      </c>
      <c r="D125" s="5" t="str">
        <f>ABS(C125-B125)</f>
      </c>
    </row>
    <row r="126">
      <c r="A126" s="6">
        <v>102</v>
      </c>
      <c r="B126" s="6" t="str">
        <f>SMALL('Lineal Mixto'!$C$5:$C$2004,A126)</f>
      </c>
      <c r="C126" s="6" t="str">
        <f>A126/COUNT('Lineal Mixto'!$C$5:$C$2004)</f>
      </c>
      <c r="D126" s="6" t="str">
        <f>ABS(C126-B126)</f>
      </c>
    </row>
    <row r="127">
      <c r="A127" s="5">
        <v>103</v>
      </c>
      <c r="B127" s="5" t="str">
        <f>SMALL('Lineal Mixto'!$C$5:$C$2004,A127)</f>
      </c>
      <c r="C127" s="5" t="str">
        <f>A127/COUNT('Lineal Mixto'!$C$5:$C$2004)</f>
      </c>
      <c r="D127" s="5" t="str">
        <f>ABS(C127-B127)</f>
      </c>
    </row>
    <row r="128">
      <c r="A128" s="6">
        <v>104</v>
      </c>
      <c r="B128" s="6" t="str">
        <f>SMALL('Lineal Mixto'!$C$5:$C$2004,A128)</f>
      </c>
      <c r="C128" s="6" t="str">
        <f>A128/COUNT('Lineal Mixto'!$C$5:$C$2004)</f>
      </c>
      <c r="D128" s="6" t="str">
        <f>ABS(C128-B128)</f>
      </c>
    </row>
    <row r="129">
      <c r="A129" s="5">
        <v>105</v>
      </c>
      <c r="B129" s="5" t="str">
        <f>SMALL('Lineal Mixto'!$C$5:$C$2004,A129)</f>
      </c>
      <c r="C129" s="5" t="str">
        <f>A129/COUNT('Lineal Mixto'!$C$5:$C$2004)</f>
      </c>
      <c r="D129" s="5" t="str">
        <f>ABS(C129-B129)</f>
      </c>
    </row>
    <row r="130">
      <c r="A130" s="6">
        <v>106</v>
      </c>
      <c r="B130" s="6" t="str">
        <f>SMALL('Lineal Mixto'!$C$5:$C$2004,A130)</f>
      </c>
      <c r="C130" s="6" t="str">
        <f>A130/COUNT('Lineal Mixto'!$C$5:$C$2004)</f>
      </c>
      <c r="D130" s="6" t="str">
        <f>ABS(C130-B130)</f>
      </c>
    </row>
    <row r="131">
      <c r="A131" s="5">
        <v>107</v>
      </c>
      <c r="B131" s="5" t="str">
        <f>SMALL('Lineal Mixto'!$C$5:$C$2004,A131)</f>
      </c>
      <c r="C131" s="5" t="str">
        <f>A131/COUNT('Lineal Mixto'!$C$5:$C$2004)</f>
      </c>
      <c r="D131" s="5" t="str">
        <f>ABS(C131-B131)</f>
      </c>
    </row>
    <row r="132">
      <c r="A132" s="6">
        <v>108</v>
      </c>
      <c r="B132" s="6" t="str">
        <f>SMALL('Lineal Mixto'!$C$5:$C$2004,A132)</f>
      </c>
      <c r="C132" s="6" t="str">
        <f>A132/COUNT('Lineal Mixto'!$C$5:$C$2004)</f>
      </c>
      <c r="D132" s="6" t="str">
        <f>ABS(C132-B132)</f>
      </c>
    </row>
    <row r="133">
      <c r="A133" s="5">
        <v>109</v>
      </c>
      <c r="B133" s="5" t="str">
        <f>SMALL('Lineal Mixto'!$C$5:$C$2004,A133)</f>
      </c>
      <c r="C133" s="5" t="str">
        <f>A133/COUNT('Lineal Mixto'!$C$5:$C$2004)</f>
      </c>
      <c r="D133" s="5" t="str">
        <f>ABS(C133-B133)</f>
      </c>
    </row>
    <row r="134">
      <c r="A134" s="6">
        <v>110</v>
      </c>
      <c r="B134" s="6" t="str">
        <f>SMALL('Lineal Mixto'!$C$5:$C$2004,A134)</f>
      </c>
      <c r="C134" s="6" t="str">
        <f>A134/COUNT('Lineal Mixto'!$C$5:$C$2004)</f>
      </c>
      <c r="D134" s="6" t="str">
        <f>ABS(C134-B134)</f>
      </c>
    </row>
    <row r="135">
      <c r="A135" s="5">
        <v>111</v>
      </c>
      <c r="B135" s="5" t="str">
        <f>SMALL('Lineal Mixto'!$C$5:$C$2004,A135)</f>
      </c>
      <c r="C135" s="5" t="str">
        <f>A135/COUNT('Lineal Mixto'!$C$5:$C$2004)</f>
      </c>
      <c r="D135" s="5" t="str">
        <f>ABS(C135-B135)</f>
      </c>
    </row>
    <row r="136">
      <c r="A136" s="6">
        <v>112</v>
      </c>
      <c r="B136" s="6" t="str">
        <f>SMALL('Lineal Mixto'!$C$5:$C$2004,A136)</f>
      </c>
      <c r="C136" s="6" t="str">
        <f>A136/COUNT('Lineal Mixto'!$C$5:$C$2004)</f>
      </c>
      <c r="D136" s="6" t="str">
        <f>ABS(C136-B136)</f>
      </c>
    </row>
    <row r="137">
      <c r="A137" s="5">
        <v>113</v>
      </c>
      <c r="B137" s="5" t="str">
        <f>SMALL('Lineal Mixto'!$C$5:$C$2004,A137)</f>
      </c>
      <c r="C137" s="5" t="str">
        <f>A137/COUNT('Lineal Mixto'!$C$5:$C$2004)</f>
      </c>
      <c r="D137" s="5" t="str">
        <f>ABS(C137-B137)</f>
      </c>
    </row>
    <row r="138">
      <c r="A138" s="6">
        <v>114</v>
      </c>
      <c r="B138" s="6" t="str">
        <f>SMALL('Lineal Mixto'!$C$5:$C$2004,A138)</f>
      </c>
      <c r="C138" s="6" t="str">
        <f>A138/COUNT('Lineal Mixto'!$C$5:$C$2004)</f>
      </c>
      <c r="D138" s="6" t="str">
        <f>ABS(C138-B138)</f>
      </c>
    </row>
    <row r="139">
      <c r="A139" s="5">
        <v>115</v>
      </c>
      <c r="B139" s="5" t="str">
        <f>SMALL('Lineal Mixto'!$C$5:$C$2004,A139)</f>
      </c>
      <c r="C139" s="5" t="str">
        <f>A139/COUNT('Lineal Mixto'!$C$5:$C$2004)</f>
      </c>
      <c r="D139" s="5" t="str">
        <f>ABS(C139-B139)</f>
      </c>
    </row>
    <row r="140">
      <c r="A140" s="6">
        <v>116</v>
      </c>
      <c r="B140" s="6" t="str">
        <f>SMALL('Lineal Mixto'!$C$5:$C$2004,A140)</f>
      </c>
      <c r="C140" s="6" t="str">
        <f>A140/COUNT('Lineal Mixto'!$C$5:$C$2004)</f>
      </c>
      <c r="D140" s="6" t="str">
        <f>ABS(C140-B140)</f>
      </c>
    </row>
    <row r="141">
      <c r="A141" s="5">
        <v>117</v>
      </c>
      <c r="B141" s="5" t="str">
        <f>SMALL('Lineal Mixto'!$C$5:$C$2004,A141)</f>
      </c>
      <c r="C141" s="5" t="str">
        <f>A141/COUNT('Lineal Mixto'!$C$5:$C$2004)</f>
      </c>
      <c r="D141" s="5" t="str">
        <f>ABS(C141-B141)</f>
      </c>
    </row>
    <row r="142">
      <c r="A142" s="6">
        <v>118</v>
      </c>
      <c r="B142" s="6" t="str">
        <f>SMALL('Lineal Mixto'!$C$5:$C$2004,A142)</f>
      </c>
      <c r="C142" s="6" t="str">
        <f>A142/COUNT('Lineal Mixto'!$C$5:$C$2004)</f>
      </c>
      <c r="D142" s="6" t="str">
        <f>ABS(C142-B142)</f>
      </c>
    </row>
    <row r="143">
      <c r="A143" s="5">
        <v>119</v>
      </c>
      <c r="B143" s="5" t="str">
        <f>SMALL('Lineal Mixto'!$C$5:$C$2004,A143)</f>
      </c>
      <c r="C143" s="5" t="str">
        <f>A143/COUNT('Lineal Mixto'!$C$5:$C$2004)</f>
      </c>
      <c r="D143" s="5" t="str">
        <f>ABS(C143-B143)</f>
      </c>
    </row>
    <row r="144">
      <c r="A144" s="6">
        <v>120</v>
      </c>
      <c r="B144" s="6" t="str">
        <f>SMALL('Lineal Mixto'!$C$5:$C$2004,A144)</f>
      </c>
      <c r="C144" s="6" t="str">
        <f>A144/COUNT('Lineal Mixto'!$C$5:$C$2004)</f>
      </c>
      <c r="D144" s="6" t="str">
        <f>ABS(C144-B144)</f>
      </c>
    </row>
    <row r="145">
      <c r="A145" s="5">
        <v>121</v>
      </c>
      <c r="B145" s="5" t="str">
        <f>SMALL('Lineal Mixto'!$C$5:$C$2004,A145)</f>
      </c>
      <c r="C145" s="5" t="str">
        <f>A145/COUNT('Lineal Mixto'!$C$5:$C$2004)</f>
      </c>
      <c r="D145" s="5" t="str">
        <f>ABS(C145-B145)</f>
      </c>
    </row>
    <row r="146">
      <c r="A146" s="6">
        <v>122</v>
      </c>
      <c r="B146" s="6" t="str">
        <f>SMALL('Lineal Mixto'!$C$5:$C$2004,A146)</f>
      </c>
      <c r="C146" s="6" t="str">
        <f>A146/COUNT('Lineal Mixto'!$C$5:$C$2004)</f>
      </c>
      <c r="D146" s="6" t="str">
        <f>ABS(C146-B146)</f>
      </c>
    </row>
    <row r="147">
      <c r="A147" s="5">
        <v>123</v>
      </c>
      <c r="B147" s="5" t="str">
        <f>SMALL('Lineal Mixto'!$C$5:$C$2004,A147)</f>
      </c>
      <c r="C147" s="5" t="str">
        <f>A147/COUNT('Lineal Mixto'!$C$5:$C$2004)</f>
      </c>
      <c r="D147" s="5" t="str">
        <f>ABS(C147-B147)</f>
      </c>
    </row>
    <row r="148">
      <c r="A148" s="6">
        <v>124</v>
      </c>
      <c r="B148" s="6" t="str">
        <f>SMALL('Lineal Mixto'!$C$5:$C$2004,A148)</f>
      </c>
      <c r="C148" s="6" t="str">
        <f>A148/COUNT('Lineal Mixto'!$C$5:$C$2004)</f>
      </c>
      <c r="D148" s="6" t="str">
        <f>ABS(C148-B148)</f>
      </c>
    </row>
    <row r="149">
      <c r="A149" s="5">
        <v>125</v>
      </c>
      <c r="B149" s="5" t="str">
        <f>SMALL('Lineal Mixto'!$C$5:$C$2004,A149)</f>
      </c>
      <c r="C149" s="5" t="str">
        <f>A149/COUNT('Lineal Mixto'!$C$5:$C$2004)</f>
      </c>
      <c r="D149" s="5" t="str">
        <f>ABS(C149-B149)</f>
      </c>
    </row>
    <row r="150">
      <c r="A150" s="6">
        <v>126</v>
      </c>
      <c r="B150" s="6" t="str">
        <f>SMALL('Lineal Mixto'!$C$5:$C$2004,A150)</f>
      </c>
      <c r="C150" s="6" t="str">
        <f>A150/COUNT('Lineal Mixto'!$C$5:$C$2004)</f>
      </c>
      <c r="D150" s="6" t="str">
        <f>ABS(C150-B150)</f>
      </c>
    </row>
    <row r="151">
      <c r="A151" s="5">
        <v>127</v>
      </c>
      <c r="B151" s="5" t="str">
        <f>SMALL('Lineal Mixto'!$C$5:$C$2004,A151)</f>
      </c>
      <c r="C151" s="5" t="str">
        <f>A151/COUNT('Lineal Mixto'!$C$5:$C$2004)</f>
      </c>
      <c r="D151" s="5" t="str">
        <f>ABS(C151-B151)</f>
      </c>
    </row>
    <row r="152">
      <c r="A152" s="6">
        <v>128</v>
      </c>
      <c r="B152" s="6" t="str">
        <f>SMALL('Lineal Mixto'!$C$5:$C$2004,A152)</f>
      </c>
      <c r="C152" s="6" t="str">
        <f>A152/COUNT('Lineal Mixto'!$C$5:$C$2004)</f>
      </c>
      <c r="D152" s="6" t="str">
        <f>ABS(C152-B152)</f>
      </c>
    </row>
    <row r="153">
      <c r="A153" s="5">
        <v>129</v>
      </c>
      <c r="B153" s="5" t="str">
        <f>SMALL('Lineal Mixto'!$C$5:$C$2004,A153)</f>
      </c>
      <c r="C153" s="5" t="str">
        <f>A153/COUNT('Lineal Mixto'!$C$5:$C$2004)</f>
      </c>
      <c r="D153" s="5" t="str">
        <f>ABS(C153-B153)</f>
      </c>
    </row>
    <row r="154">
      <c r="A154" s="6">
        <v>130</v>
      </c>
      <c r="B154" s="6" t="str">
        <f>SMALL('Lineal Mixto'!$C$5:$C$2004,A154)</f>
      </c>
      <c r="C154" s="6" t="str">
        <f>A154/COUNT('Lineal Mixto'!$C$5:$C$2004)</f>
      </c>
      <c r="D154" s="6" t="str">
        <f>ABS(C154-B154)</f>
      </c>
    </row>
    <row r="155">
      <c r="A155" s="5">
        <v>131</v>
      </c>
      <c r="B155" s="5" t="str">
        <f>SMALL('Lineal Mixto'!$C$5:$C$2004,A155)</f>
      </c>
      <c r="C155" s="5" t="str">
        <f>A155/COUNT('Lineal Mixto'!$C$5:$C$2004)</f>
      </c>
      <c r="D155" s="5" t="str">
        <f>ABS(C155-B155)</f>
      </c>
    </row>
    <row r="156">
      <c r="A156" s="6">
        <v>132</v>
      </c>
      <c r="B156" s="6" t="str">
        <f>SMALL('Lineal Mixto'!$C$5:$C$2004,A156)</f>
      </c>
      <c r="C156" s="6" t="str">
        <f>A156/COUNT('Lineal Mixto'!$C$5:$C$2004)</f>
      </c>
      <c r="D156" s="6" t="str">
        <f>ABS(C156-B156)</f>
      </c>
    </row>
    <row r="157">
      <c r="A157" s="5">
        <v>133</v>
      </c>
      <c r="B157" s="5" t="str">
        <f>SMALL('Lineal Mixto'!$C$5:$C$2004,A157)</f>
      </c>
      <c r="C157" s="5" t="str">
        <f>A157/COUNT('Lineal Mixto'!$C$5:$C$2004)</f>
      </c>
      <c r="D157" s="5" t="str">
        <f>ABS(C157-B157)</f>
      </c>
    </row>
    <row r="158">
      <c r="A158" s="6">
        <v>134</v>
      </c>
      <c r="B158" s="6" t="str">
        <f>SMALL('Lineal Mixto'!$C$5:$C$2004,A158)</f>
      </c>
      <c r="C158" s="6" t="str">
        <f>A158/COUNT('Lineal Mixto'!$C$5:$C$2004)</f>
      </c>
      <c r="D158" s="6" t="str">
        <f>ABS(C158-B158)</f>
      </c>
    </row>
    <row r="159">
      <c r="A159" s="5">
        <v>135</v>
      </c>
      <c r="B159" s="5" t="str">
        <f>SMALL('Lineal Mixto'!$C$5:$C$2004,A159)</f>
      </c>
      <c r="C159" s="5" t="str">
        <f>A159/COUNT('Lineal Mixto'!$C$5:$C$2004)</f>
      </c>
      <c r="D159" s="5" t="str">
        <f>ABS(C159-B159)</f>
      </c>
    </row>
    <row r="160">
      <c r="A160" s="6">
        <v>136</v>
      </c>
      <c r="B160" s="6" t="str">
        <f>SMALL('Lineal Mixto'!$C$5:$C$2004,A160)</f>
      </c>
      <c r="C160" s="6" t="str">
        <f>A160/COUNT('Lineal Mixto'!$C$5:$C$2004)</f>
      </c>
      <c r="D160" s="6" t="str">
        <f>ABS(C160-B160)</f>
      </c>
    </row>
    <row r="161">
      <c r="A161" s="5">
        <v>137</v>
      </c>
      <c r="B161" s="5" t="str">
        <f>SMALL('Lineal Mixto'!$C$5:$C$2004,A161)</f>
      </c>
      <c r="C161" s="5" t="str">
        <f>A161/COUNT('Lineal Mixto'!$C$5:$C$2004)</f>
      </c>
      <c r="D161" s="5" t="str">
        <f>ABS(C161-B161)</f>
      </c>
    </row>
    <row r="162">
      <c r="A162" s="6">
        <v>138</v>
      </c>
      <c r="B162" s="6" t="str">
        <f>SMALL('Lineal Mixto'!$C$5:$C$2004,A162)</f>
      </c>
      <c r="C162" s="6" t="str">
        <f>A162/COUNT('Lineal Mixto'!$C$5:$C$2004)</f>
      </c>
      <c r="D162" s="6" t="str">
        <f>ABS(C162-B162)</f>
      </c>
    </row>
    <row r="163">
      <c r="A163" s="5">
        <v>139</v>
      </c>
      <c r="B163" s="5" t="str">
        <f>SMALL('Lineal Mixto'!$C$5:$C$2004,A163)</f>
      </c>
      <c r="C163" s="5" t="str">
        <f>A163/COUNT('Lineal Mixto'!$C$5:$C$2004)</f>
      </c>
      <c r="D163" s="5" t="str">
        <f>ABS(C163-B163)</f>
      </c>
    </row>
    <row r="164">
      <c r="A164" s="6">
        <v>140</v>
      </c>
      <c r="B164" s="6" t="str">
        <f>SMALL('Lineal Mixto'!$C$5:$C$2004,A164)</f>
      </c>
      <c r="C164" s="6" t="str">
        <f>A164/COUNT('Lineal Mixto'!$C$5:$C$2004)</f>
      </c>
      <c r="D164" s="6" t="str">
        <f>ABS(C164-B164)</f>
      </c>
    </row>
    <row r="165">
      <c r="A165" s="5">
        <v>141</v>
      </c>
      <c r="B165" s="5" t="str">
        <f>SMALL('Lineal Mixto'!$C$5:$C$2004,A165)</f>
      </c>
      <c r="C165" s="5" t="str">
        <f>A165/COUNT('Lineal Mixto'!$C$5:$C$2004)</f>
      </c>
      <c r="D165" s="5" t="str">
        <f>ABS(C165-B165)</f>
      </c>
    </row>
    <row r="166">
      <c r="A166" s="6">
        <v>142</v>
      </c>
      <c r="B166" s="6" t="str">
        <f>SMALL('Lineal Mixto'!$C$5:$C$2004,A166)</f>
      </c>
      <c r="C166" s="6" t="str">
        <f>A166/COUNT('Lineal Mixto'!$C$5:$C$2004)</f>
      </c>
      <c r="D166" s="6" t="str">
        <f>ABS(C166-B166)</f>
      </c>
    </row>
    <row r="167">
      <c r="A167" s="5">
        <v>143</v>
      </c>
      <c r="B167" s="5" t="str">
        <f>SMALL('Lineal Mixto'!$C$5:$C$2004,A167)</f>
      </c>
      <c r="C167" s="5" t="str">
        <f>A167/COUNT('Lineal Mixto'!$C$5:$C$2004)</f>
      </c>
      <c r="D167" s="5" t="str">
        <f>ABS(C167-B167)</f>
      </c>
    </row>
    <row r="168">
      <c r="A168" s="6">
        <v>144</v>
      </c>
      <c r="B168" s="6" t="str">
        <f>SMALL('Lineal Mixto'!$C$5:$C$2004,A168)</f>
      </c>
      <c r="C168" s="6" t="str">
        <f>A168/COUNT('Lineal Mixto'!$C$5:$C$2004)</f>
      </c>
      <c r="D168" s="6" t="str">
        <f>ABS(C168-B168)</f>
      </c>
    </row>
    <row r="169">
      <c r="A169" s="5">
        <v>145</v>
      </c>
      <c r="B169" s="5" t="str">
        <f>SMALL('Lineal Mixto'!$C$5:$C$2004,A169)</f>
      </c>
      <c r="C169" s="5" t="str">
        <f>A169/COUNT('Lineal Mixto'!$C$5:$C$2004)</f>
      </c>
      <c r="D169" s="5" t="str">
        <f>ABS(C169-B169)</f>
      </c>
    </row>
    <row r="170">
      <c r="A170" s="6">
        <v>146</v>
      </c>
      <c r="B170" s="6" t="str">
        <f>SMALL('Lineal Mixto'!$C$5:$C$2004,A170)</f>
      </c>
      <c r="C170" s="6" t="str">
        <f>A170/COUNT('Lineal Mixto'!$C$5:$C$2004)</f>
      </c>
      <c r="D170" s="6" t="str">
        <f>ABS(C170-B170)</f>
      </c>
    </row>
    <row r="171">
      <c r="A171" s="5">
        <v>147</v>
      </c>
      <c r="B171" s="5" t="str">
        <f>SMALL('Lineal Mixto'!$C$5:$C$2004,A171)</f>
      </c>
      <c r="C171" s="5" t="str">
        <f>A171/COUNT('Lineal Mixto'!$C$5:$C$2004)</f>
      </c>
      <c r="D171" s="5" t="str">
        <f>ABS(C171-B171)</f>
      </c>
    </row>
    <row r="172">
      <c r="A172" s="6">
        <v>148</v>
      </c>
      <c r="B172" s="6" t="str">
        <f>SMALL('Lineal Mixto'!$C$5:$C$2004,A172)</f>
      </c>
      <c r="C172" s="6" t="str">
        <f>A172/COUNT('Lineal Mixto'!$C$5:$C$2004)</f>
      </c>
      <c r="D172" s="6" t="str">
        <f>ABS(C172-B172)</f>
      </c>
    </row>
    <row r="173">
      <c r="A173" s="5">
        <v>149</v>
      </c>
      <c r="B173" s="5" t="str">
        <f>SMALL('Lineal Mixto'!$C$5:$C$2004,A173)</f>
      </c>
      <c r="C173" s="5" t="str">
        <f>A173/COUNT('Lineal Mixto'!$C$5:$C$2004)</f>
      </c>
      <c r="D173" s="5" t="str">
        <f>ABS(C173-B173)</f>
      </c>
    </row>
    <row r="174">
      <c r="A174" s="6">
        <v>150</v>
      </c>
      <c r="B174" s="6" t="str">
        <f>SMALL('Lineal Mixto'!$C$5:$C$2004,A174)</f>
      </c>
      <c r="C174" s="6" t="str">
        <f>A174/COUNT('Lineal Mixto'!$C$5:$C$2004)</f>
      </c>
      <c r="D174" s="6" t="str">
        <f>ABS(C174-B174)</f>
      </c>
    </row>
    <row r="175">
      <c r="A175" s="5">
        <v>151</v>
      </c>
      <c r="B175" s="5" t="str">
        <f>SMALL('Lineal Mixto'!$C$5:$C$2004,A175)</f>
      </c>
      <c r="C175" s="5" t="str">
        <f>A175/COUNT('Lineal Mixto'!$C$5:$C$2004)</f>
      </c>
      <c r="D175" s="5" t="str">
        <f>ABS(C175-B175)</f>
      </c>
    </row>
    <row r="176">
      <c r="A176" s="6">
        <v>152</v>
      </c>
      <c r="B176" s="6" t="str">
        <f>SMALL('Lineal Mixto'!$C$5:$C$2004,A176)</f>
      </c>
      <c r="C176" s="6" t="str">
        <f>A176/COUNT('Lineal Mixto'!$C$5:$C$2004)</f>
      </c>
      <c r="D176" s="6" t="str">
        <f>ABS(C176-B176)</f>
      </c>
    </row>
    <row r="177">
      <c r="A177" s="5">
        <v>153</v>
      </c>
      <c r="B177" s="5" t="str">
        <f>SMALL('Lineal Mixto'!$C$5:$C$2004,A177)</f>
      </c>
      <c r="C177" s="5" t="str">
        <f>A177/COUNT('Lineal Mixto'!$C$5:$C$2004)</f>
      </c>
      <c r="D177" s="5" t="str">
        <f>ABS(C177-B177)</f>
      </c>
    </row>
    <row r="178">
      <c r="A178" s="6">
        <v>154</v>
      </c>
      <c r="B178" s="6" t="str">
        <f>SMALL('Lineal Mixto'!$C$5:$C$2004,A178)</f>
      </c>
      <c r="C178" s="6" t="str">
        <f>A178/COUNT('Lineal Mixto'!$C$5:$C$2004)</f>
      </c>
      <c r="D178" s="6" t="str">
        <f>ABS(C178-B178)</f>
      </c>
    </row>
    <row r="179">
      <c r="A179" s="5">
        <v>155</v>
      </c>
      <c r="B179" s="5" t="str">
        <f>SMALL('Lineal Mixto'!$C$5:$C$2004,A179)</f>
      </c>
      <c r="C179" s="5" t="str">
        <f>A179/COUNT('Lineal Mixto'!$C$5:$C$2004)</f>
      </c>
      <c r="D179" s="5" t="str">
        <f>ABS(C179-B179)</f>
      </c>
    </row>
    <row r="180">
      <c r="A180" s="6">
        <v>156</v>
      </c>
      <c r="B180" s="6" t="str">
        <f>SMALL('Lineal Mixto'!$C$5:$C$2004,A180)</f>
      </c>
      <c r="C180" s="6" t="str">
        <f>A180/COUNT('Lineal Mixto'!$C$5:$C$2004)</f>
      </c>
      <c r="D180" s="6" t="str">
        <f>ABS(C180-B180)</f>
      </c>
    </row>
    <row r="181">
      <c r="A181" s="5">
        <v>157</v>
      </c>
      <c r="B181" s="5" t="str">
        <f>SMALL('Lineal Mixto'!$C$5:$C$2004,A181)</f>
      </c>
      <c r="C181" s="5" t="str">
        <f>A181/COUNT('Lineal Mixto'!$C$5:$C$2004)</f>
      </c>
      <c r="D181" s="5" t="str">
        <f>ABS(C181-B181)</f>
      </c>
    </row>
    <row r="182">
      <c r="A182" s="6">
        <v>158</v>
      </c>
      <c r="B182" s="6" t="str">
        <f>SMALL('Lineal Mixto'!$C$5:$C$2004,A182)</f>
      </c>
      <c r="C182" s="6" t="str">
        <f>A182/COUNT('Lineal Mixto'!$C$5:$C$2004)</f>
      </c>
      <c r="D182" s="6" t="str">
        <f>ABS(C182-B182)</f>
      </c>
    </row>
    <row r="183">
      <c r="A183" s="5">
        <v>159</v>
      </c>
      <c r="B183" s="5" t="str">
        <f>SMALL('Lineal Mixto'!$C$5:$C$2004,A183)</f>
      </c>
      <c r="C183" s="5" t="str">
        <f>A183/COUNT('Lineal Mixto'!$C$5:$C$2004)</f>
      </c>
      <c r="D183" s="5" t="str">
        <f>ABS(C183-B183)</f>
      </c>
    </row>
    <row r="184">
      <c r="A184" s="6">
        <v>160</v>
      </c>
      <c r="B184" s="6" t="str">
        <f>SMALL('Lineal Mixto'!$C$5:$C$2004,A184)</f>
      </c>
      <c r="C184" s="6" t="str">
        <f>A184/COUNT('Lineal Mixto'!$C$5:$C$2004)</f>
      </c>
      <c r="D184" s="6" t="str">
        <f>ABS(C184-B184)</f>
      </c>
    </row>
    <row r="185">
      <c r="A185" s="5">
        <v>161</v>
      </c>
      <c r="B185" s="5" t="str">
        <f>SMALL('Lineal Mixto'!$C$5:$C$2004,A185)</f>
      </c>
      <c r="C185" s="5" t="str">
        <f>A185/COUNT('Lineal Mixto'!$C$5:$C$2004)</f>
      </c>
      <c r="D185" s="5" t="str">
        <f>ABS(C185-B185)</f>
      </c>
    </row>
    <row r="186">
      <c r="A186" s="6">
        <v>162</v>
      </c>
      <c r="B186" s="6" t="str">
        <f>SMALL('Lineal Mixto'!$C$5:$C$2004,A186)</f>
      </c>
      <c r="C186" s="6" t="str">
        <f>A186/COUNT('Lineal Mixto'!$C$5:$C$2004)</f>
      </c>
      <c r="D186" s="6" t="str">
        <f>ABS(C186-B186)</f>
      </c>
    </row>
    <row r="187">
      <c r="A187" s="5">
        <v>163</v>
      </c>
      <c r="B187" s="5" t="str">
        <f>SMALL('Lineal Mixto'!$C$5:$C$2004,A187)</f>
      </c>
      <c r="C187" s="5" t="str">
        <f>A187/COUNT('Lineal Mixto'!$C$5:$C$2004)</f>
      </c>
      <c r="D187" s="5" t="str">
        <f>ABS(C187-B187)</f>
      </c>
    </row>
    <row r="188">
      <c r="A188" s="6">
        <v>164</v>
      </c>
      <c r="B188" s="6" t="str">
        <f>SMALL('Lineal Mixto'!$C$5:$C$2004,A188)</f>
      </c>
      <c r="C188" s="6" t="str">
        <f>A188/COUNT('Lineal Mixto'!$C$5:$C$2004)</f>
      </c>
      <c r="D188" s="6" t="str">
        <f>ABS(C188-B188)</f>
      </c>
    </row>
    <row r="189">
      <c r="A189" s="5">
        <v>165</v>
      </c>
      <c r="B189" s="5" t="str">
        <f>SMALL('Lineal Mixto'!$C$5:$C$2004,A189)</f>
      </c>
      <c r="C189" s="5" t="str">
        <f>A189/COUNT('Lineal Mixto'!$C$5:$C$2004)</f>
      </c>
      <c r="D189" s="5" t="str">
        <f>ABS(C189-B189)</f>
      </c>
    </row>
    <row r="190">
      <c r="A190" s="6">
        <v>166</v>
      </c>
      <c r="B190" s="6" t="str">
        <f>SMALL('Lineal Mixto'!$C$5:$C$2004,A190)</f>
      </c>
      <c r="C190" s="6" t="str">
        <f>A190/COUNT('Lineal Mixto'!$C$5:$C$2004)</f>
      </c>
      <c r="D190" s="6" t="str">
        <f>ABS(C190-B190)</f>
      </c>
    </row>
    <row r="191">
      <c r="A191" s="5">
        <v>167</v>
      </c>
      <c r="B191" s="5" t="str">
        <f>SMALL('Lineal Mixto'!$C$5:$C$2004,A191)</f>
      </c>
      <c r="C191" s="5" t="str">
        <f>A191/COUNT('Lineal Mixto'!$C$5:$C$2004)</f>
      </c>
      <c r="D191" s="5" t="str">
        <f>ABS(C191-B191)</f>
      </c>
    </row>
    <row r="192">
      <c r="A192" s="6">
        <v>168</v>
      </c>
      <c r="B192" s="6" t="str">
        <f>SMALL('Lineal Mixto'!$C$5:$C$2004,A192)</f>
      </c>
      <c r="C192" s="6" t="str">
        <f>A192/COUNT('Lineal Mixto'!$C$5:$C$2004)</f>
      </c>
      <c r="D192" s="6" t="str">
        <f>ABS(C192-B192)</f>
      </c>
    </row>
    <row r="193">
      <c r="A193" s="5">
        <v>169</v>
      </c>
      <c r="B193" s="5" t="str">
        <f>SMALL('Lineal Mixto'!$C$5:$C$2004,A193)</f>
      </c>
      <c r="C193" s="5" t="str">
        <f>A193/COUNT('Lineal Mixto'!$C$5:$C$2004)</f>
      </c>
      <c r="D193" s="5" t="str">
        <f>ABS(C193-B193)</f>
      </c>
    </row>
    <row r="194">
      <c r="A194" s="6">
        <v>170</v>
      </c>
      <c r="B194" s="6" t="str">
        <f>SMALL('Lineal Mixto'!$C$5:$C$2004,A194)</f>
      </c>
      <c r="C194" s="6" t="str">
        <f>A194/COUNT('Lineal Mixto'!$C$5:$C$2004)</f>
      </c>
      <c r="D194" s="6" t="str">
        <f>ABS(C194-B194)</f>
      </c>
    </row>
    <row r="195">
      <c r="A195" s="5">
        <v>171</v>
      </c>
      <c r="B195" s="5" t="str">
        <f>SMALL('Lineal Mixto'!$C$5:$C$2004,A195)</f>
      </c>
      <c r="C195" s="5" t="str">
        <f>A195/COUNT('Lineal Mixto'!$C$5:$C$2004)</f>
      </c>
      <c r="D195" s="5" t="str">
        <f>ABS(C195-B195)</f>
      </c>
    </row>
    <row r="196">
      <c r="A196" s="6">
        <v>172</v>
      </c>
      <c r="B196" s="6" t="str">
        <f>SMALL('Lineal Mixto'!$C$5:$C$2004,A196)</f>
      </c>
      <c r="C196" s="6" t="str">
        <f>A196/COUNT('Lineal Mixto'!$C$5:$C$2004)</f>
      </c>
      <c r="D196" s="6" t="str">
        <f>ABS(C196-B196)</f>
      </c>
    </row>
    <row r="197">
      <c r="A197" s="5">
        <v>173</v>
      </c>
      <c r="B197" s="5" t="str">
        <f>SMALL('Lineal Mixto'!$C$5:$C$2004,A197)</f>
      </c>
      <c r="C197" s="5" t="str">
        <f>A197/COUNT('Lineal Mixto'!$C$5:$C$2004)</f>
      </c>
      <c r="D197" s="5" t="str">
        <f>ABS(C197-B197)</f>
      </c>
    </row>
    <row r="198">
      <c r="A198" s="6">
        <v>174</v>
      </c>
      <c r="B198" s="6" t="str">
        <f>SMALL('Lineal Mixto'!$C$5:$C$2004,A198)</f>
      </c>
      <c r="C198" s="6" t="str">
        <f>A198/COUNT('Lineal Mixto'!$C$5:$C$2004)</f>
      </c>
      <c r="D198" s="6" t="str">
        <f>ABS(C198-B198)</f>
      </c>
    </row>
    <row r="199">
      <c r="A199" s="5">
        <v>175</v>
      </c>
      <c r="B199" s="5" t="str">
        <f>SMALL('Lineal Mixto'!$C$5:$C$2004,A199)</f>
      </c>
      <c r="C199" s="5" t="str">
        <f>A199/COUNT('Lineal Mixto'!$C$5:$C$2004)</f>
      </c>
      <c r="D199" s="5" t="str">
        <f>ABS(C199-B199)</f>
      </c>
    </row>
    <row r="200">
      <c r="A200" s="6">
        <v>176</v>
      </c>
      <c r="B200" s="6" t="str">
        <f>SMALL('Lineal Mixto'!$C$5:$C$2004,A200)</f>
      </c>
      <c r="C200" s="6" t="str">
        <f>A200/COUNT('Lineal Mixto'!$C$5:$C$2004)</f>
      </c>
      <c r="D200" s="6" t="str">
        <f>ABS(C200-B200)</f>
      </c>
    </row>
    <row r="201">
      <c r="A201" s="5">
        <v>177</v>
      </c>
      <c r="B201" s="5" t="str">
        <f>SMALL('Lineal Mixto'!$C$5:$C$2004,A201)</f>
      </c>
      <c r="C201" s="5" t="str">
        <f>A201/COUNT('Lineal Mixto'!$C$5:$C$2004)</f>
      </c>
      <c r="D201" s="5" t="str">
        <f>ABS(C201-B201)</f>
      </c>
    </row>
    <row r="202">
      <c r="A202" s="6">
        <v>178</v>
      </c>
      <c r="B202" s="6" t="str">
        <f>SMALL('Lineal Mixto'!$C$5:$C$2004,A202)</f>
      </c>
      <c r="C202" s="6" t="str">
        <f>A202/COUNT('Lineal Mixto'!$C$5:$C$2004)</f>
      </c>
      <c r="D202" s="6" t="str">
        <f>ABS(C202-B202)</f>
      </c>
    </row>
    <row r="203">
      <c r="A203" s="5">
        <v>179</v>
      </c>
      <c r="B203" s="5" t="str">
        <f>SMALL('Lineal Mixto'!$C$5:$C$2004,A203)</f>
      </c>
      <c r="C203" s="5" t="str">
        <f>A203/COUNT('Lineal Mixto'!$C$5:$C$2004)</f>
      </c>
      <c r="D203" s="5" t="str">
        <f>ABS(C203-B203)</f>
      </c>
    </row>
    <row r="204">
      <c r="A204" s="6">
        <v>180</v>
      </c>
      <c r="B204" s="6" t="str">
        <f>SMALL('Lineal Mixto'!$C$5:$C$2004,A204)</f>
      </c>
      <c r="C204" s="6" t="str">
        <f>A204/COUNT('Lineal Mixto'!$C$5:$C$2004)</f>
      </c>
      <c r="D204" s="6" t="str">
        <f>ABS(C204-B204)</f>
      </c>
    </row>
    <row r="205">
      <c r="A205" s="5">
        <v>181</v>
      </c>
      <c r="B205" s="5" t="str">
        <f>SMALL('Lineal Mixto'!$C$5:$C$2004,A205)</f>
      </c>
      <c r="C205" s="5" t="str">
        <f>A205/COUNT('Lineal Mixto'!$C$5:$C$2004)</f>
      </c>
      <c r="D205" s="5" t="str">
        <f>ABS(C205-B205)</f>
      </c>
    </row>
    <row r="206">
      <c r="A206" s="6">
        <v>182</v>
      </c>
      <c r="B206" s="6" t="str">
        <f>SMALL('Lineal Mixto'!$C$5:$C$2004,A206)</f>
      </c>
      <c r="C206" s="6" t="str">
        <f>A206/COUNT('Lineal Mixto'!$C$5:$C$2004)</f>
      </c>
      <c r="D206" s="6" t="str">
        <f>ABS(C206-B206)</f>
      </c>
    </row>
    <row r="207">
      <c r="A207" s="5">
        <v>183</v>
      </c>
      <c r="B207" s="5" t="str">
        <f>SMALL('Lineal Mixto'!$C$5:$C$2004,A207)</f>
      </c>
      <c r="C207" s="5" t="str">
        <f>A207/COUNT('Lineal Mixto'!$C$5:$C$2004)</f>
      </c>
      <c r="D207" s="5" t="str">
        <f>ABS(C207-B207)</f>
      </c>
    </row>
    <row r="208">
      <c r="A208" s="6">
        <v>184</v>
      </c>
      <c r="B208" s="6" t="str">
        <f>SMALL('Lineal Mixto'!$C$5:$C$2004,A208)</f>
      </c>
      <c r="C208" s="6" t="str">
        <f>A208/COUNT('Lineal Mixto'!$C$5:$C$2004)</f>
      </c>
      <c r="D208" s="6" t="str">
        <f>ABS(C208-B208)</f>
      </c>
    </row>
    <row r="209">
      <c r="A209" s="5">
        <v>185</v>
      </c>
      <c r="B209" s="5" t="str">
        <f>SMALL('Lineal Mixto'!$C$5:$C$2004,A209)</f>
      </c>
      <c r="C209" s="5" t="str">
        <f>A209/COUNT('Lineal Mixto'!$C$5:$C$2004)</f>
      </c>
      <c r="D209" s="5" t="str">
        <f>ABS(C209-B209)</f>
      </c>
    </row>
    <row r="210">
      <c r="A210" s="6">
        <v>186</v>
      </c>
      <c r="B210" s="6" t="str">
        <f>SMALL('Lineal Mixto'!$C$5:$C$2004,A210)</f>
      </c>
      <c r="C210" s="6" t="str">
        <f>A210/COUNT('Lineal Mixto'!$C$5:$C$2004)</f>
      </c>
      <c r="D210" s="6" t="str">
        <f>ABS(C210-B210)</f>
      </c>
    </row>
    <row r="211">
      <c r="A211" s="5">
        <v>187</v>
      </c>
      <c r="B211" s="5" t="str">
        <f>SMALL('Lineal Mixto'!$C$5:$C$2004,A211)</f>
      </c>
      <c r="C211" s="5" t="str">
        <f>A211/COUNT('Lineal Mixto'!$C$5:$C$2004)</f>
      </c>
      <c r="D211" s="5" t="str">
        <f>ABS(C211-B211)</f>
      </c>
    </row>
    <row r="212">
      <c r="A212" s="6">
        <v>188</v>
      </c>
      <c r="B212" s="6" t="str">
        <f>SMALL('Lineal Mixto'!$C$5:$C$2004,A212)</f>
      </c>
      <c r="C212" s="6" t="str">
        <f>A212/COUNT('Lineal Mixto'!$C$5:$C$2004)</f>
      </c>
      <c r="D212" s="6" t="str">
        <f>ABS(C212-B212)</f>
      </c>
    </row>
    <row r="213">
      <c r="A213" s="5">
        <v>189</v>
      </c>
      <c r="B213" s="5" t="str">
        <f>SMALL('Lineal Mixto'!$C$5:$C$2004,A213)</f>
      </c>
      <c r="C213" s="5" t="str">
        <f>A213/COUNT('Lineal Mixto'!$C$5:$C$2004)</f>
      </c>
      <c r="D213" s="5" t="str">
        <f>ABS(C213-B213)</f>
      </c>
    </row>
    <row r="214">
      <c r="A214" s="6">
        <v>190</v>
      </c>
      <c r="B214" s="6" t="str">
        <f>SMALL('Lineal Mixto'!$C$5:$C$2004,A214)</f>
      </c>
      <c r="C214" s="6" t="str">
        <f>A214/COUNT('Lineal Mixto'!$C$5:$C$2004)</f>
      </c>
      <c r="D214" s="6" t="str">
        <f>ABS(C214-B214)</f>
      </c>
    </row>
    <row r="215">
      <c r="A215" s="5">
        <v>191</v>
      </c>
      <c r="B215" s="5" t="str">
        <f>SMALL('Lineal Mixto'!$C$5:$C$2004,A215)</f>
      </c>
      <c r="C215" s="5" t="str">
        <f>A215/COUNT('Lineal Mixto'!$C$5:$C$2004)</f>
      </c>
      <c r="D215" s="5" t="str">
        <f>ABS(C215-B215)</f>
      </c>
    </row>
    <row r="216">
      <c r="A216" s="6">
        <v>192</v>
      </c>
      <c r="B216" s="6" t="str">
        <f>SMALL('Lineal Mixto'!$C$5:$C$2004,A216)</f>
      </c>
      <c r="C216" s="6" t="str">
        <f>A216/COUNT('Lineal Mixto'!$C$5:$C$2004)</f>
      </c>
      <c r="D216" s="6" t="str">
        <f>ABS(C216-B216)</f>
      </c>
    </row>
    <row r="217">
      <c r="A217" s="5">
        <v>193</v>
      </c>
      <c r="B217" s="5" t="str">
        <f>SMALL('Lineal Mixto'!$C$5:$C$2004,A217)</f>
      </c>
      <c r="C217" s="5" t="str">
        <f>A217/COUNT('Lineal Mixto'!$C$5:$C$2004)</f>
      </c>
      <c r="D217" s="5" t="str">
        <f>ABS(C217-B217)</f>
      </c>
    </row>
    <row r="218">
      <c r="A218" s="6">
        <v>194</v>
      </c>
      <c r="B218" s="6" t="str">
        <f>SMALL('Lineal Mixto'!$C$5:$C$2004,A218)</f>
      </c>
      <c r="C218" s="6" t="str">
        <f>A218/COUNT('Lineal Mixto'!$C$5:$C$2004)</f>
      </c>
      <c r="D218" s="6" t="str">
        <f>ABS(C218-B218)</f>
      </c>
    </row>
    <row r="219">
      <c r="A219" s="5">
        <v>195</v>
      </c>
      <c r="B219" s="5" t="str">
        <f>SMALL('Lineal Mixto'!$C$5:$C$2004,A219)</f>
      </c>
      <c r="C219" s="5" t="str">
        <f>A219/COUNT('Lineal Mixto'!$C$5:$C$2004)</f>
      </c>
      <c r="D219" s="5" t="str">
        <f>ABS(C219-B219)</f>
      </c>
    </row>
    <row r="220">
      <c r="A220" s="6">
        <v>196</v>
      </c>
      <c r="B220" s="6" t="str">
        <f>SMALL('Lineal Mixto'!$C$5:$C$2004,A220)</f>
      </c>
      <c r="C220" s="6" t="str">
        <f>A220/COUNT('Lineal Mixto'!$C$5:$C$2004)</f>
      </c>
      <c r="D220" s="6" t="str">
        <f>ABS(C220-B220)</f>
      </c>
    </row>
    <row r="221">
      <c r="A221" s="5">
        <v>197</v>
      </c>
      <c r="B221" s="5" t="str">
        <f>SMALL('Lineal Mixto'!$C$5:$C$2004,A221)</f>
      </c>
      <c r="C221" s="5" t="str">
        <f>A221/COUNT('Lineal Mixto'!$C$5:$C$2004)</f>
      </c>
      <c r="D221" s="5" t="str">
        <f>ABS(C221-B221)</f>
      </c>
    </row>
    <row r="222">
      <c r="A222" s="6">
        <v>198</v>
      </c>
      <c r="B222" s="6" t="str">
        <f>SMALL('Lineal Mixto'!$C$5:$C$2004,A222)</f>
      </c>
      <c r="C222" s="6" t="str">
        <f>A222/COUNT('Lineal Mixto'!$C$5:$C$2004)</f>
      </c>
      <c r="D222" s="6" t="str">
        <f>ABS(C222-B222)</f>
      </c>
    </row>
    <row r="223">
      <c r="A223" s="5">
        <v>199</v>
      </c>
      <c r="B223" s="5" t="str">
        <f>SMALL('Lineal Mixto'!$C$5:$C$2004,A223)</f>
      </c>
      <c r="C223" s="5" t="str">
        <f>A223/COUNT('Lineal Mixto'!$C$5:$C$2004)</f>
      </c>
      <c r="D223" s="5" t="str">
        <f>ABS(C223-B223)</f>
      </c>
    </row>
    <row r="224">
      <c r="A224" s="6">
        <v>200</v>
      </c>
      <c r="B224" s="6" t="str">
        <f>SMALL('Lineal Mixto'!$C$5:$C$2004,A224)</f>
      </c>
      <c r="C224" s="6" t="str">
        <f>A224/COUNT('Lineal Mixto'!$C$5:$C$2004)</f>
      </c>
      <c r="D224" s="6" t="str">
        <f>ABS(C224-B224)</f>
      </c>
    </row>
    <row r="225">
      <c r="A225" s="5">
        <v>201</v>
      </c>
      <c r="B225" s="5" t="str">
        <f>SMALL('Lineal Mixto'!$C$5:$C$2004,A225)</f>
      </c>
      <c r="C225" s="5" t="str">
        <f>A225/COUNT('Lineal Mixto'!$C$5:$C$2004)</f>
      </c>
      <c r="D225" s="5" t="str">
        <f>ABS(C225-B225)</f>
      </c>
    </row>
    <row r="226">
      <c r="A226" s="6">
        <v>202</v>
      </c>
      <c r="B226" s="6" t="str">
        <f>SMALL('Lineal Mixto'!$C$5:$C$2004,A226)</f>
      </c>
      <c r="C226" s="6" t="str">
        <f>A226/COUNT('Lineal Mixto'!$C$5:$C$2004)</f>
      </c>
      <c r="D226" s="6" t="str">
        <f>ABS(C226-B226)</f>
      </c>
    </row>
    <row r="227">
      <c r="A227" s="5">
        <v>203</v>
      </c>
      <c r="B227" s="5" t="str">
        <f>SMALL('Lineal Mixto'!$C$5:$C$2004,A227)</f>
      </c>
      <c r="C227" s="5" t="str">
        <f>A227/COUNT('Lineal Mixto'!$C$5:$C$2004)</f>
      </c>
      <c r="D227" s="5" t="str">
        <f>ABS(C227-B227)</f>
      </c>
    </row>
    <row r="228">
      <c r="A228" s="6">
        <v>204</v>
      </c>
      <c r="B228" s="6" t="str">
        <f>SMALL('Lineal Mixto'!$C$5:$C$2004,A228)</f>
      </c>
      <c r="C228" s="6" t="str">
        <f>A228/COUNT('Lineal Mixto'!$C$5:$C$2004)</f>
      </c>
      <c r="D228" s="6" t="str">
        <f>ABS(C228-B228)</f>
      </c>
    </row>
    <row r="229">
      <c r="A229" s="5">
        <v>205</v>
      </c>
      <c r="B229" s="5" t="str">
        <f>SMALL('Lineal Mixto'!$C$5:$C$2004,A229)</f>
      </c>
      <c r="C229" s="5" t="str">
        <f>A229/COUNT('Lineal Mixto'!$C$5:$C$2004)</f>
      </c>
      <c r="D229" s="5" t="str">
        <f>ABS(C229-B229)</f>
      </c>
    </row>
    <row r="230">
      <c r="A230" s="6">
        <v>206</v>
      </c>
      <c r="B230" s="6" t="str">
        <f>SMALL('Lineal Mixto'!$C$5:$C$2004,A230)</f>
      </c>
      <c r="C230" s="6" t="str">
        <f>A230/COUNT('Lineal Mixto'!$C$5:$C$2004)</f>
      </c>
      <c r="D230" s="6" t="str">
        <f>ABS(C230-B230)</f>
      </c>
    </row>
    <row r="231">
      <c r="A231" s="5">
        <v>207</v>
      </c>
      <c r="B231" s="5" t="str">
        <f>SMALL('Lineal Mixto'!$C$5:$C$2004,A231)</f>
      </c>
      <c r="C231" s="5" t="str">
        <f>A231/COUNT('Lineal Mixto'!$C$5:$C$2004)</f>
      </c>
      <c r="D231" s="5" t="str">
        <f>ABS(C231-B231)</f>
      </c>
    </row>
    <row r="232">
      <c r="A232" s="6">
        <v>208</v>
      </c>
      <c r="B232" s="6" t="str">
        <f>SMALL('Lineal Mixto'!$C$5:$C$2004,A232)</f>
      </c>
      <c r="C232" s="6" t="str">
        <f>A232/COUNT('Lineal Mixto'!$C$5:$C$2004)</f>
      </c>
      <c r="D232" s="6" t="str">
        <f>ABS(C232-B232)</f>
      </c>
    </row>
    <row r="233">
      <c r="A233" s="5">
        <v>209</v>
      </c>
      <c r="B233" s="5" t="str">
        <f>SMALL('Lineal Mixto'!$C$5:$C$2004,A233)</f>
      </c>
      <c r="C233" s="5" t="str">
        <f>A233/COUNT('Lineal Mixto'!$C$5:$C$2004)</f>
      </c>
      <c r="D233" s="5" t="str">
        <f>ABS(C233-B233)</f>
      </c>
    </row>
    <row r="234">
      <c r="A234" s="6">
        <v>210</v>
      </c>
      <c r="B234" s="6" t="str">
        <f>SMALL('Lineal Mixto'!$C$5:$C$2004,A234)</f>
      </c>
      <c r="C234" s="6" t="str">
        <f>A234/COUNT('Lineal Mixto'!$C$5:$C$2004)</f>
      </c>
      <c r="D234" s="6" t="str">
        <f>ABS(C234-B234)</f>
      </c>
    </row>
    <row r="235">
      <c r="A235" s="5">
        <v>211</v>
      </c>
      <c r="B235" s="5" t="str">
        <f>SMALL('Lineal Mixto'!$C$5:$C$2004,A235)</f>
      </c>
      <c r="C235" s="5" t="str">
        <f>A235/COUNT('Lineal Mixto'!$C$5:$C$2004)</f>
      </c>
      <c r="D235" s="5" t="str">
        <f>ABS(C235-B235)</f>
      </c>
    </row>
    <row r="236">
      <c r="A236" s="6">
        <v>212</v>
      </c>
      <c r="B236" s="6" t="str">
        <f>SMALL('Lineal Mixto'!$C$5:$C$2004,A236)</f>
      </c>
      <c r="C236" s="6" t="str">
        <f>A236/COUNT('Lineal Mixto'!$C$5:$C$2004)</f>
      </c>
      <c r="D236" s="6" t="str">
        <f>ABS(C236-B236)</f>
      </c>
    </row>
    <row r="237">
      <c r="A237" s="5">
        <v>213</v>
      </c>
      <c r="B237" s="5" t="str">
        <f>SMALL('Lineal Mixto'!$C$5:$C$2004,A237)</f>
      </c>
      <c r="C237" s="5" t="str">
        <f>A237/COUNT('Lineal Mixto'!$C$5:$C$2004)</f>
      </c>
      <c r="D237" s="5" t="str">
        <f>ABS(C237-B237)</f>
      </c>
    </row>
    <row r="238">
      <c r="A238" s="6">
        <v>214</v>
      </c>
      <c r="B238" s="6" t="str">
        <f>SMALL('Lineal Mixto'!$C$5:$C$2004,A238)</f>
      </c>
      <c r="C238" s="6" t="str">
        <f>A238/COUNT('Lineal Mixto'!$C$5:$C$2004)</f>
      </c>
      <c r="D238" s="6" t="str">
        <f>ABS(C238-B238)</f>
      </c>
    </row>
    <row r="239">
      <c r="A239" s="5">
        <v>215</v>
      </c>
      <c r="B239" s="5" t="str">
        <f>SMALL('Lineal Mixto'!$C$5:$C$2004,A239)</f>
      </c>
      <c r="C239" s="5" t="str">
        <f>A239/COUNT('Lineal Mixto'!$C$5:$C$2004)</f>
      </c>
      <c r="D239" s="5" t="str">
        <f>ABS(C239-B239)</f>
      </c>
    </row>
    <row r="240">
      <c r="A240" s="6">
        <v>216</v>
      </c>
      <c r="B240" s="6" t="str">
        <f>SMALL('Lineal Mixto'!$C$5:$C$2004,A240)</f>
      </c>
      <c r="C240" s="6" t="str">
        <f>A240/COUNT('Lineal Mixto'!$C$5:$C$2004)</f>
      </c>
      <c r="D240" s="6" t="str">
        <f>ABS(C240-B240)</f>
      </c>
    </row>
    <row r="241">
      <c r="A241" s="5">
        <v>217</v>
      </c>
      <c r="B241" s="5" t="str">
        <f>SMALL('Lineal Mixto'!$C$5:$C$2004,A241)</f>
      </c>
      <c r="C241" s="5" t="str">
        <f>A241/COUNT('Lineal Mixto'!$C$5:$C$2004)</f>
      </c>
      <c r="D241" s="5" t="str">
        <f>ABS(C241-B241)</f>
      </c>
    </row>
    <row r="242">
      <c r="A242" s="6">
        <v>218</v>
      </c>
      <c r="B242" s="6" t="str">
        <f>SMALL('Lineal Mixto'!$C$5:$C$2004,A242)</f>
      </c>
      <c r="C242" s="6" t="str">
        <f>A242/COUNT('Lineal Mixto'!$C$5:$C$2004)</f>
      </c>
      <c r="D242" s="6" t="str">
        <f>ABS(C242-B242)</f>
      </c>
    </row>
    <row r="243">
      <c r="A243" s="5">
        <v>219</v>
      </c>
      <c r="B243" s="5" t="str">
        <f>SMALL('Lineal Mixto'!$C$5:$C$2004,A243)</f>
      </c>
      <c r="C243" s="5" t="str">
        <f>A243/COUNT('Lineal Mixto'!$C$5:$C$2004)</f>
      </c>
      <c r="D243" s="5" t="str">
        <f>ABS(C243-B243)</f>
      </c>
    </row>
    <row r="244">
      <c r="A244" s="6">
        <v>220</v>
      </c>
      <c r="B244" s="6" t="str">
        <f>SMALL('Lineal Mixto'!$C$5:$C$2004,A244)</f>
      </c>
      <c r="C244" s="6" t="str">
        <f>A244/COUNT('Lineal Mixto'!$C$5:$C$2004)</f>
      </c>
      <c r="D244" s="6" t="str">
        <f>ABS(C244-B244)</f>
      </c>
    </row>
    <row r="245">
      <c r="A245" s="5">
        <v>221</v>
      </c>
      <c r="B245" s="5" t="str">
        <f>SMALL('Lineal Mixto'!$C$5:$C$2004,A245)</f>
      </c>
      <c r="C245" s="5" t="str">
        <f>A245/COUNT('Lineal Mixto'!$C$5:$C$2004)</f>
      </c>
      <c r="D245" s="5" t="str">
        <f>ABS(C245-B245)</f>
      </c>
    </row>
    <row r="246">
      <c r="A246" s="6">
        <v>222</v>
      </c>
      <c r="B246" s="6" t="str">
        <f>SMALL('Lineal Mixto'!$C$5:$C$2004,A246)</f>
      </c>
      <c r="C246" s="6" t="str">
        <f>A246/COUNT('Lineal Mixto'!$C$5:$C$2004)</f>
      </c>
      <c r="D246" s="6" t="str">
        <f>ABS(C246-B246)</f>
      </c>
    </row>
    <row r="247">
      <c r="A247" s="5">
        <v>223</v>
      </c>
      <c r="B247" s="5" t="str">
        <f>SMALL('Lineal Mixto'!$C$5:$C$2004,A247)</f>
      </c>
      <c r="C247" s="5" t="str">
        <f>A247/COUNT('Lineal Mixto'!$C$5:$C$2004)</f>
      </c>
      <c r="D247" s="5" t="str">
        <f>ABS(C247-B247)</f>
      </c>
    </row>
    <row r="248">
      <c r="A248" s="6">
        <v>224</v>
      </c>
      <c r="B248" s="6" t="str">
        <f>SMALL('Lineal Mixto'!$C$5:$C$2004,A248)</f>
      </c>
      <c r="C248" s="6" t="str">
        <f>A248/COUNT('Lineal Mixto'!$C$5:$C$2004)</f>
      </c>
      <c r="D248" s="6" t="str">
        <f>ABS(C248-B248)</f>
      </c>
    </row>
    <row r="249">
      <c r="A249" s="5">
        <v>225</v>
      </c>
      <c r="B249" s="5" t="str">
        <f>SMALL('Lineal Mixto'!$C$5:$C$2004,A249)</f>
      </c>
      <c r="C249" s="5" t="str">
        <f>A249/COUNT('Lineal Mixto'!$C$5:$C$2004)</f>
      </c>
      <c r="D249" s="5" t="str">
        <f>ABS(C249-B249)</f>
      </c>
    </row>
    <row r="250">
      <c r="A250" s="6">
        <v>226</v>
      </c>
      <c r="B250" s="6" t="str">
        <f>SMALL('Lineal Mixto'!$C$5:$C$2004,A250)</f>
      </c>
      <c r="C250" s="6" t="str">
        <f>A250/COUNT('Lineal Mixto'!$C$5:$C$2004)</f>
      </c>
      <c r="D250" s="6" t="str">
        <f>ABS(C250-B250)</f>
      </c>
    </row>
    <row r="251">
      <c r="A251" s="5">
        <v>227</v>
      </c>
      <c r="B251" s="5" t="str">
        <f>SMALL('Lineal Mixto'!$C$5:$C$2004,A251)</f>
      </c>
      <c r="C251" s="5" t="str">
        <f>A251/COUNT('Lineal Mixto'!$C$5:$C$2004)</f>
      </c>
      <c r="D251" s="5" t="str">
        <f>ABS(C251-B251)</f>
      </c>
    </row>
    <row r="252">
      <c r="A252" s="6">
        <v>228</v>
      </c>
      <c r="B252" s="6" t="str">
        <f>SMALL('Lineal Mixto'!$C$5:$C$2004,A252)</f>
      </c>
      <c r="C252" s="6" t="str">
        <f>A252/COUNT('Lineal Mixto'!$C$5:$C$2004)</f>
      </c>
      <c r="D252" s="6" t="str">
        <f>ABS(C252-B252)</f>
      </c>
    </row>
    <row r="253">
      <c r="A253" s="5">
        <v>229</v>
      </c>
      <c r="B253" s="5" t="str">
        <f>SMALL('Lineal Mixto'!$C$5:$C$2004,A253)</f>
      </c>
      <c r="C253" s="5" t="str">
        <f>A253/COUNT('Lineal Mixto'!$C$5:$C$2004)</f>
      </c>
      <c r="D253" s="5" t="str">
        <f>ABS(C253-B253)</f>
      </c>
    </row>
    <row r="254">
      <c r="A254" s="6">
        <v>230</v>
      </c>
      <c r="B254" s="6" t="str">
        <f>SMALL('Lineal Mixto'!$C$5:$C$2004,A254)</f>
      </c>
      <c r="C254" s="6" t="str">
        <f>A254/COUNT('Lineal Mixto'!$C$5:$C$2004)</f>
      </c>
      <c r="D254" s="6" t="str">
        <f>ABS(C254-B254)</f>
      </c>
    </row>
    <row r="255">
      <c r="A255" s="5">
        <v>231</v>
      </c>
      <c r="B255" s="5" t="str">
        <f>SMALL('Lineal Mixto'!$C$5:$C$2004,A255)</f>
      </c>
      <c r="C255" s="5" t="str">
        <f>A255/COUNT('Lineal Mixto'!$C$5:$C$2004)</f>
      </c>
      <c r="D255" s="5" t="str">
        <f>ABS(C255-B255)</f>
      </c>
    </row>
    <row r="256">
      <c r="A256" s="6">
        <v>232</v>
      </c>
      <c r="B256" s="6" t="str">
        <f>SMALL('Lineal Mixto'!$C$5:$C$2004,A256)</f>
      </c>
      <c r="C256" s="6" t="str">
        <f>A256/COUNT('Lineal Mixto'!$C$5:$C$2004)</f>
      </c>
      <c r="D256" s="6" t="str">
        <f>ABS(C256-B256)</f>
      </c>
    </row>
    <row r="257">
      <c r="A257" s="5">
        <v>233</v>
      </c>
      <c r="B257" s="5" t="str">
        <f>SMALL('Lineal Mixto'!$C$5:$C$2004,A257)</f>
      </c>
      <c r="C257" s="5" t="str">
        <f>A257/COUNT('Lineal Mixto'!$C$5:$C$2004)</f>
      </c>
      <c r="D257" s="5" t="str">
        <f>ABS(C257-B257)</f>
      </c>
    </row>
    <row r="258">
      <c r="A258" s="6">
        <v>234</v>
      </c>
      <c r="B258" s="6" t="str">
        <f>SMALL('Lineal Mixto'!$C$5:$C$2004,A258)</f>
      </c>
      <c r="C258" s="6" t="str">
        <f>A258/COUNT('Lineal Mixto'!$C$5:$C$2004)</f>
      </c>
      <c r="D258" s="6" t="str">
        <f>ABS(C258-B258)</f>
      </c>
    </row>
    <row r="259">
      <c r="A259" s="5">
        <v>235</v>
      </c>
      <c r="B259" s="5" t="str">
        <f>SMALL('Lineal Mixto'!$C$5:$C$2004,A259)</f>
      </c>
      <c r="C259" s="5" t="str">
        <f>A259/COUNT('Lineal Mixto'!$C$5:$C$2004)</f>
      </c>
      <c r="D259" s="5" t="str">
        <f>ABS(C259-B259)</f>
      </c>
    </row>
    <row r="260">
      <c r="A260" s="6">
        <v>236</v>
      </c>
      <c r="B260" s="6" t="str">
        <f>SMALL('Lineal Mixto'!$C$5:$C$2004,A260)</f>
      </c>
      <c r="C260" s="6" t="str">
        <f>A260/COUNT('Lineal Mixto'!$C$5:$C$2004)</f>
      </c>
      <c r="D260" s="6" t="str">
        <f>ABS(C260-B260)</f>
      </c>
    </row>
    <row r="261">
      <c r="A261" s="5">
        <v>237</v>
      </c>
      <c r="B261" s="5" t="str">
        <f>SMALL('Lineal Mixto'!$C$5:$C$2004,A261)</f>
      </c>
      <c r="C261" s="5" t="str">
        <f>A261/COUNT('Lineal Mixto'!$C$5:$C$2004)</f>
      </c>
      <c r="D261" s="5" t="str">
        <f>ABS(C261-B261)</f>
      </c>
    </row>
    <row r="262">
      <c r="A262" s="6">
        <v>238</v>
      </c>
      <c r="B262" s="6" t="str">
        <f>SMALL('Lineal Mixto'!$C$5:$C$2004,A262)</f>
      </c>
      <c r="C262" s="6" t="str">
        <f>A262/COUNT('Lineal Mixto'!$C$5:$C$2004)</f>
      </c>
      <c r="D262" s="6" t="str">
        <f>ABS(C262-B262)</f>
      </c>
    </row>
    <row r="263">
      <c r="A263" s="5">
        <v>239</v>
      </c>
      <c r="B263" s="5" t="str">
        <f>SMALL('Lineal Mixto'!$C$5:$C$2004,A263)</f>
      </c>
      <c r="C263" s="5" t="str">
        <f>A263/COUNT('Lineal Mixto'!$C$5:$C$2004)</f>
      </c>
      <c r="D263" s="5" t="str">
        <f>ABS(C263-B263)</f>
      </c>
    </row>
    <row r="264">
      <c r="A264" s="6">
        <v>240</v>
      </c>
      <c r="B264" s="6" t="str">
        <f>SMALL('Lineal Mixto'!$C$5:$C$2004,A264)</f>
      </c>
      <c r="C264" s="6" t="str">
        <f>A264/COUNT('Lineal Mixto'!$C$5:$C$2004)</f>
      </c>
      <c r="D264" s="6" t="str">
        <f>ABS(C264-B264)</f>
      </c>
    </row>
    <row r="265">
      <c r="A265" s="5">
        <v>241</v>
      </c>
      <c r="B265" s="5" t="str">
        <f>SMALL('Lineal Mixto'!$C$5:$C$2004,A265)</f>
      </c>
      <c r="C265" s="5" t="str">
        <f>A265/COUNT('Lineal Mixto'!$C$5:$C$2004)</f>
      </c>
      <c r="D265" s="5" t="str">
        <f>ABS(C265-B265)</f>
      </c>
    </row>
    <row r="266">
      <c r="A266" s="6">
        <v>242</v>
      </c>
      <c r="B266" s="6" t="str">
        <f>SMALL('Lineal Mixto'!$C$5:$C$2004,A266)</f>
      </c>
      <c r="C266" s="6" t="str">
        <f>A266/COUNT('Lineal Mixto'!$C$5:$C$2004)</f>
      </c>
      <c r="D266" s="6" t="str">
        <f>ABS(C266-B266)</f>
      </c>
    </row>
    <row r="267">
      <c r="A267" s="5">
        <v>243</v>
      </c>
      <c r="B267" s="5" t="str">
        <f>SMALL('Lineal Mixto'!$C$5:$C$2004,A267)</f>
      </c>
      <c r="C267" s="5" t="str">
        <f>A267/COUNT('Lineal Mixto'!$C$5:$C$2004)</f>
      </c>
      <c r="D267" s="5" t="str">
        <f>ABS(C267-B267)</f>
      </c>
    </row>
    <row r="268">
      <c r="A268" s="6">
        <v>244</v>
      </c>
      <c r="B268" s="6" t="str">
        <f>SMALL('Lineal Mixto'!$C$5:$C$2004,A268)</f>
      </c>
      <c r="C268" s="6" t="str">
        <f>A268/COUNT('Lineal Mixto'!$C$5:$C$2004)</f>
      </c>
      <c r="D268" s="6" t="str">
        <f>ABS(C268-B268)</f>
      </c>
    </row>
    <row r="269">
      <c r="A269" s="5">
        <v>245</v>
      </c>
      <c r="B269" s="5" t="str">
        <f>SMALL('Lineal Mixto'!$C$5:$C$2004,A269)</f>
      </c>
      <c r="C269" s="5" t="str">
        <f>A269/COUNT('Lineal Mixto'!$C$5:$C$2004)</f>
      </c>
      <c r="D269" s="5" t="str">
        <f>ABS(C269-B269)</f>
      </c>
    </row>
    <row r="270">
      <c r="A270" s="6">
        <v>246</v>
      </c>
      <c r="B270" s="6" t="str">
        <f>SMALL('Lineal Mixto'!$C$5:$C$2004,A270)</f>
      </c>
      <c r="C270" s="6" t="str">
        <f>A270/COUNT('Lineal Mixto'!$C$5:$C$2004)</f>
      </c>
      <c r="D270" s="6" t="str">
        <f>ABS(C270-B270)</f>
      </c>
    </row>
    <row r="271">
      <c r="A271" s="5">
        <v>247</v>
      </c>
      <c r="B271" s="5" t="str">
        <f>SMALL('Lineal Mixto'!$C$5:$C$2004,A271)</f>
      </c>
      <c r="C271" s="5" t="str">
        <f>A271/COUNT('Lineal Mixto'!$C$5:$C$2004)</f>
      </c>
      <c r="D271" s="5" t="str">
        <f>ABS(C271-B271)</f>
      </c>
    </row>
    <row r="272">
      <c r="A272" s="6">
        <v>248</v>
      </c>
      <c r="B272" s="6" t="str">
        <f>SMALL('Lineal Mixto'!$C$5:$C$2004,A272)</f>
      </c>
      <c r="C272" s="6" t="str">
        <f>A272/COUNT('Lineal Mixto'!$C$5:$C$2004)</f>
      </c>
      <c r="D272" s="6" t="str">
        <f>ABS(C272-B272)</f>
      </c>
    </row>
    <row r="273">
      <c r="A273" s="5">
        <v>249</v>
      </c>
      <c r="B273" s="5" t="str">
        <f>SMALL('Lineal Mixto'!$C$5:$C$2004,A273)</f>
      </c>
      <c r="C273" s="5" t="str">
        <f>A273/COUNT('Lineal Mixto'!$C$5:$C$2004)</f>
      </c>
      <c r="D273" s="5" t="str">
        <f>ABS(C273-B273)</f>
      </c>
    </row>
    <row r="274">
      <c r="A274" s="6">
        <v>250</v>
      </c>
      <c r="B274" s="6" t="str">
        <f>SMALL('Lineal Mixto'!$C$5:$C$2004,A274)</f>
      </c>
      <c r="C274" s="6" t="str">
        <f>A274/COUNT('Lineal Mixto'!$C$5:$C$2004)</f>
      </c>
      <c r="D274" s="6" t="str">
        <f>ABS(C274-B274)</f>
      </c>
    </row>
    <row r="275">
      <c r="A275" s="5">
        <v>251</v>
      </c>
      <c r="B275" s="5" t="str">
        <f>SMALL('Lineal Mixto'!$C$5:$C$2004,A275)</f>
      </c>
      <c r="C275" s="5" t="str">
        <f>A275/COUNT('Lineal Mixto'!$C$5:$C$2004)</f>
      </c>
      <c r="D275" s="5" t="str">
        <f>ABS(C275-B275)</f>
      </c>
    </row>
    <row r="276">
      <c r="A276" s="6">
        <v>252</v>
      </c>
      <c r="B276" s="6" t="str">
        <f>SMALL('Lineal Mixto'!$C$5:$C$2004,A276)</f>
      </c>
      <c r="C276" s="6" t="str">
        <f>A276/COUNT('Lineal Mixto'!$C$5:$C$2004)</f>
      </c>
      <c r="D276" s="6" t="str">
        <f>ABS(C276-B276)</f>
      </c>
    </row>
    <row r="277">
      <c r="A277" s="5">
        <v>253</v>
      </c>
      <c r="B277" s="5" t="str">
        <f>SMALL('Lineal Mixto'!$C$5:$C$2004,A277)</f>
      </c>
      <c r="C277" s="5" t="str">
        <f>A277/COUNT('Lineal Mixto'!$C$5:$C$2004)</f>
      </c>
      <c r="D277" s="5" t="str">
        <f>ABS(C277-B277)</f>
      </c>
    </row>
    <row r="278">
      <c r="A278" s="6">
        <v>254</v>
      </c>
      <c r="B278" s="6" t="str">
        <f>SMALL('Lineal Mixto'!$C$5:$C$2004,A278)</f>
      </c>
      <c r="C278" s="6" t="str">
        <f>A278/COUNT('Lineal Mixto'!$C$5:$C$2004)</f>
      </c>
      <c r="D278" s="6" t="str">
        <f>ABS(C278-B278)</f>
      </c>
    </row>
    <row r="279">
      <c r="A279" s="5">
        <v>255</v>
      </c>
      <c r="B279" s="5" t="str">
        <f>SMALL('Lineal Mixto'!$C$5:$C$2004,A279)</f>
      </c>
      <c r="C279" s="5" t="str">
        <f>A279/COUNT('Lineal Mixto'!$C$5:$C$2004)</f>
      </c>
      <c r="D279" s="5" t="str">
        <f>ABS(C279-B279)</f>
      </c>
    </row>
    <row r="280">
      <c r="A280" s="6">
        <v>256</v>
      </c>
      <c r="B280" s="6" t="str">
        <f>SMALL('Lineal Mixto'!$C$5:$C$2004,A280)</f>
      </c>
      <c r="C280" s="6" t="str">
        <f>A280/COUNT('Lineal Mixto'!$C$5:$C$2004)</f>
      </c>
      <c r="D280" s="6" t="str">
        <f>ABS(C280-B280)</f>
      </c>
    </row>
    <row r="281">
      <c r="A281" s="5">
        <v>257</v>
      </c>
      <c r="B281" s="5" t="str">
        <f>SMALL('Lineal Mixto'!$C$5:$C$2004,A281)</f>
      </c>
      <c r="C281" s="5" t="str">
        <f>A281/COUNT('Lineal Mixto'!$C$5:$C$2004)</f>
      </c>
      <c r="D281" s="5" t="str">
        <f>ABS(C281-B281)</f>
      </c>
    </row>
    <row r="282">
      <c r="A282" s="6">
        <v>258</v>
      </c>
      <c r="B282" s="6" t="str">
        <f>SMALL('Lineal Mixto'!$C$5:$C$2004,A282)</f>
      </c>
      <c r="C282" s="6" t="str">
        <f>A282/COUNT('Lineal Mixto'!$C$5:$C$2004)</f>
      </c>
      <c r="D282" s="6" t="str">
        <f>ABS(C282-B282)</f>
      </c>
    </row>
    <row r="283">
      <c r="A283" s="5">
        <v>259</v>
      </c>
      <c r="B283" s="5" t="str">
        <f>SMALL('Lineal Mixto'!$C$5:$C$2004,A283)</f>
      </c>
      <c r="C283" s="5" t="str">
        <f>A283/COUNT('Lineal Mixto'!$C$5:$C$2004)</f>
      </c>
      <c r="D283" s="5" t="str">
        <f>ABS(C283-B283)</f>
      </c>
    </row>
    <row r="284">
      <c r="A284" s="6">
        <v>260</v>
      </c>
      <c r="B284" s="6" t="str">
        <f>SMALL('Lineal Mixto'!$C$5:$C$2004,A284)</f>
      </c>
      <c r="C284" s="6" t="str">
        <f>A284/COUNT('Lineal Mixto'!$C$5:$C$2004)</f>
      </c>
      <c r="D284" s="6" t="str">
        <f>ABS(C284-B284)</f>
      </c>
    </row>
    <row r="285">
      <c r="A285" s="5">
        <v>261</v>
      </c>
      <c r="B285" s="5" t="str">
        <f>SMALL('Lineal Mixto'!$C$5:$C$2004,A285)</f>
      </c>
      <c r="C285" s="5" t="str">
        <f>A285/COUNT('Lineal Mixto'!$C$5:$C$2004)</f>
      </c>
      <c r="D285" s="5" t="str">
        <f>ABS(C285-B285)</f>
      </c>
    </row>
    <row r="286">
      <c r="A286" s="6">
        <v>262</v>
      </c>
      <c r="B286" s="6" t="str">
        <f>SMALL('Lineal Mixto'!$C$5:$C$2004,A286)</f>
      </c>
      <c r="C286" s="6" t="str">
        <f>A286/COUNT('Lineal Mixto'!$C$5:$C$2004)</f>
      </c>
      <c r="D286" s="6" t="str">
        <f>ABS(C286-B286)</f>
      </c>
    </row>
    <row r="287">
      <c r="A287" s="5">
        <v>263</v>
      </c>
      <c r="B287" s="5" t="str">
        <f>SMALL('Lineal Mixto'!$C$5:$C$2004,A287)</f>
      </c>
      <c r="C287" s="5" t="str">
        <f>A287/COUNT('Lineal Mixto'!$C$5:$C$2004)</f>
      </c>
      <c r="D287" s="5" t="str">
        <f>ABS(C287-B287)</f>
      </c>
    </row>
    <row r="288">
      <c r="A288" s="6">
        <v>264</v>
      </c>
      <c r="B288" s="6" t="str">
        <f>SMALL('Lineal Mixto'!$C$5:$C$2004,A288)</f>
      </c>
      <c r="C288" s="6" t="str">
        <f>A288/COUNT('Lineal Mixto'!$C$5:$C$2004)</f>
      </c>
      <c r="D288" s="6" t="str">
        <f>ABS(C288-B288)</f>
      </c>
    </row>
    <row r="289">
      <c r="A289" s="5">
        <v>265</v>
      </c>
      <c r="B289" s="5" t="str">
        <f>SMALL('Lineal Mixto'!$C$5:$C$2004,A289)</f>
      </c>
      <c r="C289" s="5" t="str">
        <f>A289/COUNT('Lineal Mixto'!$C$5:$C$2004)</f>
      </c>
      <c r="D289" s="5" t="str">
        <f>ABS(C289-B289)</f>
      </c>
    </row>
    <row r="290">
      <c r="A290" s="6">
        <v>266</v>
      </c>
      <c r="B290" s="6" t="str">
        <f>SMALL('Lineal Mixto'!$C$5:$C$2004,A290)</f>
      </c>
      <c r="C290" s="6" t="str">
        <f>A290/COUNT('Lineal Mixto'!$C$5:$C$2004)</f>
      </c>
      <c r="D290" s="6" t="str">
        <f>ABS(C290-B290)</f>
      </c>
    </row>
    <row r="291">
      <c r="A291" s="5">
        <v>267</v>
      </c>
      <c r="B291" s="5" t="str">
        <f>SMALL('Lineal Mixto'!$C$5:$C$2004,A291)</f>
      </c>
      <c r="C291" s="5" t="str">
        <f>A291/COUNT('Lineal Mixto'!$C$5:$C$2004)</f>
      </c>
      <c r="D291" s="5" t="str">
        <f>ABS(C291-B291)</f>
      </c>
    </row>
    <row r="292">
      <c r="A292" s="6">
        <v>268</v>
      </c>
      <c r="B292" s="6" t="str">
        <f>SMALL('Lineal Mixto'!$C$5:$C$2004,A292)</f>
      </c>
      <c r="C292" s="6" t="str">
        <f>A292/COUNT('Lineal Mixto'!$C$5:$C$2004)</f>
      </c>
      <c r="D292" s="6" t="str">
        <f>ABS(C292-B292)</f>
      </c>
    </row>
    <row r="293">
      <c r="A293" s="5">
        <v>269</v>
      </c>
      <c r="B293" s="5" t="str">
        <f>SMALL('Lineal Mixto'!$C$5:$C$2004,A293)</f>
      </c>
      <c r="C293" s="5" t="str">
        <f>A293/COUNT('Lineal Mixto'!$C$5:$C$2004)</f>
      </c>
      <c r="D293" s="5" t="str">
        <f>ABS(C293-B293)</f>
      </c>
    </row>
    <row r="294">
      <c r="A294" s="6">
        <v>270</v>
      </c>
      <c r="B294" s="6" t="str">
        <f>SMALL('Lineal Mixto'!$C$5:$C$2004,A294)</f>
      </c>
      <c r="C294" s="6" t="str">
        <f>A294/COUNT('Lineal Mixto'!$C$5:$C$2004)</f>
      </c>
      <c r="D294" s="6" t="str">
        <f>ABS(C294-B294)</f>
      </c>
    </row>
    <row r="295">
      <c r="A295" s="5">
        <v>271</v>
      </c>
      <c r="B295" s="5" t="str">
        <f>SMALL('Lineal Mixto'!$C$5:$C$2004,A295)</f>
      </c>
      <c r="C295" s="5" t="str">
        <f>A295/COUNT('Lineal Mixto'!$C$5:$C$2004)</f>
      </c>
      <c r="D295" s="5" t="str">
        <f>ABS(C295-B295)</f>
      </c>
    </row>
    <row r="296">
      <c r="A296" s="6">
        <v>272</v>
      </c>
      <c r="B296" s="6" t="str">
        <f>SMALL('Lineal Mixto'!$C$5:$C$2004,A296)</f>
      </c>
      <c r="C296" s="6" t="str">
        <f>A296/COUNT('Lineal Mixto'!$C$5:$C$2004)</f>
      </c>
      <c r="D296" s="6" t="str">
        <f>ABS(C296-B296)</f>
      </c>
    </row>
    <row r="297">
      <c r="A297" s="5">
        <v>273</v>
      </c>
      <c r="B297" s="5" t="str">
        <f>SMALL('Lineal Mixto'!$C$5:$C$2004,A297)</f>
      </c>
      <c r="C297" s="5" t="str">
        <f>A297/COUNT('Lineal Mixto'!$C$5:$C$2004)</f>
      </c>
      <c r="D297" s="5" t="str">
        <f>ABS(C297-B297)</f>
      </c>
    </row>
    <row r="298">
      <c r="A298" s="6">
        <v>274</v>
      </c>
      <c r="B298" s="6" t="str">
        <f>SMALL('Lineal Mixto'!$C$5:$C$2004,A298)</f>
      </c>
      <c r="C298" s="6" t="str">
        <f>A298/COUNT('Lineal Mixto'!$C$5:$C$2004)</f>
      </c>
      <c r="D298" s="6" t="str">
        <f>ABS(C298-B298)</f>
      </c>
    </row>
    <row r="299">
      <c r="A299" s="5">
        <v>275</v>
      </c>
      <c r="B299" s="5" t="str">
        <f>SMALL('Lineal Mixto'!$C$5:$C$2004,A299)</f>
      </c>
      <c r="C299" s="5" t="str">
        <f>A299/COUNT('Lineal Mixto'!$C$5:$C$2004)</f>
      </c>
      <c r="D299" s="5" t="str">
        <f>ABS(C299-B299)</f>
      </c>
    </row>
    <row r="300">
      <c r="A300" s="6">
        <v>276</v>
      </c>
      <c r="B300" s="6" t="str">
        <f>SMALL('Lineal Mixto'!$C$5:$C$2004,A300)</f>
      </c>
      <c r="C300" s="6" t="str">
        <f>A300/COUNT('Lineal Mixto'!$C$5:$C$2004)</f>
      </c>
      <c r="D300" s="6" t="str">
        <f>ABS(C300-B300)</f>
      </c>
    </row>
    <row r="301">
      <c r="A301" s="5">
        <v>277</v>
      </c>
      <c r="B301" s="5" t="str">
        <f>SMALL('Lineal Mixto'!$C$5:$C$2004,A301)</f>
      </c>
      <c r="C301" s="5" t="str">
        <f>A301/COUNT('Lineal Mixto'!$C$5:$C$2004)</f>
      </c>
      <c r="D301" s="5" t="str">
        <f>ABS(C301-B301)</f>
      </c>
    </row>
    <row r="302">
      <c r="A302" s="6">
        <v>278</v>
      </c>
      <c r="B302" s="6" t="str">
        <f>SMALL('Lineal Mixto'!$C$5:$C$2004,A302)</f>
      </c>
      <c r="C302" s="6" t="str">
        <f>A302/COUNT('Lineal Mixto'!$C$5:$C$2004)</f>
      </c>
      <c r="D302" s="6" t="str">
        <f>ABS(C302-B302)</f>
      </c>
    </row>
    <row r="303">
      <c r="A303" s="5">
        <v>279</v>
      </c>
      <c r="B303" s="5" t="str">
        <f>SMALL('Lineal Mixto'!$C$5:$C$2004,A303)</f>
      </c>
      <c r="C303" s="5" t="str">
        <f>A303/COUNT('Lineal Mixto'!$C$5:$C$2004)</f>
      </c>
      <c r="D303" s="5" t="str">
        <f>ABS(C303-B303)</f>
      </c>
    </row>
    <row r="304">
      <c r="A304" s="6">
        <v>280</v>
      </c>
      <c r="B304" s="6" t="str">
        <f>SMALL('Lineal Mixto'!$C$5:$C$2004,A304)</f>
      </c>
      <c r="C304" s="6" t="str">
        <f>A304/COUNT('Lineal Mixto'!$C$5:$C$2004)</f>
      </c>
      <c r="D304" s="6" t="str">
        <f>ABS(C304-B304)</f>
      </c>
    </row>
    <row r="305">
      <c r="A305" s="5">
        <v>281</v>
      </c>
      <c r="B305" s="5" t="str">
        <f>SMALL('Lineal Mixto'!$C$5:$C$2004,A305)</f>
      </c>
      <c r="C305" s="5" t="str">
        <f>A305/COUNT('Lineal Mixto'!$C$5:$C$2004)</f>
      </c>
      <c r="D305" s="5" t="str">
        <f>ABS(C305-B305)</f>
      </c>
    </row>
    <row r="306">
      <c r="A306" s="6">
        <v>282</v>
      </c>
      <c r="B306" s="6" t="str">
        <f>SMALL('Lineal Mixto'!$C$5:$C$2004,A306)</f>
      </c>
      <c r="C306" s="6" t="str">
        <f>A306/COUNT('Lineal Mixto'!$C$5:$C$2004)</f>
      </c>
      <c r="D306" s="6" t="str">
        <f>ABS(C306-B306)</f>
      </c>
    </row>
    <row r="307">
      <c r="A307" s="5">
        <v>283</v>
      </c>
      <c r="B307" s="5" t="str">
        <f>SMALL('Lineal Mixto'!$C$5:$C$2004,A307)</f>
      </c>
      <c r="C307" s="5" t="str">
        <f>A307/COUNT('Lineal Mixto'!$C$5:$C$2004)</f>
      </c>
      <c r="D307" s="5" t="str">
        <f>ABS(C307-B307)</f>
      </c>
    </row>
    <row r="308">
      <c r="A308" s="6">
        <v>284</v>
      </c>
      <c r="B308" s="6" t="str">
        <f>SMALL('Lineal Mixto'!$C$5:$C$2004,A308)</f>
      </c>
      <c r="C308" s="6" t="str">
        <f>A308/COUNT('Lineal Mixto'!$C$5:$C$2004)</f>
      </c>
      <c r="D308" s="6" t="str">
        <f>ABS(C308-B308)</f>
      </c>
    </row>
    <row r="309">
      <c r="A309" s="5">
        <v>285</v>
      </c>
      <c r="B309" s="5" t="str">
        <f>SMALL('Lineal Mixto'!$C$5:$C$2004,A309)</f>
      </c>
      <c r="C309" s="5" t="str">
        <f>A309/COUNT('Lineal Mixto'!$C$5:$C$2004)</f>
      </c>
      <c r="D309" s="5" t="str">
        <f>ABS(C309-B309)</f>
      </c>
    </row>
    <row r="310">
      <c r="A310" s="6">
        <v>286</v>
      </c>
      <c r="B310" s="6" t="str">
        <f>SMALL('Lineal Mixto'!$C$5:$C$2004,A310)</f>
      </c>
      <c r="C310" s="6" t="str">
        <f>A310/COUNT('Lineal Mixto'!$C$5:$C$2004)</f>
      </c>
      <c r="D310" s="6" t="str">
        <f>ABS(C310-B310)</f>
      </c>
    </row>
    <row r="311">
      <c r="A311" s="5">
        <v>287</v>
      </c>
      <c r="B311" s="5" t="str">
        <f>SMALL('Lineal Mixto'!$C$5:$C$2004,A311)</f>
      </c>
      <c r="C311" s="5" t="str">
        <f>A311/COUNT('Lineal Mixto'!$C$5:$C$2004)</f>
      </c>
      <c r="D311" s="5" t="str">
        <f>ABS(C311-B311)</f>
      </c>
    </row>
    <row r="312">
      <c r="A312" s="6">
        <v>288</v>
      </c>
      <c r="B312" s="6" t="str">
        <f>SMALL('Lineal Mixto'!$C$5:$C$2004,A312)</f>
      </c>
      <c r="C312" s="6" t="str">
        <f>A312/COUNT('Lineal Mixto'!$C$5:$C$2004)</f>
      </c>
      <c r="D312" s="6" t="str">
        <f>ABS(C312-B312)</f>
      </c>
    </row>
    <row r="313">
      <c r="A313" s="5">
        <v>289</v>
      </c>
      <c r="B313" s="5" t="str">
        <f>SMALL('Lineal Mixto'!$C$5:$C$2004,A313)</f>
      </c>
      <c r="C313" s="5" t="str">
        <f>A313/COUNT('Lineal Mixto'!$C$5:$C$2004)</f>
      </c>
      <c r="D313" s="5" t="str">
        <f>ABS(C313-B313)</f>
      </c>
    </row>
    <row r="314">
      <c r="A314" s="6">
        <v>290</v>
      </c>
      <c r="B314" s="6" t="str">
        <f>SMALL('Lineal Mixto'!$C$5:$C$2004,A314)</f>
      </c>
      <c r="C314" s="6" t="str">
        <f>A314/COUNT('Lineal Mixto'!$C$5:$C$2004)</f>
      </c>
      <c r="D314" s="6" t="str">
        <f>ABS(C314-B314)</f>
      </c>
    </row>
    <row r="315">
      <c r="A315" s="5">
        <v>291</v>
      </c>
      <c r="B315" s="5" t="str">
        <f>SMALL('Lineal Mixto'!$C$5:$C$2004,A315)</f>
      </c>
      <c r="C315" s="5" t="str">
        <f>A315/COUNT('Lineal Mixto'!$C$5:$C$2004)</f>
      </c>
      <c r="D315" s="5" t="str">
        <f>ABS(C315-B315)</f>
      </c>
    </row>
    <row r="316">
      <c r="A316" s="6">
        <v>292</v>
      </c>
      <c r="B316" s="6" t="str">
        <f>SMALL('Lineal Mixto'!$C$5:$C$2004,A316)</f>
      </c>
      <c r="C316" s="6" t="str">
        <f>A316/COUNT('Lineal Mixto'!$C$5:$C$2004)</f>
      </c>
      <c r="D316" s="6" t="str">
        <f>ABS(C316-B316)</f>
      </c>
    </row>
    <row r="317">
      <c r="A317" s="5">
        <v>293</v>
      </c>
      <c r="B317" s="5" t="str">
        <f>SMALL('Lineal Mixto'!$C$5:$C$2004,A317)</f>
      </c>
      <c r="C317" s="5" t="str">
        <f>A317/COUNT('Lineal Mixto'!$C$5:$C$2004)</f>
      </c>
      <c r="D317" s="5" t="str">
        <f>ABS(C317-B317)</f>
      </c>
    </row>
    <row r="318">
      <c r="A318" s="6">
        <v>294</v>
      </c>
      <c r="B318" s="6" t="str">
        <f>SMALL('Lineal Mixto'!$C$5:$C$2004,A318)</f>
      </c>
      <c r="C318" s="6" t="str">
        <f>A318/COUNT('Lineal Mixto'!$C$5:$C$2004)</f>
      </c>
      <c r="D318" s="6" t="str">
        <f>ABS(C318-B318)</f>
      </c>
    </row>
    <row r="319">
      <c r="A319" s="5">
        <v>295</v>
      </c>
      <c r="B319" s="5" t="str">
        <f>SMALL('Lineal Mixto'!$C$5:$C$2004,A319)</f>
      </c>
      <c r="C319" s="5" t="str">
        <f>A319/COUNT('Lineal Mixto'!$C$5:$C$2004)</f>
      </c>
      <c r="D319" s="5" t="str">
        <f>ABS(C319-B319)</f>
      </c>
    </row>
    <row r="320">
      <c r="A320" s="6">
        <v>296</v>
      </c>
      <c r="B320" s="6" t="str">
        <f>SMALL('Lineal Mixto'!$C$5:$C$2004,A320)</f>
      </c>
      <c r="C320" s="6" t="str">
        <f>A320/COUNT('Lineal Mixto'!$C$5:$C$2004)</f>
      </c>
      <c r="D320" s="6" t="str">
        <f>ABS(C320-B320)</f>
      </c>
    </row>
    <row r="321">
      <c r="A321" s="5">
        <v>297</v>
      </c>
      <c r="B321" s="5" t="str">
        <f>SMALL('Lineal Mixto'!$C$5:$C$2004,A321)</f>
      </c>
      <c r="C321" s="5" t="str">
        <f>A321/COUNT('Lineal Mixto'!$C$5:$C$2004)</f>
      </c>
      <c r="D321" s="5" t="str">
        <f>ABS(C321-B321)</f>
      </c>
    </row>
    <row r="322">
      <c r="A322" s="6">
        <v>298</v>
      </c>
      <c r="B322" s="6" t="str">
        <f>SMALL('Lineal Mixto'!$C$5:$C$2004,A322)</f>
      </c>
      <c r="C322" s="6" t="str">
        <f>A322/COUNT('Lineal Mixto'!$C$5:$C$2004)</f>
      </c>
      <c r="D322" s="6" t="str">
        <f>ABS(C322-B322)</f>
      </c>
    </row>
    <row r="323">
      <c r="A323" s="5">
        <v>299</v>
      </c>
      <c r="B323" s="5" t="str">
        <f>SMALL('Lineal Mixto'!$C$5:$C$2004,A323)</f>
      </c>
      <c r="C323" s="5" t="str">
        <f>A323/COUNT('Lineal Mixto'!$C$5:$C$2004)</f>
      </c>
      <c r="D323" s="5" t="str">
        <f>ABS(C323-B323)</f>
      </c>
    </row>
    <row r="324">
      <c r="A324" s="6">
        <v>300</v>
      </c>
      <c r="B324" s="6" t="str">
        <f>SMALL('Lineal Mixto'!$C$5:$C$2004,A324)</f>
      </c>
      <c r="C324" s="6" t="str">
        <f>A324/COUNT('Lineal Mixto'!$C$5:$C$2004)</f>
      </c>
      <c r="D324" s="6" t="str">
        <f>ABS(C324-B324)</f>
      </c>
    </row>
    <row r="325">
      <c r="A325" s="5">
        <v>301</v>
      </c>
      <c r="B325" s="5" t="str">
        <f>SMALL('Lineal Mixto'!$C$5:$C$2004,A325)</f>
      </c>
      <c r="C325" s="5" t="str">
        <f>A325/COUNT('Lineal Mixto'!$C$5:$C$2004)</f>
      </c>
      <c r="D325" s="5" t="str">
        <f>ABS(C325-B325)</f>
      </c>
    </row>
    <row r="326">
      <c r="A326" s="6">
        <v>302</v>
      </c>
      <c r="B326" s="6" t="str">
        <f>SMALL('Lineal Mixto'!$C$5:$C$2004,A326)</f>
      </c>
      <c r="C326" s="6" t="str">
        <f>A326/COUNT('Lineal Mixto'!$C$5:$C$2004)</f>
      </c>
      <c r="D326" s="6" t="str">
        <f>ABS(C326-B326)</f>
      </c>
    </row>
    <row r="327">
      <c r="A327" s="5">
        <v>303</v>
      </c>
      <c r="B327" s="5" t="str">
        <f>SMALL('Lineal Mixto'!$C$5:$C$2004,A327)</f>
      </c>
      <c r="C327" s="5" t="str">
        <f>A327/COUNT('Lineal Mixto'!$C$5:$C$2004)</f>
      </c>
      <c r="D327" s="5" t="str">
        <f>ABS(C327-B327)</f>
      </c>
    </row>
    <row r="328">
      <c r="A328" s="6">
        <v>304</v>
      </c>
      <c r="B328" s="6" t="str">
        <f>SMALL('Lineal Mixto'!$C$5:$C$2004,A328)</f>
      </c>
      <c r="C328" s="6" t="str">
        <f>A328/COUNT('Lineal Mixto'!$C$5:$C$2004)</f>
      </c>
      <c r="D328" s="6" t="str">
        <f>ABS(C328-B328)</f>
      </c>
    </row>
    <row r="329">
      <c r="A329" s="5">
        <v>305</v>
      </c>
      <c r="B329" s="5" t="str">
        <f>SMALL('Lineal Mixto'!$C$5:$C$2004,A329)</f>
      </c>
      <c r="C329" s="5" t="str">
        <f>A329/COUNT('Lineal Mixto'!$C$5:$C$2004)</f>
      </c>
      <c r="D329" s="5" t="str">
        <f>ABS(C329-B329)</f>
      </c>
    </row>
    <row r="330">
      <c r="A330" s="6">
        <v>306</v>
      </c>
      <c r="B330" s="6" t="str">
        <f>SMALL('Lineal Mixto'!$C$5:$C$2004,A330)</f>
      </c>
      <c r="C330" s="6" t="str">
        <f>A330/COUNT('Lineal Mixto'!$C$5:$C$2004)</f>
      </c>
      <c r="D330" s="6" t="str">
        <f>ABS(C330-B330)</f>
      </c>
    </row>
    <row r="331">
      <c r="A331" s="5">
        <v>307</v>
      </c>
      <c r="B331" s="5" t="str">
        <f>SMALL('Lineal Mixto'!$C$5:$C$2004,A331)</f>
      </c>
      <c r="C331" s="5" t="str">
        <f>A331/COUNT('Lineal Mixto'!$C$5:$C$2004)</f>
      </c>
      <c r="D331" s="5" t="str">
        <f>ABS(C331-B331)</f>
      </c>
    </row>
    <row r="332">
      <c r="A332" s="6">
        <v>308</v>
      </c>
      <c r="B332" s="6" t="str">
        <f>SMALL('Lineal Mixto'!$C$5:$C$2004,A332)</f>
      </c>
      <c r="C332" s="6" t="str">
        <f>A332/COUNT('Lineal Mixto'!$C$5:$C$2004)</f>
      </c>
      <c r="D332" s="6" t="str">
        <f>ABS(C332-B332)</f>
      </c>
    </row>
    <row r="333">
      <c r="A333" s="5">
        <v>309</v>
      </c>
      <c r="B333" s="5" t="str">
        <f>SMALL('Lineal Mixto'!$C$5:$C$2004,A333)</f>
      </c>
      <c r="C333" s="5" t="str">
        <f>A333/COUNT('Lineal Mixto'!$C$5:$C$2004)</f>
      </c>
      <c r="D333" s="5" t="str">
        <f>ABS(C333-B333)</f>
      </c>
    </row>
    <row r="334">
      <c r="A334" s="6">
        <v>310</v>
      </c>
      <c r="B334" s="6" t="str">
        <f>SMALL('Lineal Mixto'!$C$5:$C$2004,A334)</f>
      </c>
      <c r="C334" s="6" t="str">
        <f>A334/COUNT('Lineal Mixto'!$C$5:$C$2004)</f>
      </c>
      <c r="D334" s="6" t="str">
        <f>ABS(C334-B334)</f>
      </c>
    </row>
    <row r="335">
      <c r="A335" s="5">
        <v>311</v>
      </c>
      <c r="B335" s="5" t="str">
        <f>SMALL('Lineal Mixto'!$C$5:$C$2004,A335)</f>
      </c>
      <c r="C335" s="5" t="str">
        <f>A335/COUNT('Lineal Mixto'!$C$5:$C$2004)</f>
      </c>
      <c r="D335" s="5" t="str">
        <f>ABS(C335-B335)</f>
      </c>
    </row>
    <row r="336">
      <c r="A336" s="6">
        <v>312</v>
      </c>
      <c r="B336" s="6" t="str">
        <f>SMALL('Lineal Mixto'!$C$5:$C$2004,A336)</f>
      </c>
      <c r="C336" s="6" t="str">
        <f>A336/COUNT('Lineal Mixto'!$C$5:$C$2004)</f>
      </c>
      <c r="D336" s="6" t="str">
        <f>ABS(C336-B336)</f>
      </c>
    </row>
    <row r="337">
      <c r="A337" s="5">
        <v>313</v>
      </c>
      <c r="B337" s="5" t="str">
        <f>SMALL('Lineal Mixto'!$C$5:$C$2004,A337)</f>
      </c>
      <c r="C337" s="5" t="str">
        <f>A337/COUNT('Lineal Mixto'!$C$5:$C$2004)</f>
      </c>
      <c r="D337" s="5" t="str">
        <f>ABS(C337-B337)</f>
      </c>
    </row>
    <row r="338">
      <c r="A338" s="6">
        <v>314</v>
      </c>
      <c r="B338" s="6" t="str">
        <f>SMALL('Lineal Mixto'!$C$5:$C$2004,A338)</f>
      </c>
      <c r="C338" s="6" t="str">
        <f>A338/COUNT('Lineal Mixto'!$C$5:$C$2004)</f>
      </c>
      <c r="D338" s="6" t="str">
        <f>ABS(C338-B338)</f>
      </c>
    </row>
    <row r="339">
      <c r="A339" s="5">
        <v>315</v>
      </c>
      <c r="B339" s="5" t="str">
        <f>SMALL('Lineal Mixto'!$C$5:$C$2004,A339)</f>
      </c>
      <c r="C339" s="5" t="str">
        <f>A339/COUNT('Lineal Mixto'!$C$5:$C$2004)</f>
      </c>
      <c r="D339" s="5" t="str">
        <f>ABS(C339-B339)</f>
      </c>
    </row>
    <row r="340">
      <c r="A340" s="6">
        <v>316</v>
      </c>
      <c r="B340" s="6" t="str">
        <f>SMALL('Lineal Mixto'!$C$5:$C$2004,A340)</f>
      </c>
      <c r="C340" s="6" t="str">
        <f>A340/COUNT('Lineal Mixto'!$C$5:$C$2004)</f>
      </c>
      <c r="D340" s="6" t="str">
        <f>ABS(C340-B340)</f>
      </c>
    </row>
    <row r="341">
      <c r="A341" s="5">
        <v>317</v>
      </c>
      <c r="B341" s="5" t="str">
        <f>SMALL('Lineal Mixto'!$C$5:$C$2004,A341)</f>
      </c>
      <c r="C341" s="5" t="str">
        <f>A341/COUNT('Lineal Mixto'!$C$5:$C$2004)</f>
      </c>
      <c r="D341" s="5" t="str">
        <f>ABS(C341-B341)</f>
      </c>
    </row>
    <row r="342">
      <c r="A342" s="6">
        <v>318</v>
      </c>
      <c r="B342" s="6" t="str">
        <f>SMALL('Lineal Mixto'!$C$5:$C$2004,A342)</f>
      </c>
      <c r="C342" s="6" t="str">
        <f>A342/COUNT('Lineal Mixto'!$C$5:$C$2004)</f>
      </c>
      <c r="D342" s="6" t="str">
        <f>ABS(C342-B342)</f>
      </c>
    </row>
    <row r="343">
      <c r="A343" s="5">
        <v>319</v>
      </c>
      <c r="B343" s="5" t="str">
        <f>SMALL('Lineal Mixto'!$C$5:$C$2004,A343)</f>
      </c>
      <c r="C343" s="5" t="str">
        <f>A343/COUNT('Lineal Mixto'!$C$5:$C$2004)</f>
      </c>
      <c r="D343" s="5" t="str">
        <f>ABS(C343-B343)</f>
      </c>
    </row>
    <row r="344">
      <c r="A344" s="6">
        <v>320</v>
      </c>
      <c r="B344" s="6" t="str">
        <f>SMALL('Lineal Mixto'!$C$5:$C$2004,A344)</f>
      </c>
      <c r="C344" s="6" t="str">
        <f>A344/COUNT('Lineal Mixto'!$C$5:$C$2004)</f>
      </c>
      <c r="D344" s="6" t="str">
        <f>ABS(C344-B344)</f>
      </c>
    </row>
    <row r="345">
      <c r="A345" s="5">
        <v>321</v>
      </c>
      <c r="B345" s="5" t="str">
        <f>SMALL('Lineal Mixto'!$C$5:$C$2004,A345)</f>
      </c>
      <c r="C345" s="5" t="str">
        <f>A345/COUNT('Lineal Mixto'!$C$5:$C$2004)</f>
      </c>
      <c r="D345" s="5" t="str">
        <f>ABS(C345-B345)</f>
      </c>
    </row>
    <row r="346">
      <c r="A346" s="6">
        <v>322</v>
      </c>
      <c r="B346" s="6" t="str">
        <f>SMALL('Lineal Mixto'!$C$5:$C$2004,A346)</f>
      </c>
      <c r="C346" s="6" t="str">
        <f>A346/COUNT('Lineal Mixto'!$C$5:$C$2004)</f>
      </c>
      <c r="D346" s="6" t="str">
        <f>ABS(C346-B346)</f>
      </c>
    </row>
    <row r="347">
      <c r="A347" s="5">
        <v>323</v>
      </c>
      <c r="B347" s="5" t="str">
        <f>SMALL('Lineal Mixto'!$C$5:$C$2004,A347)</f>
      </c>
      <c r="C347" s="5" t="str">
        <f>A347/COUNT('Lineal Mixto'!$C$5:$C$2004)</f>
      </c>
      <c r="D347" s="5" t="str">
        <f>ABS(C347-B347)</f>
      </c>
    </row>
    <row r="348">
      <c r="A348" s="6">
        <v>324</v>
      </c>
      <c r="B348" s="6" t="str">
        <f>SMALL('Lineal Mixto'!$C$5:$C$2004,A348)</f>
      </c>
      <c r="C348" s="6" t="str">
        <f>A348/COUNT('Lineal Mixto'!$C$5:$C$2004)</f>
      </c>
      <c r="D348" s="6" t="str">
        <f>ABS(C348-B348)</f>
      </c>
    </row>
    <row r="349">
      <c r="A349" s="5">
        <v>325</v>
      </c>
      <c r="B349" s="5" t="str">
        <f>SMALL('Lineal Mixto'!$C$5:$C$2004,A349)</f>
      </c>
      <c r="C349" s="5" t="str">
        <f>A349/COUNT('Lineal Mixto'!$C$5:$C$2004)</f>
      </c>
      <c r="D349" s="5" t="str">
        <f>ABS(C349-B349)</f>
      </c>
    </row>
    <row r="350">
      <c r="A350" s="6">
        <v>326</v>
      </c>
      <c r="B350" s="6" t="str">
        <f>SMALL('Lineal Mixto'!$C$5:$C$2004,A350)</f>
      </c>
      <c r="C350" s="6" t="str">
        <f>A350/COUNT('Lineal Mixto'!$C$5:$C$2004)</f>
      </c>
      <c r="D350" s="6" t="str">
        <f>ABS(C350-B350)</f>
      </c>
    </row>
    <row r="351">
      <c r="A351" s="5">
        <v>327</v>
      </c>
      <c r="B351" s="5" t="str">
        <f>SMALL('Lineal Mixto'!$C$5:$C$2004,A351)</f>
      </c>
      <c r="C351" s="5" t="str">
        <f>A351/COUNT('Lineal Mixto'!$C$5:$C$2004)</f>
      </c>
      <c r="D351" s="5" t="str">
        <f>ABS(C351-B351)</f>
      </c>
    </row>
    <row r="352">
      <c r="A352" s="6">
        <v>328</v>
      </c>
      <c r="B352" s="6" t="str">
        <f>SMALL('Lineal Mixto'!$C$5:$C$2004,A352)</f>
      </c>
      <c r="C352" s="6" t="str">
        <f>A352/COUNT('Lineal Mixto'!$C$5:$C$2004)</f>
      </c>
      <c r="D352" s="6" t="str">
        <f>ABS(C352-B352)</f>
      </c>
    </row>
    <row r="353">
      <c r="A353" s="5">
        <v>329</v>
      </c>
      <c r="B353" s="5" t="str">
        <f>SMALL('Lineal Mixto'!$C$5:$C$2004,A353)</f>
      </c>
      <c r="C353" s="5" t="str">
        <f>A353/COUNT('Lineal Mixto'!$C$5:$C$2004)</f>
      </c>
      <c r="D353" s="5" t="str">
        <f>ABS(C353-B353)</f>
      </c>
    </row>
    <row r="354">
      <c r="A354" s="6">
        <v>330</v>
      </c>
      <c r="B354" s="6" t="str">
        <f>SMALL('Lineal Mixto'!$C$5:$C$2004,A354)</f>
      </c>
      <c r="C354" s="6" t="str">
        <f>A354/COUNT('Lineal Mixto'!$C$5:$C$2004)</f>
      </c>
      <c r="D354" s="6" t="str">
        <f>ABS(C354-B354)</f>
      </c>
    </row>
    <row r="355">
      <c r="A355" s="5">
        <v>331</v>
      </c>
      <c r="B355" s="5" t="str">
        <f>SMALL('Lineal Mixto'!$C$5:$C$2004,A355)</f>
      </c>
      <c r="C355" s="5" t="str">
        <f>A355/COUNT('Lineal Mixto'!$C$5:$C$2004)</f>
      </c>
      <c r="D355" s="5" t="str">
        <f>ABS(C355-B355)</f>
      </c>
    </row>
    <row r="356">
      <c r="A356" s="6">
        <v>332</v>
      </c>
      <c r="B356" s="6" t="str">
        <f>SMALL('Lineal Mixto'!$C$5:$C$2004,A356)</f>
      </c>
      <c r="C356" s="6" t="str">
        <f>A356/COUNT('Lineal Mixto'!$C$5:$C$2004)</f>
      </c>
      <c r="D356" s="6" t="str">
        <f>ABS(C356-B356)</f>
      </c>
    </row>
    <row r="357">
      <c r="A357" s="5">
        <v>333</v>
      </c>
      <c r="B357" s="5" t="str">
        <f>SMALL('Lineal Mixto'!$C$5:$C$2004,A357)</f>
      </c>
      <c r="C357" s="5" t="str">
        <f>A357/COUNT('Lineal Mixto'!$C$5:$C$2004)</f>
      </c>
      <c r="D357" s="5" t="str">
        <f>ABS(C357-B357)</f>
      </c>
    </row>
    <row r="358">
      <c r="A358" s="6">
        <v>334</v>
      </c>
      <c r="B358" s="6" t="str">
        <f>SMALL('Lineal Mixto'!$C$5:$C$2004,A358)</f>
      </c>
      <c r="C358" s="6" t="str">
        <f>A358/COUNT('Lineal Mixto'!$C$5:$C$2004)</f>
      </c>
      <c r="D358" s="6" t="str">
        <f>ABS(C358-B358)</f>
      </c>
    </row>
    <row r="359">
      <c r="A359" s="5">
        <v>335</v>
      </c>
      <c r="B359" s="5" t="str">
        <f>SMALL('Lineal Mixto'!$C$5:$C$2004,A359)</f>
      </c>
      <c r="C359" s="5" t="str">
        <f>A359/COUNT('Lineal Mixto'!$C$5:$C$2004)</f>
      </c>
      <c r="D359" s="5" t="str">
        <f>ABS(C359-B359)</f>
      </c>
    </row>
    <row r="360">
      <c r="A360" s="6">
        <v>336</v>
      </c>
      <c r="B360" s="6" t="str">
        <f>SMALL('Lineal Mixto'!$C$5:$C$2004,A360)</f>
      </c>
      <c r="C360" s="6" t="str">
        <f>A360/COUNT('Lineal Mixto'!$C$5:$C$2004)</f>
      </c>
      <c r="D360" s="6" t="str">
        <f>ABS(C360-B360)</f>
      </c>
    </row>
    <row r="361">
      <c r="A361" s="5">
        <v>337</v>
      </c>
      <c r="B361" s="5" t="str">
        <f>SMALL('Lineal Mixto'!$C$5:$C$2004,A361)</f>
      </c>
      <c r="C361" s="5" t="str">
        <f>A361/COUNT('Lineal Mixto'!$C$5:$C$2004)</f>
      </c>
      <c r="D361" s="5" t="str">
        <f>ABS(C361-B361)</f>
      </c>
    </row>
    <row r="362">
      <c r="A362" s="6">
        <v>338</v>
      </c>
      <c r="B362" s="6" t="str">
        <f>SMALL('Lineal Mixto'!$C$5:$C$2004,A362)</f>
      </c>
      <c r="C362" s="6" t="str">
        <f>A362/COUNT('Lineal Mixto'!$C$5:$C$2004)</f>
      </c>
      <c r="D362" s="6" t="str">
        <f>ABS(C362-B362)</f>
      </c>
    </row>
    <row r="363">
      <c r="A363" s="5">
        <v>339</v>
      </c>
      <c r="B363" s="5" t="str">
        <f>SMALL('Lineal Mixto'!$C$5:$C$2004,A363)</f>
      </c>
      <c r="C363" s="5" t="str">
        <f>A363/COUNT('Lineal Mixto'!$C$5:$C$2004)</f>
      </c>
      <c r="D363" s="5" t="str">
        <f>ABS(C363-B363)</f>
      </c>
    </row>
    <row r="364">
      <c r="A364" s="6">
        <v>340</v>
      </c>
      <c r="B364" s="6" t="str">
        <f>SMALL('Lineal Mixto'!$C$5:$C$2004,A364)</f>
      </c>
      <c r="C364" s="6" t="str">
        <f>A364/COUNT('Lineal Mixto'!$C$5:$C$2004)</f>
      </c>
      <c r="D364" s="6" t="str">
        <f>ABS(C364-B364)</f>
      </c>
    </row>
    <row r="365">
      <c r="A365" s="5">
        <v>341</v>
      </c>
      <c r="B365" s="5" t="str">
        <f>SMALL('Lineal Mixto'!$C$5:$C$2004,A365)</f>
      </c>
      <c r="C365" s="5" t="str">
        <f>A365/COUNT('Lineal Mixto'!$C$5:$C$2004)</f>
      </c>
      <c r="D365" s="5" t="str">
        <f>ABS(C365-B365)</f>
      </c>
    </row>
    <row r="366">
      <c r="A366" s="6">
        <v>342</v>
      </c>
      <c r="B366" s="6" t="str">
        <f>SMALL('Lineal Mixto'!$C$5:$C$2004,A366)</f>
      </c>
      <c r="C366" s="6" t="str">
        <f>A366/COUNT('Lineal Mixto'!$C$5:$C$2004)</f>
      </c>
      <c r="D366" s="6" t="str">
        <f>ABS(C366-B366)</f>
      </c>
    </row>
    <row r="367">
      <c r="A367" s="5">
        <v>343</v>
      </c>
      <c r="B367" s="5" t="str">
        <f>SMALL('Lineal Mixto'!$C$5:$C$2004,A367)</f>
      </c>
      <c r="C367" s="5" t="str">
        <f>A367/COUNT('Lineal Mixto'!$C$5:$C$2004)</f>
      </c>
      <c r="D367" s="5" t="str">
        <f>ABS(C367-B367)</f>
      </c>
    </row>
    <row r="368">
      <c r="A368" s="6">
        <v>344</v>
      </c>
      <c r="B368" s="6" t="str">
        <f>SMALL('Lineal Mixto'!$C$5:$C$2004,A368)</f>
      </c>
      <c r="C368" s="6" t="str">
        <f>A368/COUNT('Lineal Mixto'!$C$5:$C$2004)</f>
      </c>
      <c r="D368" s="6" t="str">
        <f>ABS(C368-B368)</f>
      </c>
    </row>
    <row r="369">
      <c r="A369" s="5">
        <v>345</v>
      </c>
      <c r="B369" s="5" t="str">
        <f>SMALL('Lineal Mixto'!$C$5:$C$2004,A369)</f>
      </c>
      <c r="C369" s="5" t="str">
        <f>A369/COUNT('Lineal Mixto'!$C$5:$C$2004)</f>
      </c>
      <c r="D369" s="5" t="str">
        <f>ABS(C369-B369)</f>
      </c>
    </row>
    <row r="370">
      <c r="A370" s="6">
        <v>346</v>
      </c>
      <c r="B370" s="6" t="str">
        <f>SMALL('Lineal Mixto'!$C$5:$C$2004,A370)</f>
      </c>
      <c r="C370" s="6" t="str">
        <f>A370/COUNT('Lineal Mixto'!$C$5:$C$2004)</f>
      </c>
      <c r="D370" s="6" t="str">
        <f>ABS(C370-B370)</f>
      </c>
    </row>
    <row r="371">
      <c r="A371" s="5">
        <v>347</v>
      </c>
      <c r="B371" s="5" t="str">
        <f>SMALL('Lineal Mixto'!$C$5:$C$2004,A371)</f>
      </c>
      <c r="C371" s="5" t="str">
        <f>A371/COUNT('Lineal Mixto'!$C$5:$C$2004)</f>
      </c>
      <c r="D371" s="5" t="str">
        <f>ABS(C371-B371)</f>
      </c>
    </row>
    <row r="372">
      <c r="A372" s="6">
        <v>348</v>
      </c>
      <c r="B372" s="6" t="str">
        <f>SMALL('Lineal Mixto'!$C$5:$C$2004,A372)</f>
      </c>
      <c r="C372" s="6" t="str">
        <f>A372/COUNT('Lineal Mixto'!$C$5:$C$2004)</f>
      </c>
      <c r="D372" s="6" t="str">
        <f>ABS(C372-B372)</f>
      </c>
    </row>
    <row r="373">
      <c r="A373" s="5">
        <v>349</v>
      </c>
      <c r="B373" s="5" t="str">
        <f>SMALL('Lineal Mixto'!$C$5:$C$2004,A373)</f>
      </c>
      <c r="C373" s="5" t="str">
        <f>A373/COUNT('Lineal Mixto'!$C$5:$C$2004)</f>
      </c>
      <c r="D373" s="5" t="str">
        <f>ABS(C373-B373)</f>
      </c>
    </row>
    <row r="374">
      <c r="A374" s="6">
        <v>350</v>
      </c>
      <c r="B374" s="6" t="str">
        <f>SMALL('Lineal Mixto'!$C$5:$C$2004,A374)</f>
      </c>
      <c r="C374" s="6" t="str">
        <f>A374/COUNT('Lineal Mixto'!$C$5:$C$2004)</f>
      </c>
      <c r="D374" s="6" t="str">
        <f>ABS(C374-B374)</f>
      </c>
    </row>
    <row r="375">
      <c r="A375" s="5">
        <v>351</v>
      </c>
      <c r="B375" s="5" t="str">
        <f>SMALL('Lineal Mixto'!$C$5:$C$2004,A375)</f>
      </c>
      <c r="C375" s="5" t="str">
        <f>A375/COUNT('Lineal Mixto'!$C$5:$C$2004)</f>
      </c>
      <c r="D375" s="5" t="str">
        <f>ABS(C375-B375)</f>
      </c>
    </row>
    <row r="376">
      <c r="A376" s="6">
        <v>352</v>
      </c>
      <c r="B376" s="6" t="str">
        <f>SMALL('Lineal Mixto'!$C$5:$C$2004,A376)</f>
      </c>
      <c r="C376" s="6" t="str">
        <f>A376/COUNT('Lineal Mixto'!$C$5:$C$2004)</f>
      </c>
      <c r="D376" s="6" t="str">
        <f>ABS(C376-B376)</f>
      </c>
    </row>
    <row r="377">
      <c r="A377" s="5">
        <v>353</v>
      </c>
      <c r="B377" s="5" t="str">
        <f>SMALL('Lineal Mixto'!$C$5:$C$2004,A377)</f>
      </c>
      <c r="C377" s="5" t="str">
        <f>A377/COUNT('Lineal Mixto'!$C$5:$C$2004)</f>
      </c>
      <c r="D377" s="5" t="str">
        <f>ABS(C377-B377)</f>
      </c>
    </row>
    <row r="378">
      <c r="A378" s="6">
        <v>354</v>
      </c>
      <c r="B378" s="6" t="str">
        <f>SMALL('Lineal Mixto'!$C$5:$C$2004,A378)</f>
      </c>
      <c r="C378" s="6" t="str">
        <f>A378/COUNT('Lineal Mixto'!$C$5:$C$2004)</f>
      </c>
      <c r="D378" s="6" t="str">
        <f>ABS(C378-B378)</f>
      </c>
    </row>
    <row r="379">
      <c r="A379" s="5">
        <v>355</v>
      </c>
      <c r="B379" s="5" t="str">
        <f>SMALL('Lineal Mixto'!$C$5:$C$2004,A379)</f>
      </c>
      <c r="C379" s="5" t="str">
        <f>A379/COUNT('Lineal Mixto'!$C$5:$C$2004)</f>
      </c>
      <c r="D379" s="5" t="str">
        <f>ABS(C379-B379)</f>
      </c>
    </row>
    <row r="380">
      <c r="A380" s="6">
        <v>356</v>
      </c>
      <c r="B380" s="6" t="str">
        <f>SMALL('Lineal Mixto'!$C$5:$C$2004,A380)</f>
      </c>
      <c r="C380" s="6" t="str">
        <f>A380/COUNT('Lineal Mixto'!$C$5:$C$2004)</f>
      </c>
      <c r="D380" s="6" t="str">
        <f>ABS(C380-B380)</f>
      </c>
    </row>
    <row r="381">
      <c r="A381" s="5">
        <v>357</v>
      </c>
      <c r="B381" s="5" t="str">
        <f>SMALL('Lineal Mixto'!$C$5:$C$2004,A381)</f>
      </c>
      <c r="C381" s="5" t="str">
        <f>A381/COUNT('Lineal Mixto'!$C$5:$C$2004)</f>
      </c>
      <c r="D381" s="5" t="str">
        <f>ABS(C381-B381)</f>
      </c>
    </row>
    <row r="382">
      <c r="A382" s="6">
        <v>358</v>
      </c>
      <c r="B382" s="6" t="str">
        <f>SMALL('Lineal Mixto'!$C$5:$C$2004,A382)</f>
      </c>
      <c r="C382" s="6" t="str">
        <f>A382/COUNT('Lineal Mixto'!$C$5:$C$2004)</f>
      </c>
      <c r="D382" s="6" t="str">
        <f>ABS(C382-B382)</f>
      </c>
    </row>
    <row r="383">
      <c r="A383" s="5">
        <v>359</v>
      </c>
      <c r="B383" s="5" t="str">
        <f>SMALL('Lineal Mixto'!$C$5:$C$2004,A383)</f>
      </c>
      <c r="C383" s="5" t="str">
        <f>A383/COUNT('Lineal Mixto'!$C$5:$C$2004)</f>
      </c>
      <c r="D383" s="5" t="str">
        <f>ABS(C383-B383)</f>
      </c>
    </row>
    <row r="384">
      <c r="A384" s="6">
        <v>360</v>
      </c>
      <c r="B384" s="6" t="str">
        <f>SMALL('Lineal Mixto'!$C$5:$C$2004,A384)</f>
      </c>
      <c r="C384" s="6" t="str">
        <f>A384/COUNT('Lineal Mixto'!$C$5:$C$2004)</f>
      </c>
      <c r="D384" s="6" t="str">
        <f>ABS(C384-B384)</f>
      </c>
    </row>
    <row r="385">
      <c r="A385" s="5">
        <v>361</v>
      </c>
      <c r="B385" s="5" t="str">
        <f>SMALL('Lineal Mixto'!$C$5:$C$2004,A385)</f>
      </c>
      <c r="C385" s="5" t="str">
        <f>A385/COUNT('Lineal Mixto'!$C$5:$C$2004)</f>
      </c>
      <c r="D385" s="5" t="str">
        <f>ABS(C385-B385)</f>
      </c>
    </row>
    <row r="386">
      <c r="A386" s="6">
        <v>362</v>
      </c>
      <c r="B386" s="6" t="str">
        <f>SMALL('Lineal Mixto'!$C$5:$C$2004,A386)</f>
      </c>
      <c r="C386" s="6" t="str">
        <f>A386/COUNT('Lineal Mixto'!$C$5:$C$2004)</f>
      </c>
      <c r="D386" s="6" t="str">
        <f>ABS(C386-B386)</f>
      </c>
    </row>
    <row r="387">
      <c r="A387" s="5">
        <v>363</v>
      </c>
      <c r="B387" s="5" t="str">
        <f>SMALL('Lineal Mixto'!$C$5:$C$2004,A387)</f>
      </c>
      <c r="C387" s="5" t="str">
        <f>A387/COUNT('Lineal Mixto'!$C$5:$C$2004)</f>
      </c>
      <c r="D387" s="5" t="str">
        <f>ABS(C387-B387)</f>
      </c>
    </row>
    <row r="388">
      <c r="A388" s="6">
        <v>364</v>
      </c>
      <c r="B388" s="6" t="str">
        <f>SMALL('Lineal Mixto'!$C$5:$C$2004,A388)</f>
      </c>
      <c r="C388" s="6" t="str">
        <f>A388/COUNT('Lineal Mixto'!$C$5:$C$2004)</f>
      </c>
      <c r="D388" s="6" t="str">
        <f>ABS(C388-B388)</f>
      </c>
    </row>
    <row r="389">
      <c r="A389" s="5">
        <v>365</v>
      </c>
      <c r="B389" s="5" t="str">
        <f>SMALL('Lineal Mixto'!$C$5:$C$2004,A389)</f>
      </c>
      <c r="C389" s="5" t="str">
        <f>A389/COUNT('Lineal Mixto'!$C$5:$C$2004)</f>
      </c>
      <c r="D389" s="5" t="str">
        <f>ABS(C389-B389)</f>
      </c>
    </row>
    <row r="390">
      <c r="A390" s="6">
        <v>366</v>
      </c>
      <c r="B390" s="6" t="str">
        <f>SMALL('Lineal Mixto'!$C$5:$C$2004,A390)</f>
      </c>
      <c r="C390" s="6" t="str">
        <f>A390/COUNT('Lineal Mixto'!$C$5:$C$2004)</f>
      </c>
      <c r="D390" s="6" t="str">
        <f>ABS(C390-B390)</f>
      </c>
    </row>
    <row r="391">
      <c r="A391" s="5">
        <v>367</v>
      </c>
      <c r="B391" s="5" t="str">
        <f>SMALL('Lineal Mixto'!$C$5:$C$2004,A391)</f>
      </c>
      <c r="C391" s="5" t="str">
        <f>A391/COUNT('Lineal Mixto'!$C$5:$C$2004)</f>
      </c>
      <c r="D391" s="5" t="str">
        <f>ABS(C391-B391)</f>
      </c>
    </row>
    <row r="392">
      <c r="A392" s="6">
        <v>368</v>
      </c>
      <c r="B392" s="6" t="str">
        <f>SMALL('Lineal Mixto'!$C$5:$C$2004,A392)</f>
      </c>
      <c r="C392" s="6" t="str">
        <f>A392/COUNT('Lineal Mixto'!$C$5:$C$2004)</f>
      </c>
      <c r="D392" s="6" t="str">
        <f>ABS(C392-B392)</f>
      </c>
    </row>
    <row r="393">
      <c r="A393" s="5">
        <v>369</v>
      </c>
      <c r="B393" s="5" t="str">
        <f>SMALL('Lineal Mixto'!$C$5:$C$2004,A393)</f>
      </c>
      <c r="C393" s="5" t="str">
        <f>A393/COUNT('Lineal Mixto'!$C$5:$C$2004)</f>
      </c>
      <c r="D393" s="5" t="str">
        <f>ABS(C393-B393)</f>
      </c>
    </row>
    <row r="394">
      <c r="A394" s="6">
        <v>370</v>
      </c>
      <c r="B394" s="6" t="str">
        <f>SMALL('Lineal Mixto'!$C$5:$C$2004,A394)</f>
      </c>
      <c r="C394" s="6" t="str">
        <f>A394/COUNT('Lineal Mixto'!$C$5:$C$2004)</f>
      </c>
      <c r="D394" s="6" t="str">
        <f>ABS(C394-B394)</f>
      </c>
    </row>
    <row r="395">
      <c r="A395" s="5">
        <v>371</v>
      </c>
      <c r="B395" s="5" t="str">
        <f>SMALL('Lineal Mixto'!$C$5:$C$2004,A395)</f>
      </c>
      <c r="C395" s="5" t="str">
        <f>A395/COUNT('Lineal Mixto'!$C$5:$C$2004)</f>
      </c>
      <c r="D395" s="5" t="str">
        <f>ABS(C395-B395)</f>
      </c>
    </row>
    <row r="396">
      <c r="A396" s="6">
        <v>372</v>
      </c>
      <c r="B396" s="6" t="str">
        <f>SMALL('Lineal Mixto'!$C$5:$C$2004,A396)</f>
      </c>
      <c r="C396" s="6" t="str">
        <f>A396/COUNT('Lineal Mixto'!$C$5:$C$2004)</f>
      </c>
      <c r="D396" s="6" t="str">
        <f>ABS(C396-B396)</f>
      </c>
    </row>
    <row r="397">
      <c r="A397" s="5">
        <v>373</v>
      </c>
      <c r="B397" s="5" t="str">
        <f>SMALL('Lineal Mixto'!$C$5:$C$2004,A397)</f>
      </c>
      <c r="C397" s="5" t="str">
        <f>A397/COUNT('Lineal Mixto'!$C$5:$C$2004)</f>
      </c>
      <c r="D397" s="5" t="str">
        <f>ABS(C397-B397)</f>
      </c>
    </row>
    <row r="398">
      <c r="A398" s="6">
        <v>374</v>
      </c>
      <c r="B398" s="6" t="str">
        <f>SMALL('Lineal Mixto'!$C$5:$C$2004,A398)</f>
      </c>
      <c r="C398" s="6" t="str">
        <f>A398/COUNT('Lineal Mixto'!$C$5:$C$2004)</f>
      </c>
      <c r="D398" s="6" t="str">
        <f>ABS(C398-B398)</f>
      </c>
    </row>
    <row r="399">
      <c r="A399" s="5">
        <v>375</v>
      </c>
      <c r="B399" s="5" t="str">
        <f>SMALL('Lineal Mixto'!$C$5:$C$2004,A399)</f>
      </c>
      <c r="C399" s="5" t="str">
        <f>A399/COUNT('Lineal Mixto'!$C$5:$C$2004)</f>
      </c>
      <c r="D399" s="5" t="str">
        <f>ABS(C399-B399)</f>
      </c>
    </row>
    <row r="400">
      <c r="A400" s="6">
        <v>376</v>
      </c>
      <c r="B400" s="6" t="str">
        <f>SMALL('Lineal Mixto'!$C$5:$C$2004,A400)</f>
      </c>
      <c r="C400" s="6" t="str">
        <f>A400/COUNT('Lineal Mixto'!$C$5:$C$2004)</f>
      </c>
      <c r="D400" s="6" t="str">
        <f>ABS(C400-B400)</f>
      </c>
    </row>
    <row r="401">
      <c r="A401" s="5">
        <v>377</v>
      </c>
      <c r="B401" s="5" t="str">
        <f>SMALL('Lineal Mixto'!$C$5:$C$2004,A401)</f>
      </c>
      <c r="C401" s="5" t="str">
        <f>A401/COUNT('Lineal Mixto'!$C$5:$C$2004)</f>
      </c>
      <c r="D401" s="5" t="str">
        <f>ABS(C401-B401)</f>
      </c>
    </row>
    <row r="402">
      <c r="A402" s="6">
        <v>378</v>
      </c>
      <c r="B402" s="6" t="str">
        <f>SMALL('Lineal Mixto'!$C$5:$C$2004,A402)</f>
      </c>
      <c r="C402" s="6" t="str">
        <f>A402/COUNT('Lineal Mixto'!$C$5:$C$2004)</f>
      </c>
      <c r="D402" s="6" t="str">
        <f>ABS(C402-B402)</f>
      </c>
    </row>
    <row r="403">
      <c r="A403" s="5">
        <v>379</v>
      </c>
      <c r="B403" s="5" t="str">
        <f>SMALL('Lineal Mixto'!$C$5:$C$2004,A403)</f>
      </c>
      <c r="C403" s="5" t="str">
        <f>A403/COUNT('Lineal Mixto'!$C$5:$C$2004)</f>
      </c>
      <c r="D403" s="5" t="str">
        <f>ABS(C403-B403)</f>
      </c>
    </row>
    <row r="404">
      <c r="A404" s="6">
        <v>380</v>
      </c>
      <c r="B404" s="6" t="str">
        <f>SMALL('Lineal Mixto'!$C$5:$C$2004,A404)</f>
      </c>
      <c r="C404" s="6" t="str">
        <f>A404/COUNT('Lineal Mixto'!$C$5:$C$2004)</f>
      </c>
      <c r="D404" s="6" t="str">
        <f>ABS(C404-B404)</f>
      </c>
    </row>
    <row r="405">
      <c r="A405" s="5">
        <v>381</v>
      </c>
      <c r="B405" s="5" t="str">
        <f>SMALL('Lineal Mixto'!$C$5:$C$2004,A405)</f>
      </c>
      <c r="C405" s="5" t="str">
        <f>A405/COUNT('Lineal Mixto'!$C$5:$C$2004)</f>
      </c>
      <c r="D405" s="5" t="str">
        <f>ABS(C405-B405)</f>
      </c>
    </row>
    <row r="406">
      <c r="A406" s="6">
        <v>382</v>
      </c>
      <c r="B406" s="6" t="str">
        <f>SMALL('Lineal Mixto'!$C$5:$C$2004,A406)</f>
      </c>
      <c r="C406" s="6" t="str">
        <f>A406/COUNT('Lineal Mixto'!$C$5:$C$2004)</f>
      </c>
      <c r="D406" s="6" t="str">
        <f>ABS(C406-B406)</f>
      </c>
    </row>
    <row r="407">
      <c r="A407" s="5">
        <v>383</v>
      </c>
      <c r="B407" s="5" t="str">
        <f>SMALL('Lineal Mixto'!$C$5:$C$2004,A407)</f>
      </c>
      <c r="C407" s="5" t="str">
        <f>A407/COUNT('Lineal Mixto'!$C$5:$C$2004)</f>
      </c>
      <c r="D407" s="5" t="str">
        <f>ABS(C407-B407)</f>
      </c>
    </row>
    <row r="408">
      <c r="A408" s="6">
        <v>384</v>
      </c>
      <c r="B408" s="6" t="str">
        <f>SMALL('Lineal Mixto'!$C$5:$C$2004,A408)</f>
      </c>
      <c r="C408" s="6" t="str">
        <f>A408/COUNT('Lineal Mixto'!$C$5:$C$2004)</f>
      </c>
      <c r="D408" s="6" t="str">
        <f>ABS(C408-B408)</f>
      </c>
    </row>
    <row r="409">
      <c r="A409" s="5">
        <v>385</v>
      </c>
      <c r="B409" s="5" t="str">
        <f>SMALL('Lineal Mixto'!$C$5:$C$2004,A409)</f>
      </c>
      <c r="C409" s="5" t="str">
        <f>A409/COUNT('Lineal Mixto'!$C$5:$C$2004)</f>
      </c>
      <c r="D409" s="5" t="str">
        <f>ABS(C409-B409)</f>
      </c>
    </row>
    <row r="410">
      <c r="A410" s="6">
        <v>386</v>
      </c>
      <c r="B410" s="6" t="str">
        <f>SMALL('Lineal Mixto'!$C$5:$C$2004,A410)</f>
      </c>
      <c r="C410" s="6" t="str">
        <f>A410/COUNT('Lineal Mixto'!$C$5:$C$2004)</f>
      </c>
      <c r="D410" s="6" t="str">
        <f>ABS(C410-B410)</f>
      </c>
    </row>
    <row r="411">
      <c r="A411" s="5">
        <v>387</v>
      </c>
      <c r="B411" s="5" t="str">
        <f>SMALL('Lineal Mixto'!$C$5:$C$2004,A411)</f>
      </c>
      <c r="C411" s="5" t="str">
        <f>A411/COUNT('Lineal Mixto'!$C$5:$C$2004)</f>
      </c>
      <c r="D411" s="5" t="str">
        <f>ABS(C411-B411)</f>
      </c>
    </row>
    <row r="412">
      <c r="A412" s="6">
        <v>388</v>
      </c>
      <c r="B412" s="6" t="str">
        <f>SMALL('Lineal Mixto'!$C$5:$C$2004,A412)</f>
      </c>
      <c r="C412" s="6" t="str">
        <f>A412/COUNT('Lineal Mixto'!$C$5:$C$2004)</f>
      </c>
      <c r="D412" s="6" t="str">
        <f>ABS(C412-B412)</f>
      </c>
    </row>
    <row r="413">
      <c r="A413" s="5">
        <v>389</v>
      </c>
      <c r="B413" s="5" t="str">
        <f>SMALL('Lineal Mixto'!$C$5:$C$2004,A413)</f>
      </c>
      <c r="C413" s="5" t="str">
        <f>A413/COUNT('Lineal Mixto'!$C$5:$C$2004)</f>
      </c>
      <c r="D413" s="5" t="str">
        <f>ABS(C413-B413)</f>
      </c>
    </row>
    <row r="414">
      <c r="A414" s="6">
        <v>390</v>
      </c>
      <c r="B414" s="6" t="str">
        <f>SMALL('Lineal Mixto'!$C$5:$C$2004,A414)</f>
      </c>
      <c r="C414" s="6" t="str">
        <f>A414/COUNT('Lineal Mixto'!$C$5:$C$2004)</f>
      </c>
      <c r="D414" s="6" t="str">
        <f>ABS(C414-B414)</f>
      </c>
    </row>
    <row r="415">
      <c r="A415" s="5">
        <v>391</v>
      </c>
      <c r="B415" s="5" t="str">
        <f>SMALL('Lineal Mixto'!$C$5:$C$2004,A415)</f>
      </c>
      <c r="C415" s="5" t="str">
        <f>A415/COUNT('Lineal Mixto'!$C$5:$C$2004)</f>
      </c>
      <c r="D415" s="5" t="str">
        <f>ABS(C415-B415)</f>
      </c>
    </row>
    <row r="416">
      <c r="A416" s="6">
        <v>392</v>
      </c>
      <c r="B416" s="6" t="str">
        <f>SMALL('Lineal Mixto'!$C$5:$C$2004,A416)</f>
      </c>
      <c r="C416" s="6" t="str">
        <f>A416/COUNT('Lineal Mixto'!$C$5:$C$2004)</f>
      </c>
      <c r="D416" s="6" t="str">
        <f>ABS(C416-B416)</f>
      </c>
    </row>
    <row r="417">
      <c r="A417" s="5">
        <v>393</v>
      </c>
      <c r="B417" s="5" t="str">
        <f>SMALL('Lineal Mixto'!$C$5:$C$2004,A417)</f>
      </c>
      <c r="C417" s="5" t="str">
        <f>A417/COUNT('Lineal Mixto'!$C$5:$C$2004)</f>
      </c>
      <c r="D417" s="5" t="str">
        <f>ABS(C417-B417)</f>
      </c>
    </row>
    <row r="418">
      <c r="A418" s="6">
        <v>394</v>
      </c>
      <c r="B418" s="6" t="str">
        <f>SMALL('Lineal Mixto'!$C$5:$C$2004,A418)</f>
      </c>
      <c r="C418" s="6" t="str">
        <f>A418/COUNT('Lineal Mixto'!$C$5:$C$2004)</f>
      </c>
      <c r="D418" s="6" t="str">
        <f>ABS(C418-B418)</f>
      </c>
    </row>
    <row r="419">
      <c r="A419" s="5">
        <v>395</v>
      </c>
      <c r="B419" s="5" t="str">
        <f>SMALL('Lineal Mixto'!$C$5:$C$2004,A419)</f>
      </c>
      <c r="C419" s="5" t="str">
        <f>A419/COUNT('Lineal Mixto'!$C$5:$C$2004)</f>
      </c>
      <c r="D419" s="5" t="str">
        <f>ABS(C419-B419)</f>
      </c>
    </row>
    <row r="420">
      <c r="A420" s="6">
        <v>396</v>
      </c>
      <c r="B420" s="6" t="str">
        <f>SMALL('Lineal Mixto'!$C$5:$C$2004,A420)</f>
      </c>
      <c r="C420" s="6" t="str">
        <f>A420/COUNT('Lineal Mixto'!$C$5:$C$2004)</f>
      </c>
      <c r="D420" s="6" t="str">
        <f>ABS(C420-B420)</f>
      </c>
    </row>
    <row r="421">
      <c r="A421" s="5">
        <v>397</v>
      </c>
      <c r="B421" s="5" t="str">
        <f>SMALL('Lineal Mixto'!$C$5:$C$2004,A421)</f>
      </c>
      <c r="C421" s="5" t="str">
        <f>A421/COUNT('Lineal Mixto'!$C$5:$C$2004)</f>
      </c>
      <c r="D421" s="5" t="str">
        <f>ABS(C421-B421)</f>
      </c>
    </row>
    <row r="422">
      <c r="A422" s="6">
        <v>398</v>
      </c>
      <c r="B422" s="6" t="str">
        <f>SMALL('Lineal Mixto'!$C$5:$C$2004,A422)</f>
      </c>
      <c r="C422" s="6" t="str">
        <f>A422/COUNT('Lineal Mixto'!$C$5:$C$2004)</f>
      </c>
      <c r="D422" s="6" t="str">
        <f>ABS(C422-B422)</f>
      </c>
    </row>
    <row r="423">
      <c r="A423" s="5">
        <v>399</v>
      </c>
      <c r="B423" s="5" t="str">
        <f>SMALL('Lineal Mixto'!$C$5:$C$2004,A423)</f>
      </c>
      <c r="C423" s="5" t="str">
        <f>A423/COUNT('Lineal Mixto'!$C$5:$C$2004)</f>
      </c>
      <c r="D423" s="5" t="str">
        <f>ABS(C423-B423)</f>
      </c>
    </row>
    <row r="424">
      <c r="A424" s="6">
        <v>400</v>
      </c>
      <c r="B424" s="6" t="str">
        <f>SMALL('Lineal Mixto'!$C$5:$C$2004,A424)</f>
      </c>
      <c r="C424" s="6" t="str">
        <f>A424/COUNT('Lineal Mixto'!$C$5:$C$2004)</f>
      </c>
      <c r="D424" s="6" t="str">
        <f>ABS(C424-B424)</f>
      </c>
    </row>
    <row r="425">
      <c r="A425" s="5">
        <v>401</v>
      </c>
      <c r="B425" s="5" t="str">
        <f>SMALL('Lineal Mixto'!$C$5:$C$2004,A425)</f>
      </c>
      <c r="C425" s="5" t="str">
        <f>A425/COUNT('Lineal Mixto'!$C$5:$C$2004)</f>
      </c>
      <c r="D425" s="5" t="str">
        <f>ABS(C425-B425)</f>
      </c>
    </row>
    <row r="426">
      <c r="A426" s="6">
        <v>402</v>
      </c>
      <c r="B426" s="6" t="str">
        <f>SMALL('Lineal Mixto'!$C$5:$C$2004,A426)</f>
      </c>
      <c r="C426" s="6" t="str">
        <f>A426/COUNT('Lineal Mixto'!$C$5:$C$2004)</f>
      </c>
      <c r="D426" s="6" t="str">
        <f>ABS(C426-B426)</f>
      </c>
    </row>
    <row r="427">
      <c r="A427" s="5">
        <v>403</v>
      </c>
      <c r="B427" s="5" t="str">
        <f>SMALL('Lineal Mixto'!$C$5:$C$2004,A427)</f>
      </c>
      <c r="C427" s="5" t="str">
        <f>A427/COUNT('Lineal Mixto'!$C$5:$C$2004)</f>
      </c>
      <c r="D427" s="5" t="str">
        <f>ABS(C427-B427)</f>
      </c>
    </row>
    <row r="428">
      <c r="A428" s="6">
        <v>404</v>
      </c>
      <c r="B428" s="6" t="str">
        <f>SMALL('Lineal Mixto'!$C$5:$C$2004,A428)</f>
      </c>
      <c r="C428" s="6" t="str">
        <f>A428/COUNT('Lineal Mixto'!$C$5:$C$2004)</f>
      </c>
      <c r="D428" s="6" t="str">
        <f>ABS(C428-B428)</f>
      </c>
    </row>
    <row r="429">
      <c r="A429" s="5">
        <v>405</v>
      </c>
      <c r="B429" s="5" t="str">
        <f>SMALL('Lineal Mixto'!$C$5:$C$2004,A429)</f>
      </c>
      <c r="C429" s="5" t="str">
        <f>A429/COUNT('Lineal Mixto'!$C$5:$C$2004)</f>
      </c>
      <c r="D429" s="5" t="str">
        <f>ABS(C429-B429)</f>
      </c>
    </row>
    <row r="430">
      <c r="A430" s="6">
        <v>406</v>
      </c>
      <c r="B430" s="6" t="str">
        <f>SMALL('Lineal Mixto'!$C$5:$C$2004,A430)</f>
      </c>
      <c r="C430" s="6" t="str">
        <f>A430/COUNT('Lineal Mixto'!$C$5:$C$2004)</f>
      </c>
      <c r="D430" s="6" t="str">
        <f>ABS(C430-B430)</f>
      </c>
    </row>
    <row r="431">
      <c r="A431" s="5">
        <v>407</v>
      </c>
      <c r="B431" s="5" t="str">
        <f>SMALL('Lineal Mixto'!$C$5:$C$2004,A431)</f>
      </c>
      <c r="C431" s="5" t="str">
        <f>A431/COUNT('Lineal Mixto'!$C$5:$C$2004)</f>
      </c>
      <c r="D431" s="5" t="str">
        <f>ABS(C431-B431)</f>
      </c>
    </row>
    <row r="432">
      <c r="A432" s="6">
        <v>408</v>
      </c>
      <c r="B432" s="6" t="str">
        <f>SMALL('Lineal Mixto'!$C$5:$C$2004,A432)</f>
      </c>
      <c r="C432" s="6" t="str">
        <f>A432/COUNT('Lineal Mixto'!$C$5:$C$2004)</f>
      </c>
      <c r="D432" s="6" t="str">
        <f>ABS(C432-B432)</f>
      </c>
    </row>
    <row r="433">
      <c r="A433" s="5">
        <v>409</v>
      </c>
      <c r="B433" s="5" t="str">
        <f>SMALL('Lineal Mixto'!$C$5:$C$2004,A433)</f>
      </c>
      <c r="C433" s="5" t="str">
        <f>A433/COUNT('Lineal Mixto'!$C$5:$C$2004)</f>
      </c>
      <c r="D433" s="5" t="str">
        <f>ABS(C433-B433)</f>
      </c>
    </row>
    <row r="434">
      <c r="A434" s="6">
        <v>410</v>
      </c>
      <c r="B434" s="6" t="str">
        <f>SMALL('Lineal Mixto'!$C$5:$C$2004,A434)</f>
      </c>
      <c r="C434" s="6" t="str">
        <f>A434/COUNT('Lineal Mixto'!$C$5:$C$2004)</f>
      </c>
      <c r="D434" s="6" t="str">
        <f>ABS(C434-B434)</f>
      </c>
    </row>
    <row r="435">
      <c r="A435" s="5">
        <v>411</v>
      </c>
      <c r="B435" s="5" t="str">
        <f>SMALL('Lineal Mixto'!$C$5:$C$2004,A435)</f>
      </c>
      <c r="C435" s="5" t="str">
        <f>A435/COUNT('Lineal Mixto'!$C$5:$C$2004)</f>
      </c>
      <c r="D435" s="5" t="str">
        <f>ABS(C435-B435)</f>
      </c>
    </row>
    <row r="436">
      <c r="A436" s="6">
        <v>412</v>
      </c>
      <c r="B436" s="6" t="str">
        <f>SMALL('Lineal Mixto'!$C$5:$C$2004,A436)</f>
      </c>
      <c r="C436" s="6" t="str">
        <f>A436/COUNT('Lineal Mixto'!$C$5:$C$2004)</f>
      </c>
      <c r="D436" s="6" t="str">
        <f>ABS(C436-B436)</f>
      </c>
    </row>
    <row r="437">
      <c r="A437" s="5">
        <v>413</v>
      </c>
      <c r="B437" s="5" t="str">
        <f>SMALL('Lineal Mixto'!$C$5:$C$2004,A437)</f>
      </c>
      <c r="C437" s="5" t="str">
        <f>A437/COUNT('Lineal Mixto'!$C$5:$C$2004)</f>
      </c>
      <c r="D437" s="5" t="str">
        <f>ABS(C437-B437)</f>
      </c>
    </row>
    <row r="438">
      <c r="A438" s="6">
        <v>414</v>
      </c>
      <c r="B438" s="6" t="str">
        <f>SMALL('Lineal Mixto'!$C$5:$C$2004,A438)</f>
      </c>
      <c r="C438" s="6" t="str">
        <f>A438/COUNT('Lineal Mixto'!$C$5:$C$2004)</f>
      </c>
      <c r="D438" s="6" t="str">
        <f>ABS(C438-B438)</f>
      </c>
    </row>
    <row r="439">
      <c r="A439" s="5">
        <v>415</v>
      </c>
      <c r="B439" s="5" t="str">
        <f>SMALL('Lineal Mixto'!$C$5:$C$2004,A439)</f>
      </c>
      <c r="C439" s="5" t="str">
        <f>A439/COUNT('Lineal Mixto'!$C$5:$C$2004)</f>
      </c>
      <c r="D439" s="5" t="str">
        <f>ABS(C439-B439)</f>
      </c>
    </row>
    <row r="440">
      <c r="A440" s="6">
        <v>416</v>
      </c>
      <c r="B440" s="6" t="str">
        <f>SMALL('Lineal Mixto'!$C$5:$C$2004,A440)</f>
      </c>
      <c r="C440" s="6" t="str">
        <f>A440/COUNT('Lineal Mixto'!$C$5:$C$2004)</f>
      </c>
      <c r="D440" s="6" t="str">
        <f>ABS(C440-B440)</f>
      </c>
    </row>
    <row r="441">
      <c r="A441" s="5">
        <v>417</v>
      </c>
      <c r="B441" s="5" t="str">
        <f>SMALL('Lineal Mixto'!$C$5:$C$2004,A441)</f>
      </c>
      <c r="C441" s="5" t="str">
        <f>A441/COUNT('Lineal Mixto'!$C$5:$C$2004)</f>
      </c>
      <c r="D441" s="5" t="str">
        <f>ABS(C441-B441)</f>
      </c>
    </row>
    <row r="442">
      <c r="A442" s="6">
        <v>418</v>
      </c>
      <c r="B442" s="6" t="str">
        <f>SMALL('Lineal Mixto'!$C$5:$C$2004,A442)</f>
      </c>
      <c r="C442" s="6" t="str">
        <f>A442/COUNT('Lineal Mixto'!$C$5:$C$2004)</f>
      </c>
      <c r="D442" s="6" t="str">
        <f>ABS(C442-B442)</f>
      </c>
    </row>
    <row r="443">
      <c r="A443" s="5">
        <v>419</v>
      </c>
      <c r="B443" s="5" t="str">
        <f>SMALL('Lineal Mixto'!$C$5:$C$2004,A443)</f>
      </c>
      <c r="C443" s="5" t="str">
        <f>A443/COUNT('Lineal Mixto'!$C$5:$C$2004)</f>
      </c>
      <c r="D443" s="5" t="str">
        <f>ABS(C443-B443)</f>
      </c>
    </row>
    <row r="444">
      <c r="A444" s="6">
        <v>420</v>
      </c>
      <c r="B444" s="6" t="str">
        <f>SMALL('Lineal Mixto'!$C$5:$C$2004,A444)</f>
      </c>
      <c r="C444" s="6" t="str">
        <f>A444/COUNT('Lineal Mixto'!$C$5:$C$2004)</f>
      </c>
      <c r="D444" s="6" t="str">
        <f>ABS(C444-B444)</f>
      </c>
    </row>
    <row r="445">
      <c r="A445" s="5">
        <v>421</v>
      </c>
      <c r="B445" s="5" t="str">
        <f>SMALL('Lineal Mixto'!$C$5:$C$2004,A445)</f>
      </c>
      <c r="C445" s="5" t="str">
        <f>A445/COUNT('Lineal Mixto'!$C$5:$C$2004)</f>
      </c>
      <c r="D445" s="5" t="str">
        <f>ABS(C445-B445)</f>
      </c>
    </row>
    <row r="446">
      <c r="A446" s="6">
        <v>422</v>
      </c>
      <c r="B446" s="6" t="str">
        <f>SMALL('Lineal Mixto'!$C$5:$C$2004,A446)</f>
      </c>
      <c r="C446" s="6" t="str">
        <f>A446/COUNT('Lineal Mixto'!$C$5:$C$2004)</f>
      </c>
      <c r="D446" s="6" t="str">
        <f>ABS(C446-B446)</f>
      </c>
    </row>
    <row r="447">
      <c r="A447" s="5">
        <v>423</v>
      </c>
      <c r="B447" s="5" t="str">
        <f>SMALL('Lineal Mixto'!$C$5:$C$2004,A447)</f>
      </c>
      <c r="C447" s="5" t="str">
        <f>A447/COUNT('Lineal Mixto'!$C$5:$C$2004)</f>
      </c>
      <c r="D447" s="5" t="str">
        <f>ABS(C447-B447)</f>
      </c>
    </row>
    <row r="448">
      <c r="A448" s="6">
        <v>424</v>
      </c>
      <c r="B448" s="6" t="str">
        <f>SMALL('Lineal Mixto'!$C$5:$C$2004,A448)</f>
      </c>
      <c r="C448" s="6" t="str">
        <f>A448/COUNT('Lineal Mixto'!$C$5:$C$2004)</f>
      </c>
      <c r="D448" s="6" t="str">
        <f>ABS(C448-B448)</f>
      </c>
    </row>
    <row r="449">
      <c r="A449" s="5">
        <v>425</v>
      </c>
      <c r="B449" s="5" t="str">
        <f>SMALL('Lineal Mixto'!$C$5:$C$2004,A449)</f>
      </c>
      <c r="C449" s="5" t="str">
        <f>A449/COUNT('Lineal Mixto'!$C$5:$C$2004)</f>
      </c>
      <c r="D449" s="5" t="str">
        <f>ABS(C449-B449)</f>
      </c>
    </row>
    <row r="450">
      <c r="A450" s="6">
        <v>426</v>
      </c>
      <c r="B450" s="6" t="str">
        <f>SMALL('Lineal Mixto'!$C$5:$C$2004,A450)</f>
      </c>
      <c r="C450" s="6" t="str">
        <f>A450/COUNT('Lineal Mixto'!$C$5:$C$2004)</f>
      </c>
      <c r="D450" s="6" t="str">
        <f>ABS(C450-B450)</f>
      </c>
    </row>
    <row r="451">
      <c r="A451" s="5">
        <v>427</v>
      </c>
      <c r="B451" s="5" t="str">
        <f>SMALL('Lineal Mixto'!$C$5:$C$2004,A451)</f>
      </c>
      <c r="C451" s="5" t="str">
        <f>A451/COUNT('Lineal Mixto'!$C$5:$C$2004)</f>
      </c>
      <c r="D451" s="5" t="str">
        <f>ABS(C451-B451)</f>
      </c>
    </row>
    <row r="452">
      <c r="A452" s="6">
        <v>428</v>
      </c>
      <c r="B452" s="6" t="str">
        <f>SMALL('Lineal Mixto'!$C$5:$C$2004,A452)</f>
      </c>
      <c r="C452" s="6" t="str">
        <f>A452/COUNT('Lineal Mixto'!$C$5:$C$2004)</f>
      </c>
      <c r="D452" s="6" t="str">
        <f>ABS(C452-B452)</f>
      </c>
    </row>
    <row r="453">
      <c r="A453" s="5">
        <v>429</v>
      </c>
      <c r="B453" s="5" t="str">
        <f>SMALL('Lineal Mixto'!$C$5:$C$2004,A453)</f>
      </c>
      <c r="C453" s="5" t="str">
        <f>A453/COUNT('Lineal Mixto'!$C$5:$C$2004)</f>
      </c>
      <c r="D453" s="5" t="str">
        <f>ABS(C453-B453)</f>
      </c>
    </row>
    <row r="454">
      <c r="A454" s="6">
        <v>430</v>
      </c>
      <c r="B454" s="6" t="str">
        <f>SMALL('Lineal Mixto'!$C$5:$C$2004,A454)</f>
      </c>
      <c r="C454" s="6" t="str">
        <f>A454/COUNT('Lineal Mixto'!$C$5:$C$2004)</f>
      </c>
      <c r="D454" s="6" t="str">
        <f>ABS(C454-B454)</f>
      </c>
    </row>
    <row r="455">
      <c r="A455" s="5">
        <v>431</v>
      </c>
      <c r="B455" s="5" t="str">
        <f>SMALL('Lineal Mixto'!$C$5:$C$2004,A455)</f>
      </c>
      <c r="C455" s="5" t="str">
        <f>A455/COUNT('Lineal Mixto'!$C$5:$C$2004)</f>
      </c>
      <c r="D455" s="5" t="str">
        <f>ABS(C455-B455)</f>
      </c>
    </row>
    <row r="456">
      <c r="A456" s="6">
        <v>432</v>
      </c>
      <c r="B456" s="6" t="str">
        <f>SMALL('Lineal Mixto'!$C$5:$C$2004,A456)</f>
      </c>
      <c r="C456" s="6" t="str">
        <f>A456/COUNT('Lineal Mixto'!$C$5:$C$2004)</f>
      </c>
      <c r="D456" s="6" t="str">
        <f>ABS(C456-B456)</f>
      </c>
    </row>
    <row r="457">
      <c r="A457" s="5">
        <v>433</v>
      </c>
      <c r="B457" s="5" t="str">
        <f>SMALL('Lineal Mixto'!$C$5:$C$2004,A457)</f>
      </c>
      <c r="C457" s="5" t="str">
        <f>A457/COUNT('Lineal Mixto'!$C$5:$C$2004)</f>
      </c>
      <c r="D457" s="5" t="str">
        <f>ABS(C457-B457)</f>
      </c>
    </row>
    <row r="458">
      <c r="A458" s="6">
        <v>434</v>
      </c>
      <c r="B458" s="6" t="str">
        <f>SMALL('Lineal Mixto'!$C$5:$C$2004,A458)</f>
      </c>
      <c r="C458" s="6" t="str">
        <f>A458/COUNT('Lineal Mixto'!$C$5:$C$2004)</f>
      </c>
      <c r="D458" s="6" t="str">
        <f>ABS(C458-B458)</f>
      </c>
    </row>
    <row r="459">
      <c r="A459" s="5">
        <v>435</v>
      </c>
      <c r="B459" s="5" t="str">
        <f>SMALL('Lineal Mixto'!$C$5:$C$2004,A459)</f>
      </c>
      <c r="C459" s="5" t="str">
        <f>A459/COUNT('Lineal Mixto'!$C$5:$C$2004)</f>
      </c>
      <c r="D459" s="5" t="str">
        <f>ABS(C459-B459)</f>
      </c>
    </row>
    <row r="460">
      <c r="A460" s="6">
        <v>436</v>
      </c>
      <c r="B460" s="6" t="str">
        <f>SMALL('Lineal Mixto'!$C$5:$C$2004,A460)</f>
      </c>
      <c r="C460" s="6" t="str">
        <f>A460/COUNT('Lineal Mixto'!$C$5:$C$2004)</f>
      </c>
      <c r="D460" s="6" t="str">
        <f>ABS(C460-B460)</f>
      </c>
    </row>
    <row r="461">
      <c r="A461" s="5">
        <v>437</v>
      </c>
      <c r="B461" s="5" t="str">
        <f>SMALL('Lineal Mixto'!$C$5:$C$2004,A461)</f>
      </c>
      <c r="C461" s="5" t="str">
        <f>A461/COUNT('Lineal Mixto'!$C$5:$C$2004)</f>
      </c>
      <c r="D461" s="5" t="str">
        <f>ABS(C461-B461)</f>
      </c>
    </row>
    <row r="462">
      <c r="A462" s="6">
        <v>438</v>
      </c>
      <c r="B462" s="6" t="str">
        <f>SMALL('Lineal Mixto'!$C$5:$C$2004,A462)</f>
      </c>
      <c r="C462" s="6" t="str">
        <f>A462/COUNT('Lineal Mixto'!$C$5:$C$2004)</f>
      </c>
      <c r="D462" s="6" t="str">
        <f>ABS(C462-B462)</f>
      </c>
    </row>
    <row r="463">
      <c r="A463" s="5">
        <v>439</v>
      </c>
      <c r="B463" s="5" t="str">
        <f>SMALL('Lineal Mixto'!$C$5:$C$2004,A463)</f>
      </c>
      <c r="C463" s="5" t="str">
        <f>A463/COUNT('Lineal Mixto'!$C$5:$C$2004)</f>
      </c>
      <c r="D463" s="5" t="str">
        <f>ABS(C463-B463)</f>
      </c>
    </row>
    <row r="464">
      <c r="A464" s="6">
        <v>440</v>
      </c>
      <c r="B464" s="6" t="str">
        <f>SMALL('Lineal Mixto'!$C$5:$C$2004,A464)</f>
      </c>
      <c r="C464" s="6" t="str">
        <f>A464/COUNT('Lineal Mixto'!$C$5:$C$2004)</f>
      </c>
      <c r="D464" s="6" t="str">
        <f>ABS(C464-B464)</f>
      </c>
    </row>
    <row r="465">
      <c r="A465" s="5">
        <v>441</v>
      </c>
      <c r="B465" s="5" t="str">
        <f>SMALL('Lineal Mixto'!$C$5:$C$2004,A465)</f>
      </c>
      <c r="C465" s="5" t="str">
        <f>A465/COUNT('Lineal Mixto'!$C$5:$C$2004)</f>
      </c>
      <c r="D465" s="5" t="str">
        <f>ABS(C465-B465)</f>
      </c>
    </row>
    <row r="466">
      <c r="A466" s="6">
        <v>442</v>
      </c>
      <c r="B466" s="6" t="str">
        <f>SMALL('Lineal Mixto'!$C$5:$C$2004,A466)</f>
      </c>
      <c r="C466" s="6" t="str">
        <f>A466/COUNT('Lineal Mixto'!$C$5:$C$2004)</f>
      </c>
      <c r="D466" s="6" t="str">
        <f>ABS(C466-B466)</f>
      </c>
    </row>
    <row r="467">
      <c r="A467" s="5">
        <v>443</v>
      </c>
      <c r="B467" s="5" t="str">
        <f>SMALL('Lineal Mixto'!$C$5:$C$2004,A467)</f>
      </c>
      <c r="C467" s="5" t="str">
        <f>A467/COUNT('Lineal Mixto'!$C$5:$C$2004)</f>
      </c>
      <c r="D467" s="5" t="str">
        <f>ABS(C467-B467)</f>
      </c>
    </row>
    <row r="468">
      <c r="A468" s="6">
        <v>444</v>
      </c>
      <c r="B468" s="6" t="str">
        <f>SMALL('Lineal Mixto'!$C$5:$C$2004,A468)</f>
      </c>
      <c r="C468" s="6" t="str">
        <f>A468/COUNT('Lineal Mixto'!$C$5:$C$2004)</f>
      </c>
      <c r="D468" s="6" t="str">
        <f>ABS(C468-B468)</f>
      </c>
    </row>
    <row r="469">
      <c r="A469" s="5">
        <v>445</v>
      </c>
      <c r="B469" s="5" t="str">
        <f>SMALL('Lineal Mixto'!$C$5:$C$2004,A469)</f>
      </c>
      <c r="C469" s="5" t="str">
        <f>A469/COUNT('Lineal Mixto'!$C$5:$C$2004)</f>
      </c>
      <c r="D469" s="5" t="str">
        <f>ABS(C469-B469)</f>
      </c>
    </row>
    <row r="470">
      <c r="A470" s="6">
        <v>446</v>
      </c>
      <c r="B470" s="6" t="str">
        <f>SMALL('Lineal Mixto'!$C$5:$C$2004,A470)</f>
      </c>
      <c r="C470" s="6" t="str">
        <f>A470/COUNT('Lineal Mixto'!$C$5:$C$2004)</f>
      </c>
      <c r="D470" s="6" t="str">
        <f>ABS(C470-B470)</f>
      </c>
    </row>
    <row r="471">
      <c r="A471" s="5">
        <v>447</v>
      </c>
      <c r="B471" s="5" t="str">
        <f>SMALL('Lineal Mixto'!$C$5:$C$2004,A471)</f>
      </c>
      <c r="C471" s="5" t="str">
        <f>A471/COUNT('Lineal Mixto'!$C$5:$C$2004)</f>
      </c>
      <c r="D471" s="5" t="str">
        <f>ABS(C471-B471)</f>
      </c>
    </row>
    <row r="472">
      <c r="A472" s="6">
        <v>448</v>
      </c>
      <c r="B472" s="6" t="str">
        <f>SMALL('Lineal Mixto'!$C$5:$C$2004,A472)</f>
      </c>
      <c r="C472" s="6" t="str">
        <f>A472/COUNT('Lineal Mixto'!$C$5:$C$2004)</f>
      </c>
      <c r="D472" s="6" t="str">
        <f>ABS(C472-B472)</f>
      </c>
    </row>
    <row r="473">
      <c r="A473" s="5">
        <v>449</v>
      </c>
      <c r="B473" s="5" t="str">
        <f>SMALL('Lineal Mixto'!$C$5:$C$2004,A473)</f>
      </c>
      <c r="C473" s="5" t="str">
        <f>A473/COUNT('Lineal Mixto'!$C$5:$C$2004)</f>
      </c>
      <c r="D473" s="5" t="str">
        <f>ABS(C473-B473)</f>
      </c>
    </row>
    <row r="474">
      <c r="A474" s="6">
        <v>450</v>
      </c>
      <c r="B474" s="6" t="str">
        <f>SMALL('Lineal Mixto'!$C$5:$C$2004,A474)</f>
      </c>
      <c r="C474" s="6" t="str">
        <f>A474/COUNT('Lineal Mixto'!$C$5:$C$2004)</f>
      </c>
      <c r="D474" s="6" t="str">
        <f>ABS(C474-B474)</f>
      </c>
    </row>
    <row r="475">
      <c r="A475" s="5">
        <v>451</v>
      </c>
      <c r="B475" s="5" t="str">
        <f>SMALL('Lineal Mixto'!$C$5:$C$2004,A475)</f>
      </c>
      <c r="C475" s="5" t="str">
        <f>A475/COUNT('Lineal Mixto'!$C$5:$C$2004)</f>
      </c>
      <c r="D475" s="5" t="str">
        <f>ABS(C475-B475)</f>
      </c>
    </row>
    <row r="476">
      <c r="A476" s="6">
        <v>452</v>
      </c>
      <c r="B476" s="6" t="str">
        <f>SMALL('Lineal Mixto'!$C$5:$C$2004,A476)</f>
      </c>
      <c r="C476" s="6" t="str">
        <f>A476/COUNT('Lineal Mixto'!$C$5:$C$2004)</f>
      </c>
      <c r="D476" s="6" t="str">
        <f>ABS(C476-B476)</f>
      </c>
    </row>
    <row r="477">
      <c r="A477" s="5">
        <v>453</v>
      </c>
      <c r="B477" s="5" t="str">
        <f>SMALL('Lineal Mixto'!$C$5:$C$2004,A477)</f>
      </c>
      <c r="C477" s="5" t="str">
        <f>A477/COUNT('Lineal Mixto'!$C$5:$C$2004)</f>
      </c>
      <c r="D477" s="5" t="str">
        <f>ABS(C477-B477)</f>
      </c>
    </row>
    <row r="478">
      <c r="A478" s="6">
        <v>454</v>
      </c>
      <c r="B478" s="6" t="str">
        <f>SMALL('Lineal Mixto'!$C$5:$C$2004,A478)</f>
      </c>
      <c r="C478" s="6" t="str">
        <f>A478/COUNT('Lineal Mixto'!$C$5:$C$2004)</f>
      </c>
      <c r="D478" s="6" t="str">
        <f>ABS(C478-B478)</f>
      </c>
    </row>
    <row r="479">
      <c r="A479" s="5">
        <v>455</v>
      </c>
      <c r="B479" s="5" t="str">
        <f>SMALL('Lineal Mixto'!$C$5:$C$2004,A479)</f>
      </c>
      <c r="C479" s="5" t="str">
        <f>A479/COUNT('Lineal Mixto'!$C$5:$C$2004)</f>
      </c>
      <c r="D479" s="5" t="str">
        <f>ABS(C479-B479)</f>
      </c>
    </row>
    <row r="480">
      <c r="A480" s="6">
        <v>456</v>
      </c>
      <c r="B480" s="6" t="str">
        <f>SMALL('Lineal Mixto'!$C$5:$C$2004,A480)</f>
      </c>
      <c r="C480" s="6" t="str">
        <f>A480/COUNT('Lineal Mixto'!$C$5:$C$2004)</f>
      </c>
      <c r="D480" s="6" t="str">
        <f>ABS(C480-B480)</f>
      </c>
    </row>
    <row r="481">
      <c r="A481" s="5">
        <v>457</v>
      </c>
      <c r="B481" s="5" t="str">
        <f>SMALL('Lineal Mixto'!$C$5:$C$2004,A481)</f>
      </c>
      <c r="C481" s="5" t="str">
        <f>A481/COUNT('Lineal Mixto'!$C$5:$C$2004)</f>
      </c>
      <c r="D481" s="5" t="str">
        <f>ABS(C481-B481)</f>
      </c>
    </row>
    <row r="482">
      <c r="A482" s="6">
        <v>458</v>
      </c>
      <c r="B482" s="6" t="str">
        <f>SMALL('Lineal Mixto'!$C$5:$C$2004,A482)</f>
      </c>
      <c r="C482" s="6" t="str">
        <f>A482/COUNT('Lineal Mixto'!$C$5:$C$2004)</f>
      </c>
      <c r="D482" s="6" t="str">
        <f>ABS(C482-B482)</f>
      </c>
    </row>
    <row r="483">
      <c r="A483" s="5">
        <v>459</v>
      </c>
      <c r="B483" s="5" t="str">
        <f>SMALL('Lineal Mixto'!$C$5:$C$2004,A483)</f>
      </c>
      <c r="C483" s="5" t="str">
        <f>A483/COUNT('Lineal Mixto'!$C$5:$C$2004)</f>
      </c>
      <c r="D483" s="5" t="str">
        <f>ABS(C483-B483)</f>
      </c>
    </row>
    <row r="484">
      <c r="A484" s="6">
        <v>460</v>
      </c>
      <c r="B484" s="6" t="str">
        <f>SMALL('Lineal Mixto'!$C$5:$C$2004,A484)</f>
      </c>
      <c r="C484" s="6" t="str">
        <f>A484/COUNT('Lineal Mixto'!$C$5:$C$2004)</f>
      </c>
      <c r="D484" s="6" t="str">
        <f>ABS(C484-B484)</f>
      </c>
    </row>
    <row r="485">
      <c r="A485" s="5">
        <v>461</v>
      </c>
      <c r="B485" s="5" t="str">
        <f>SMALL('Lineal Mixto'!$C$5:$C$2004,A485)</f>
      </c>
      <c r="C485" s="5" t="str">
        <f>A485/COUNT('Lineal Mixto'!$C$5:$C$2004)</f>
      </c>
      <c r="D485" s="5" t="str">
        <f>ABS(C485-B485)</f>
      </c>
    </row>
    <row r="486">
      <c r="A486" s="6">
        <v>462</v>
      </c>
      <c r="B486" s="6" t="str">
        <f>SMALL('Lineal Mixto'!$C$5:$C$2004,A486)</f>
      </c>
      <c r="C486" s="6" t="str">
        <f>A486/COUNT('Lineal Mixto'!$C$5:$C$2004)</f>
      </c>
      <c r="D486" s="6" t="str">
        <f>ABS(C486-B486)</f>
      </c>
    </row>
    <row r="487">
      <c r="A487" s="5">
        <v>463</v>
      </c>
      <c r="B487" s="5" t="str">
        <f>SMALL('Lineal Mixto'!$C$5:$C$2004,A487)</f>
      </c>
      <c r="C487" s="5" t="str">
        <f>A487/COUNT('Lineal Mixto'!$C$5:$C$2004)</f>
      </c>
      <c r="D487" s="5" t="str">
        <f>ABS(C487-B487)</f>
      </c>
    </row>
    <row r="488">
      <c r="A488" s="6">
        <v>464</v>
      </c>
      <c r="B488" s="6" t="str">
        <f>SMALL('Lineal Mixto'!$C$5:$C$2004,A488)</f>
      </c>
      <c r="C488" s="6" t="str">
        <f>A488/COUNT('Lineal Mixto'!$C$5:$C$2004)</f>
      </c>
      <c r="D488" s="6" t="str">
        <f>ABS(C488-B488)</f>
      </c>
    </row>
    <row r="489">
      <c r="A489" s="5">
        <v>465</v>
      </c>
      <c r="B489" s="5" t="str">
        <f>SMALL('Lineal Mixto'!$C$5:$C$2004,A489)</f>
      </c>
      <c r="C489" s="5" t="str">
        <f>A489/COUNT('Lineal Mixto'!$C$5:$C$2004)</f>
      </c>
      <c r="D489" s="5" t="str">
        <f>ABS(C489-B489)</f>
      </c>
    </row>
    <row r="490">
      <c r="A490" s="6">
        <v>466</v>
      </c>
      <c r="B490" s="6" t="str">
        <f>SMALL('Lineal Mixto'!$C$5:$C$2004,A490)</f>
      </c>
      <c r="C490" s="6" t="str">
        <f>A490/COUNT('Lineal Mixto'!$C$5:$C$2004)</f>
      </c>
      <c r="D490" s="6" t="str">
        <f>ABS(C490-B490)</f>
      </c>
    </row>
    <row r="491">
      <c r="A491" s="5">
        <v>467</v>
      </c>
      <c r="B491" s="5" t="str">
        <f>SMALL('Lineal Mixto'!$C$5:$C$2004,A491)</f>
      </c>
      <c r="C491" s="5" t="str">
        <f>A491/COUNT('Lineal Mixto'!$C$5:$C$2004)</f>
      </c>
      <c r="D491" s="5" t="str">
        <f>ABS(C491-B491)</f>
      </c>
    </row>
    <row r="492">
      <c r="A492" s="6">
        <v>468</v>
      </c>
      <c r="B492" s="6" t="str">
        <f>SMALL('Lineal Mixto'!$C$5:$C$2004,A492)</f>
      </c>
      <c r="C492" s="6" t="str">
        <f>A492/COUNT('Lineal Mixto'!$C$5:$C$2004)</f>
      </c>
      <c r="D492" s="6" t="str">
        <f>ABS(C492-B492)</f>
      </c>
    </row>
    <row r="493">
      <c r="A493" s="5">
        <v>469</v>
      </c>
      <c r="B493" s="5" t="str">
        <f>SMALL('Lineal Mixto'!$C$5:$C$2004,A493)</f>
      </c>
      <c r="C493" s="5" t="str">
        <f>A493/COUNT('Lineal Mixto'!$C$5:$C$2004)</f>
      </c>
      <c r="D493" s="5" t="str">
        <f>ABS(C493-B493)</f>
      </c>
    </row>
    <row r="494">
      <c r="A494" s="6">
        <v>470</v>
      </c>
      <c r="B494" s="6" t="str">
        <f>SMALL('Lineal Mixto'!$C$5:$C$2004,A494)</f>
      </c>
      <c r="C494" s="6" t="str">
        <f>A494/COUNT('Lineal Mixto'!$C$5:$C$2004)</f>
      </c>
      <c r="D494" s="6" t="str">
        <f>ABS(C494-B494)</f>
      </c>
    </row>
    <row r="495">
      <c r="A495" s="5">
        <v>471</v>
      </c>
      <c r="B495" s="5" t="str">
        <f>SMALL('Lineal Mixto'!$C$5:$C$2004,A495)</f>
      </c>
      <c r="C495" s="5" t="str">
        <f>A495/COUNT('Lineal Mixto'!$C$5:$C$2004)</f>
      </c>
      <c r="D495" s="5" t="str">
        <f>ABS(C495-B495)</f>
      </c>
    </row>
    <row r="496">
      <c r="A496" s="6">
        <v>472</v>
      </c>
      <c r="B496" s="6" t="str">
        <f>SMALL('Lineal Mixto'!$C$5:$C$2004,A496)</f>
      </c>
      <c r="C496" s="6" t="str">
        <f>A496/COUNT('Lineal Mixto'!$C$5:$C$2004)</f>
      </c>
      <c r="D496" s="6" t="str">
        <f>ABS(C496-B496)</f>
      </c>
    </row>
    <row r="497">
      <c r="A497" s="5">
        <v>473</v>
      </c>
      <c r="B497" s="5" t="str">
        <f>SMALL('Lineal Mixto'!$C$5:$C$2004,A497)</f>
      </c>
      <c r="C497" s="5" t="str">
        <f>A497/COUNT('Lineal Mixto'!$C$5:$C$2004)</f>
      </c>
      <c r="D497" s="5" t="str">
        <f>ABS(C497-B497)</f>
      </c>
    </row>
    <row r="498">
      <c r="A498" s="6">
        <v>474</v>
      </c>
      <c r="B498" s="6" t="str">
        <f>SMALL('Lineal Mixto'!$C$5:$C$2004,A498)</f>
      </c>
      <c r="C498" s="6" t="str">
        <f>A498/COUNT('Lineal Mixto'!$C$5:$C$2004)</f>
      </c>
      <c r="D498" s="6" t="str">
        <f>ABS(C498-B498)</f>
      </c>
    </row>
    <row r="499">
      <c r="A499" s="5">
        <v>475</v>
      </c>
      <c r="B499" s="5" t="str">
        <f>SMALL('Lineal Mixto'!$C$5:$C$2004,A499)</f>
      </c>
      <c r="C499" s="5" t="str">
        <f>A499/COUNT('Lineal Mixto'!$C$5:$C$2004)</f>
      </c>
      <c r="D499" s="5" t="str">
        <f>ABS(C499-B499)</f>
      </c>
    </row>
    <row r="500">
      <c r="A500" s="6">
        <v>476</v>
      </c>
      <c r="B500" s="6" t="str">
        <f>SMALL('Lineal Mixto'!$C$5:$C$2004,A500)</f>
      </c>
      <c r="C500" s="6" t="str">
        <f>A500/COUNT('Lineal Mixto'!$C$5:$C$2004)</f>
      </c>
      <c r="D500" s="6" t="str">
        <f>ABS(C500-B500)</f>
      </c>
    </row>
    <row r="501">
      <c r="A501" s="5">
        <v>477</v>
      </c>
      <c r="B501" s="5" t="str">
        <f>SMALL('Lineal Mixto'!$C$5:$C$2004,A501)</f>
      </c>
      <c r="C501" s="5" t="str">
        <f>A501/COUNT('Lineal Mixto'!$C$5:$C$2004)</f>
      </c>
      <c r="D501" s="5" t="str">
        <f>ABS(C501-B501)</f>
      </c>
    </row>
    <row r="502">
      <c r="A502" s="6">
        <v>478</v>
      </c>
      <c r="B502" s="6" t="str">
        <f>SMALL('Lineal Mixto'!$C$5:$C$2004,A502)</f>
      </c>
      <c r="C502" s="6" t="str">
        <f>A502/COUNT('Lineal Mixto'!$C$5:$C$2004)</f>
      </c>
      <c r="D502" s="6" t="str">
        <f>ABS(C502-B502)</f>
      </c>
    </row>
    <row r="503">
      <c r="A503" s="5">
        <v>479</v>
      </c>
      <c r="B503" s="5" t="str">
        <f>SMALL('Lineal Mixto'!$C$5:$C$2004,A503)</f>
      </c>
      <c r="C503" s="5" t="str">
        <f>A503/COUNT('Lineal Mixto'!$C$5:$C$2004)</f>
      </c>
      <c r="D503" s="5" t="str">
        <f>ABS(C503-B503)</f>
      </c>
    </row>
    <row r="504">
      <c r="A504" s="6">
        <v>480</v>
      </c>
      <c r="B504" s="6" t="str">
        <f>SMALL('Lineal Mixto'!$C$5:$C$2004,A504)</f>
      </c>
      <c r="C504" s="6" t="str">
        <f>A504/COUNT('Lineal Mixto'!$C$5:$C$2004)</f>
      </c>
      <c r="D504" s="6" t="str">
        <f>ABS(C504-B504)</f>
      </c>
    </row>
    <row r="505">
      <c r="A505" s="5">
        <v>481</v>
      </c>
      <c r="B505" s="5" t="str">
        <f>SMALL('Lineal Mixto'!$C$5:$C$2004,A505)</f>
      </c>
      <c r="C505" s="5" t="str">
        <f>A505/COUNT('Lineal Mixto'!$C$5:$C$2004)</f>
      </c>
      <c r="D505" s="5" t="str">
        <f>ABS(C505-B505)</f>
      </c>
    </row>
    <row r="506">
      <c r="A506" s="6">
        <v>482</v>
      </c>
      <c r="B506" s="6" t="str">
        <f>SMALL('Lineal Mixto'!$C$5:$C$2004,A506)</f>
      </c>
      <c r="C506" s="6" t="str">
        <f>A506/COUNT('Lineal Mixto'!$C$5:$C$2004)</f>
      </c>
      <c r="D506" s="6" t="str">
        <f>ABS(C506-B506)</f>
      </c>
    </row>
    <row r="507">
      <c r="A507" s="5">
        <v>483</v>
      </c>
      <c r="B507" s="5" t="str">
        <f>SMALL('Lineal Mixto'!$C$5:$C$2004,A507)</f>
      </c>
      <c r="C507" s="5" t="str">
        <f>A507/COUNT('Lineal Mixto'!$C$5:$C$2004)</f>
      </c>
      <c r="D507" s="5" t="str">
        <f>ABS(C507-B507)</f>
      </c>
    </row>
    <row r="508">
      <c r="A508" s="6">
        <v>484</v>
      </c>
      <c r="B508" s="6" t="str">
        <f>SMALL('Lineal Mixto'!$C$5:$C$2004,A508)</f>
      </c>
      <c r="C508" s="6" t="str">
        <f>A508/COUNT('Lineal Mixto'!$C$5:$C$2004)</f>
      </c>
      <c r="D508" s="6" t="str">
        <f>ABS(C508-B508)</f>
      </c>
    </row>
    <row r="509">
      <c r="A509" s="5">
        <v>485</v>
      </c>
      <c r="B509" s="5" t="str">
        <f>SMALL('Lineal Mixto'!$C$5:$C$2004,A509)</f>
      </c>
      <c r="C509" s="5" t="str">
        <f>A509/COUNT('Lineal Mixto'!$C$5:$C$2004)</f>
      </c>
      <c r="D509" s="5" t="str">
        <f>ABS(C509-B509)</f>
      </c>
    </row>
    <row r="510">
      <c r="A510" s="6">
        <v>486</v>
      </c>
      <c r="B510" s="6" t="str">
        <f>SMALL('Lineal Mixto'!$C$5:$C$2004,A510)</f>
      </c>
      <c r="C510" s="6" t="str">
        <f>A510/COUNT('Lineal Mixto'!$C$5:$C$2004)</f>
      </c>
      <c r="D510" s="6" t="str">
        <f>ABS(C510-B510)</f>
      </c>
    </row>
    <row r="511">
      <c r="A511" s="5">
        <v>487</v>
      </c>
      <c r="B511" s="5" t="str">
        <f>SMALL('Lineal Mixto'!$C$5:$C$2004,A511)</f>
      </c>
      <c r="C511" s="5" t="str">
        <f>A511/COUNT('Lineal Mixto'!$C$5:$C$2004)</f>
      </c>
      <c r="D511" s="5" t="str">
        <f>ABS(C511-B511)</f>
      </c>
    </row>
    <row r="512">
      <c r="A512" s="6">
        <v>488</v>
      </c>
      <c r="B512" s="6" t="str">
        <f>SMALL('Lineal Mixto'!$C$5:$C$2004,A512)</f>
      </c>
      <c r="C512" s="6" t="str">
        <f>A512/COUNT('Lineal Mixto'!$C$5:$C$2004)</f>
      </c>
      <c r="D512" s="6" t="str">
        <f>ABS(C512-B512)</f>
      </c>
    </row>
    <row r="513">
      <c r="A513" s="5">
        <v>489</v>
      </c>
      <c r="B513" s="5" t="str">
        <f>SMALL('Lineal Mixto'!$C$5:$C$2004,A513)</f>
      </c>
      <c r="C513" s="5" t="str">
        <f>A513/COUNT('Lineal Mixto'!$C$5:$C$2004)</f>
      </c>
      <c r="D513" s="5" t="str">
        <f>ABS(C513-B513)</f>
      </c>
    </row>
    <row r="514">
      <c r="A514" s="6">
        <v>490</v>
      </c>
      <c r="B514" s="6" t="str">
        <f>SMALL('Lineal Mixto'!$C$5:$C$2004,A514)</f>
      </c>
      <c r="C514" s="6" t="str">
        <f>A514/COUNT('Lineal Mixto'!$C$5:$C$2004)</f>
      </c>
      <c r="D514" s="6" t="str">
        <f>ABS(C514-B514)</f>
      </c>
    </row>
    <row r="515">
      <c r="A515" s="5">
        <v>491</v>
      </c>
      <c r="B515" s="5" t="str">
        <f>SMALL('Lineal Mixto'!$C$5:$C$2004,A515)</f>
      </c>
      <c r="C515" s="5" t="str">
        <f>A515/COUNT('Lineal Mixto'!$C$5:$C$2004)</f>
      </c>
      <c r="D515" s="5" t="str">
        <f>ABS(C515-B515)</f>
      </c>
    </row>
    <row r="516">
      <c r="A516" s="6">
        <v>492</v>
      </c>
      <c r="B516" s="6" t="str">
        <f>SMALL('Lineal Mixto'!$C$5:$C$2004,A516)</f>
      </c>
      <c r="C516" s="6" t="str">
        <f>A516/COUNT('Lineal Mixto'!$C$5:$C$2004)</f>
      </c>
      <c r="D516" s="6" t="str">
        <f>ABS(C516-B516)</f>
      </c>
    </row>
    <row r="517">
      <c r="A517" s="5">
        <v>493</v>
      </c>
      <c r="B517" s="5" t="str">
        <f>SMALL('Lineal Mixto'!$C$5:$C$2004,A517)</f>
      </c>
      <c r="C517" s="5" t="str">
        <f>A517/COUNT('Lineal Mixto'!$C$5:$C$2004)</f>
      </c>
      <c r="D517" s="5" t="str">
        <f>ABS(C517-B517)</f>
      </c>
    </row>
    <row r="518">
      <c r="A518" s="6">
        <v>494</v>
      </c>
      <c r="B518" s="6" t="str">
        <f>SMALL('Lineal Mixto'!$C$5:$C$2004,A518)</f>
      </c>
      <c r="C518" s="6" t="str">
        <f>A518/COUNT('Lineal Mixto'!$C$5:$C$2004)</f>
      </c>
      <c r="D518" s="6" t="str">
        <f>ABS(C518-B518)</f>
      </c>
    </row>
    <row r="519">
      <c r="A519" s="5">
        <v>495</v>
      </c>
      <c r="B519" s="5" t="str">
        <f>SMALL('Lineal Mixto'!$C$5:$C$2004,A519)</f>
      </c>
      <c r="C519" s="5" t="str">
        <f>A519/COUNT('Lineal Mixto'!$C$5:$C$2004)</f>
      </c>
      <c r="D519" s="5" t="str">
        <f>ABS(C519-B519)</f>
      </c>
    </row>
    <row r="520">
      <c r="A520" s="6">
        <v>496</v>
      </c>
      <c r="B520" s="6" t="str">
        <f>SMALL('Lineal Mixto'!$C$5:$C$2004,A520)</f>
      </c>
      <c r="C520" s="6" t="str">
        <f>A520/COUNT('Lineal Mixto'!$C$5:$C$2004)</f>
      </c>
      <c r="D520" s="6" t="str">
        <f>ABS(C520-B520)</f>
      </c>
    </row>
    <row r="521">
      <c r="A521" s="5">
        <v>497</v>
      </c>
      <c r="B521" s="5" t="str">
        <f>SMALL('Lineal Mixto'!$C$5:$C$2004,A521)</f>
      </c>
      <c r="C521" s="5" t="str">
        <f>A521/COUNT('Lineal Mixto'!$C$5:$C$2004)</f>
      </c>
      <c r="D521" s="5" t="str">
        <f>ABS(C521-B521)</f>
      </c>
    </row>
    <row r="522">
      <c r="A522" s="6">
        <v>498</v>
      </c>
      <c r="B522" s="6" t="str">
        <f>SMALL('Lineal Mixto'!$C$5:$C$2004,A522)</f>
      </c>
      <c r="C522" s="6" t="str">
        <f>A522/COUNT('Lineal Mixto'!$C$5:$C$2004)</f>
      </c>
      <c r="D522" s="6" t="str">
        <f>ABS(C522-B522)</f>
      </c>
    </row>
    <row r="523">
      <c r="A523" s="5">
        <v>499</v>
      </c>
      <c r="B523" s="5" t="str">
        <f>SMALL('Lineal Mixto'!$C$5:$C$2004,A523)</f>
      </c>
      <c r="C523" s="5" t="str">
        <f>A523/COUNT('Lineal Mixto'!$C$5:$C$2004)</f>
      </c>
      <c r="D523" s="5" t="str">
        <f>ABS(C523-B523)</f>
      </c>
    </row>
    <row r="524">
      <c r="A524" s="6">
        <v>500</v>
      </c>
      <c r="B524" s="6" t="str">
        <f>SMALL('Lineal Mixto'!$C$5:$C$2004,A524)</f>
      </c>
      <c r="C524" s="6" t="str">
        <f>A524/COUNT('Lineal Mixto'!$C$5:$C$2004)</f>
      </c>
      <c r="D524" s="6" t="str">
        <f>ABS(C524-B524)</f>
      </c>
    </row>
    <row r="525">
      <c r="A525" s="5">
        <v>501</v>
      </c>
      <c r="B525" s="5" t="str">
        <f>SMALL('Lineal Mixto'!$C$5:$C$2004,A525)</f>
      </c>
      <c r="C525" s="5" t="str">
        <f>A525/COUNT('Lineal Mixto'!$C$5:$C$2004)</f>
      </c>
      <c r="D525" s="5" t="str">
        <f>ABS(C525-B525)</f>
      </c>
    </row>
    <row r="526">
      <c r="A526" s="6">
        <v>502</v>
      </c>
      <c r="B526" s="6" t="str">
        <f>SMALL('Lineal Mixto'!$C$5:$C$2004,A526)</f>
      </c>
      <c r="C526" s="6" t="str">
        <f>A526/COUNT('Lineal Mixto'!$C$5:$C$2004)</f>
      </c>
      <c r="D526" s="6" t="str">
        <f>ABS(C526-B526)</f>
      </c>
    </row>
    <row r="527">
      <c r="A527" s="5">
        <v>503</v>
      </c>
      <c r="B527" s="5" t="str">
        <f>SMALL('Lineal Mixto'!$C$5:$C$2004,A527)</f>
      </c>
      <c r="C527" s="5" t="str">
        <f>A527/COUNT('Lineal Mixto'!$C$5:$C$2004)</f>
      </c>
      <c r="D527" s="5" t="str">
        <f>ABS(C527-B527)</f>
      </c>
    </row>
    <row r="528">
      <c r="A528" s="6">
        <v>504</v>
      </c>
      <c r="B528" s="6" t="str">
        <f>SMALL('Lineal Mixto'!$C$5:$C$2004,A528)</f>
      </c>
      <c r="C528" s="6" t="str">
        <f>A528/COUNT('Lineal Mixto'!$C$5:$C$2004)</f>
      </c>
      <c r="D528" s="6" t="str">
        <f>ABS(C528-B528)</f>
      </c>
    </row>
    <row r="529">
      <c r="A529" s="5">
        <v>505</v>
      </c>
      <c r="B529" s="5" t="str">
        <f>SMALL('Lineal Mixto'!$C$5:$C$2004,A529)</f>
      </c>
      <c r="C529" s="5" t="str">
        <f>A529/COUNT('Lineal Mixto'!$C$5:$C$2004)</f>
      </c>
      <c r="D529" s="5" t="str">
        <f>ABS(C529-B529)</f>
      </c>
    </row>
    <row r="530">
      <c r="A530" s="6">
        <v>506</v>
      </c>
      <c r="B530" s="6" t="str">
        <f>SMALL('Lineal Mixto'!$C$5:$C$2004,A530)</f>
      </c>
      <c r="C530" s="6" t="str">
        <f>A530/COUNT('Lineal Mixto'!$C$5:$C$2004)</f>
      </c>
      <c r="D530" s="6" t="str">
        <f>ABS(C530-B530)</f>
      </c>
    </row>
    <row r="531">
      <c r="A531" s="5">
        <v>507</v>
      </c>
      <c r="B531" s="5" t="str">
        <f>SMALL('Lineal Mixto'!$C$5:$C$2004,A531)</f>
      </c>
      <c r="C531" s="5" t="str">
        <f>A531/COUNT('Lineal Mixto'!$C$5:$C$2004)</f>
      </c>
      <c r="D531" s="5" t="str">
        <f>ABS(C531-B531)</f>
      </c>
    </row>
    <row r="532">
      <c r="A532" s="6">
        <v>508</v>
      </c>
      <c r="B532" s="6" t="str">
        <f>SMALL('Lineal Mixto'!$C$5:$C$2004,A532)</f>
      </c>
      <c r="C532" s="6" t="str">
        <f>A532/COUNT('Lineal Mixto'!$C$5:$C$2004)</f>
      </c>
      <c r="D532" s="6" t="str">
        <f>ABS(C532-B532)</f>
      </c>
    </row>
    <row r="533">
      <c r="A533" s="5">
        <v>509</v>
      </c>
      <c r="B533" s="5" t="str">
        <f>SMALL('Lineal Mixto'!$C$5:$C$2004,A533)</f>
      </c>
      <c r="C533" s="5" t="str">
        <f>A533/COUNT('Lineal Mixto'!$C$5:$C$2004)</f>
      </c>
      <c r="D533" s="5" t="str">
        <f>ABS(C533-B533)</f>
      </c>
    </row>
    <row r="534">
      <c r="A534" s="6">
        <v>510</v>
      </c>
      <c r="B534" s="6" t="str">
        <f>SMALL('Lineal Mixto'!$C$5:$C$2004,A534)</f>
      </c>
      <c r="C534" s="6" t="str">
        <f>A534/COUNT('Lineal Mixto'!$C$5:$C$2004)</f>
      </c>
      <c r="D534" s="6" t="str">
        <f>ABS(C534-B534)</f>
      </c>
    </row>
    <row r="535">
      <c r="A535" s="5">
        <v>511</v>
      </c>
      <c r="B535" s="5" t="str">
        <f>SMALL('Lineal Mixto'!$C$5:$C$2004,A535)</f>
      </c>
      <c r="C535" s="5" t="str">
        <f>A535/COUNT('Lineal Mixto'!$C$5:$C$2004)</f>
      </c>
      <c r="D535" s="5" t="str">
        <f>ABS(C535-B535)</f>
      </c>
    </row>
    <row r="536">
      <c r="A536" s="6">
        <v>512</v>
      </c>
      <c r="B536" s="6" t="str">
        <f>SMALL('Lineal Mixto'!$C$5:$C$2004,A536)</f>
      </c>
      <c r="C536" s="6" t="str">
        <f>A536/COUNT('Lineal Mixto'!$C$5:$C$2004)</f>
      </c>
      <c r="D536" s="6" t="str">
        <f>ABS(C536-B536)</f>
      </c>
    </row>
    <row r="537">
      <c r="A537" s="5">
        <v>513</v>
      </c>
      <c r="B537" s="5" t="str">
        <f>SMALL('Lineal Mixto'!$C$5:$C$2004,A537)</f>
      </c>
      <c r="C537" s="5" t="str">
        <f>A537/COUNT('Lineal Mixto'!$C$5:$C$2004)</f>
      </c>
      <c r="D537" s="5" t="str">
        <f>ABS(C537-B537)</f>
      </c>
    </row>
    <row r="538">
      <c r="A538" s="6">
        <v>514</v>
      </c>
      <c r="B538" s="6" t="str">
        <f>SMALL('Lineal Mixto'!$C$5:$C$2004,A538)</f>
      </c>
      <c r="C538" s="6" t="str">
        <f>A538/COUNT('Lineal Mixto'!$C$5:$C$2004)</f>
      </c>
      <c r="D538" s="6" t="str">
        <f>ABS(C538-B538)</f>
      </c>
    </row>
    <row r="539">
      <c r="A539" s="5">
        <v>515</v>
      </c>
      <c r="B539" s="5" t="str">
        <f>SMALL('Lineal Mixto'!$C$5:$C$2004,A539)</f>
      </c>
      <c r="C539" s="5" t="str">
        <f>A539/COUNT('Lineal Mixto'!$C$5:$C$2004)</f>
      </c>
      <c r="D539" s="5" t="str">
        <f>ABS(C539-B539)</f>
      </c>
    </row>
    <row r="540">
      <c r="A540" s="6">
        <v>516</v>
      </c>
      <c r="B540" s="6" t="str">
        <f>SMALL('Lineal Mixto'!$C$5:$C$2004,A540)</f>
      </c>
      <c r="C540" s="6" t="str">
        <f>A540/COUNT('Lineal Mixto'!$C$5:$C$2004)</f>
      </c>
      <c r="D540" s="6" t="str">
        <f>ABS(C540-B540)</f>
      </c>
    </row>
    <row r="541">
      <c r="A541" s="5">
        <v>517</v>
      </c>
      <c r="B541" s="5" t="str">
        <f>SMALL('Lineal Mixto'!$C$5:$C$2004,A541)</f>
      </c>
      <c r="C541" s="5" t="str">
        <f>A541/COUNT('Lineal Mixto'!$C$5:$C$2004)</f>
      </c>
      <c r="D541" s="5" t="str">
        <f>ABS(C541-B541)</f>
      </c>
    </row>
    <row r="542">
      <c r="A542" s="6">
        <v>518</v>
      </c>
      <c r="B542" s="6" t="str">
        <f>SMALL('Lineal Mixto'!$C$5:$C$2004,A542)</f>
      </c>
      <c r="C542" s="6" t="str">
        <f>A542/COUNT('Lineal Mixto'!$C$5:$C$2004)</f>
      </c>
      <c r="D542" s="6" t="str">
        <f>ABS(C542-B542)</f>
      </c>
    </row>
    <row r="543">
      <c r="A543" s="5">
        <v>519</v>
      </c>
      <c r="B543" s="5" t="str">
        <f>SMALL('Lineal Mixto'!$C$5:$C$2004,A543)</f>
      </c>
      <c r="C543" s="5" t="str">
        <f>A543/COUNT('Lineal Mixto'!$C$5:$C$2004)</f>
      </c>
      <c r="D543" s="5" t="str">
        <f>ABS(C543-B543)</f>
      </c>
    </row>
    <row r="544">
      <c r="A544" s="6">
        <v>520</v>
      </c>
      <c r="B544" s="6" t="str">
        <f>SMALL('Lineal Mixto'!$C$5:$C$2004,A544)</f>
      </c>
      <c r="C544" s="6" t="str">
        <f>A544/COUNT('Lineal Mixto'!$C$5:$C$2004)</f>
      </c>
      <c r="D544" s="6" t="str">
        <f>ABS(C544-B544)</f>
      </c>
    </row>
    <row r="545">
      <c r="A545" s="5">
        <v>521</v>
      </c>
      <c r="B545" s="5" t="str">
        <f>SMALL('Lineal Mixto'!$C$5:$C$2004,A545)</f>
      </c>
      <c r="C545" s="5" t="str">
        <f>A545/COUNT('Lineal Mixto'!$C$5:$C$2004)</f>
      </c>
      <c r="D545" s="5" t="str">
        <f>ABS(C545-B545)</f>
      </c>
    </row>
    <row r="546">
      <c r="A546" s="6">
        <v>522</v>
      </c>
      <c r="B546" s="6" t="str">
        <f>SMALL('Lineal Mixto'!$C$5:$C$2004,A546)</f>
      </c>
      <c r="C546" s="6" t="str">
        <f>A546/COUNT('Lineal Mixto'!$C$5:$C$2004)</f>
      </c>
      <c r="D546" s="6" t="str">
        <f>ABS(C546-B546)</f>
      </c>
    </row>
    <row r="547">
      <c r="A547" s="5">
        <v>523</v>
      </c>
      <c r="B547" s="5" t="str">
        <f>SMALL('Lineal Mixto'!$C$5:$C$2004,A547)</f>
      </c>
      <c r="C547" s="5" t="str">
        <f>A547/COUNT('Lineal Mixto'!$C$5:$C$2004)</f>
      </c>
      <c r="D547" s="5" t="str">
        <f>ABS(C547-B547)</f>
      </c>
    </row>
    <row r="548">
      <c r="A548" s="6">
        <v>524</v>
      </c>
      <c r="B548" s="6" t="str">
        <f>SMALL('Lineal Mixto'!$C$5:$C$2004,A548)</f>
      </c>
      <c r="C548" s="6" t="str">
        <f>A548/COUNT('Lineal Mixto'!$C$5:$C$2004)</f>
      </c>
      <c r="D548" s="6" t="str">
        <f>ABS(C548-B548)</f>
      </c>
    </row>
    <row r="549">
      <c r="A549" s="5">
        <v>525</v>
      </c>
      <c r="B549" s="5" t="str">
        <f>SMALL('Lineal Mixto'!$C$5:$C$2004,A549)</f>
      </c>
      <c r="C549" s="5" t="str">
        <f>A549/COUNT('Lineal Mixto'!$C$5:$C$2004)</f>
      </c>
      <c r="D549" s="5" t="str">
        <f>ABS(C549-B549)</f>
      </c>
    </row>
    <row r="550">
      <c r="A550" s="6">
        <v>526</v>
      </c>
      <c r="B550" s="6" t="str">
        <f>SMALL('Lineal Mixto'!$C$5:$C$2004,A550)</f>
      </c>
      <c r="C550" s="6" t="str">
        <f>A550/COUNT('Lineal Mixto'!$C$5:$C$2004)</f>
      </c>
      <c r="D550" s="6" t="str">
        <f>ABS(C550-B550)</f>
      </c>
    </row>
    <row r="551">
      <c r="A551" s="5">
        <v>527</v>
      </c>
      <c r="B551" s="5" t="str">
        <f>SMALL('Lineal Mixto'!$C$5:$C$2004,A551)</f>
      </c>
      <c r="C551" s="5" t="str">
        <f>A551/COUNT('Lineal Mixto'!$C$5:$C$2004)</f>
      </c>
      <c r="D551" s="5" t="str">
        <f>ABS(C551-B551)</f>
      </c>
    </row>
    <row r="552">
      <c r="A552" s="6">
        <v>528</v>
      </c>
      <c r="B552" s="6" t="str">
        <f>SMALL('Lineal Mixto'!$C$5:$C$2004,A552)</f>
      </c>
      <c r="C552" s="6" t="str">
        <f>A552/COUNT('Lineal Mixto'!$C$5:$C$2004)</f>
      </c>
      <c r="D552" s="6" t="str">
        <f>ABS(C552-B552)</f>
      </c>
    </row>
    <row r="553">
      <c r="A553" s="5">
        <v>529</v>
      </c>
      <c r="B553" s="5" t="str">
        <f>SMALL('Lineal Mixto'!$C$5:$C$2004,A553)</f>
      </c>
      <c r="C553" s="5" t="str">
        <f>A553/COUNT('Lineal Mixto'!$C$5:$C$2004)</f>
      </c>
      <c r="D553" s="5" t="str">
        <f>ABS(C553-B553)</f>
      </c>
    </row>
    <row r="554">
      <c r="A554" s="6">
        <v>530</v>
      </c>
      <c r="B554" s="6" t="str">
        <f>SMALL('Lineal Mixto'!$C$5:$C$2004,A554)</f>
      </c>
      <c r="C554" s="6" t="str">
        <f>A554/COUNT('Lineal Mixto'!$C$5:$C$2004)</f>
      </c>
      <c r="D554" s="6" t="str">
        <f>ABS(C554-B554)</f>
      </c>
    </row>
    <row r="555">
      <c r="A555" s="5">
        <v>531</v>
      </c>
      <c r="B555" s="5" t="str">
        <f>SMALL('Lineal Mixto'!$C$5:$C$2004,A555)</f>
      </c>
      <c r="C555" s="5" t="str">
        <f>A555/COUNT('Lineal Mixto'!$C$5:$C$2004)</f>
      </c>
      <c r="D555" s="5" t="str">
        <f>ABS(C555-B555)</f>
      </c>
    </row>
    <row r="556">
      <c r="A556" s="6">
        <v>532</v>
      </c>
      <c r="B556" s="6" t="str">
        <f>SMALL('Lineal Mixto'!$C$5:$C$2004,A556)</f>
      </c>
      <c r="C556" s="6" t="str">
        <f>A556/COUNT('Lineal Mixto'!$C$5:$C$2004)</f>
      </c>
      <c r="D556" s="6" t="str">
        <f>ABS(C556-B556)</f>
      </c>
    </row>
    <row r="557">
      <c r="A557" s="5">
        <v>533</v>
      </c>
      <c r="B557" s="5" t="str">
        <f>SMALL('Lineal Mixto'!$C$5:$C$2004,A557)</f>
      </c>
      <c r="C557" s="5" t="str">
        <f>A557/COUNT('Lineal Mixto'!$C$5:$C$2004)</f>
      </c>
      <c r="D557" s="5" t="str">
        <f>ABS(C557-B557)</f>
      </c>
    </row>
    <row r="558">
      <c r="A558" s="6">
        <v>534</v>
      </c>
      <c r="B558" s="6" t="str">
        <f>SMALL('Lineal Mixto'!$C$5:$C$2004,A558)</f>
      </c>
      <c r="C558" s="6" t="str">
        <f>A558/COUNT('Lineal Mixto'!$C$5:$C$2004)</f>
      </c>
      <c r="D558" s="6" t="str">
        <f>ABS(C558-B558)</f>
      </c>
    </row>
    <row r="559">
      <c r="A559" s="5">
        <v>535</v>
      </c>
      <c r="B559" s="5" t="str">
        <f>SMALL('Lineal Mixto'!$C$5:$C$2004,A559)</f>
      </c>
      <c r="C559" s="5" t="str">
        <f>A559/COUNT('Lineal Mixto'!$C$5:$C$2004)</f>
      </c>
      <c r="D559" s="5" t="str">
        <f>ABS(C559-B559)</f>
      </c>
    </row>
    <row r="560">
      <c r="A560" s="6">
        <v>536</v>
      </c>
      <c r="B560" s="6" t="str">
        <f>SMALL('Lineal Mixto'!$C$5:$C$2004,A560)</f>
      </c>
      <c r="C560" s="6" t="str">
        <f>A560/COUNT('Lineal Mixto'!$C$5:$C$2004)</f>
      </c>
      <c r="D560" s="6" t="str">
        <f>ABS(C560-B560)</f>
      </c>
    </row>
    <row r="561">
      <c r="A561" s="5">
        <v>537</v>
      </c>
      <c r="B561" s="5" t="str">
        <f>SMALL('Lineal Mixto'!$C$5:$C$2004,A561)</f>
      </c>
      <c r="C561" s="5" t="str">
        <f>A561/COUNT('Lineal Mixto'!$C$5:$C$2004)</f>
      </c>
      <c r="D561" s="5" t="str">
        <f>ABS(C561-B561)</f>
      </c>
    </row>
    <row r="562">
      <c r="A562" s="6">
        <v>538</v>
      </c>
      <c r="B562" s="6" t="str">
        <f>SMALL('Lineal Mixto'!$C$5:$C$2004,A562)</f>
      </c>
      <c r="C562" s="6" t="str">
        <f>A562/COUNT('Lineal Mixto'!$C$5:$C$2004)</f>
      </c>
      <c r="D562" s="6" t="str">
        <f>ABS(C562-B562)</f>
      </c>
    </row>
    <row r="563">
      <c r="A563" s="5">
        <v>539</v>
      </c>
      <c r="B563" s="5" t="str">
        <f>SMALL('Lineal Mixto'!$C$5:$C$2004,A563)</f>
      </c>
      <c r="C563" s="5" t="str">
        <f>A563/COUNT('Lineal Mixto'!$C$5:$C$2004)</f>
      </c>
      <c r="D563" s="5" t="str">
        <f>ABS(C563-B563)</f>
      </c>
    </row>
    <row r="564">
      <c r="A564" s="6">
        <v>540</v>
      </c>
      <c r="B564" s="6" t="str">
        <f>SMALL('Lineal Mixto'!$C$5:$C$2004,A564)</f>
      </c>
      <c r="C564" s="6" t="str">
        <f>A564/COUNT('Lineal Mixto'!$C$5:$C$2004)</f>
      </c>
      <c r="D564" s="6" t="str">
        <f>ABS(C564-B564)</f>
      </c>
    </row>
    <row r="565">
      <c r="A565" s="5">
        <v>541</v>
      </c>
      <c r="B565" s="5" t="str">
        <f>SMALL('Lineal Mixto'!$C$5:$C$2004,A565)</f>
      </c>
      <c r="C565" s="5" t="str">
        <f>A565/COUNT('Lineal Mixto'!$C$5:$C$2004)</f>
      </c>
      <c r="D565" s="5" t="str">
        <f>ABS(C565-B565)</f>
      </c>
    </row>
    <row r="566">
      <c r="A566" s="6">
        <v>542</v>
      </c>
      <c r="B566" s="6" t="str">
        <f>SMALL('Lineal Mixto'!$C$5:$C$2004,A566)</f>
      </c>
      <c r="C566" s="6" t="str">
        <f>A566/COUNT('Lineal Mixto'!$C$5:$C$2004)</f>
      </c>
      <c r="D566" s="6" t="str">
        <f>ABS(C566-B566)</f>
      </c>
    </row>
    <row r="567">
      <c r="A567" s="5">
        <v>543</v>
      </c>
      <c r="B567" s="5" t="str">
        <f>SMALL('Lineal Mixto'!$C$5:$C$2004,A567)</f>
      </c>
      <c r="C567" s="5" t="str">
        <f>A567/COUNT('Lineal Mixto'!$C$5:$C$2004)</f>
      </c>
      <c r="D567" s="5" t="str">
        <f>ABS(C567-B567)</f>
      </c>
    </row>
    <row r="568">
      <c r="A568" s="6">
        <v>544</v>
      </c>
      <c r="B568" s="6" t="str">
        <f>SMALL('Lineal Mixto'!$C$5:$C$2004,A568)</f>
      </c>
      <c r="C568" s="6" t="str">
        <f>A568/COUNT('Lineal Mixto'!$C$5:$C$2004)</f>
      </c>
      <c r="D568" s="6" t="str">
        <f>ABS(C568-B568)</f>
      </c>
    </row>
    <row r="569">
      <c r="A569" s="5">
        <v>545</v>
      </c>
      <c r="B569" s="5" t="str">
        <f>SMALL('Lineal Mixto'!$C$5:$C$2004,A569)</f>
      </c>
      <c r="C569" s="5" t="str">
        <f>A569/COUNT('Lineal Mixto'!$C$5:$C$2004)</f>
      </c>
      <c r="D569" s="5" t="str">
        <f>ABS(C569-B569)</f>
      </c>
    </row>
    <row r="570">
      <c r="A570" s="6">
        <v>546</v>
      </c>
      <c r="B570" s="6" t="str">
        <f>SMALL('Lineal Mixto'!$C$5:$C$2004,A570)</f>
      </c>
      <c r="C570" s="6" t="str">
        <f>A570/COUNT('Lineal Mixto'!$C$5:$C$2004)</f>
      </c>
      <c r="D570" s="6" t="str">
        <f>ABS(C570-B570)</f>
      </c>
    </row>
    <row r="571">
      <c r="A571" s="5">
        <v>547</v>
      </c>
      <c r="B571" s="5" t="str">
        <f>SMALL('Lineal Mixto'!$C$5:$C$2004,A571)</f>
      </c>
      <c r="C571" s="5" t="str">
        <f>A571/COUNT('Lineal Mixto'!$C$5:$C$2004)</f>
      </c>
      <c r="D571" s="5" t="str">
        <f>ABS(C571-B571)</f>
      </c>
    </row>
    <row r="572">
      <c r="A572" s="6">
        <v>548</v>
      </c>
      <c r="B572" s="6" t="str">
        <f>SMALL('Lineal Mixto'!$C$5:$C$2004,A572)</f>
      </c>
      <c r="C572" s="6" t="str">
        <f>A572/COUNT('Lineal Mixto'!$C$5:$C$2004)</f>
      </c>
      <c r="D572" s="6" t="str">
        <f>ABS(C572-B572)</f>
      </c>
    </row>
    <row r="573">
      <c r="A573" s="5">
        <v>549</v>
      </c>
      <c r="B573" s="5" t="str">
        <f>SMALL('Lineal Mixto'!$C$5:$C$2004,A573)</f>
      </c>
      <c r="C573" s="5" t="str">
        <f>A573/COUNT('Lineal Mixto'!$C$5:$C$2004)</f>
      </c>
      <c r="D573" s="5" t="str">
        <f>ABS(C573-B573)</f>
      </c>
    </row>
    <row r="574">
      <c r="A574" s="6">
        <v>550</v>
      </c>
      <c r="B574" s="6" t="str">
        <f>SMALL('Lineal Mixto'!$C$5:$C$2004,A574)</f>
      </c>
      <c r="C574" s="6" t="str">
        <f>A574/COUNT('Lineal Mixto'!$C$5:$C$2004)</f>
      </c>
      <c r="D574" s="6" t="str">
        <f>ABS(C574-B574)</f>
      </c>
    </row>
    <row r="575">
      <c r="A575" s="5">
        <v>551</v>
      </c>
      <c r="B575" s="5" t="str">
        <f>SMALL('Lineal Mixto'!$C$5:$C$2004,A575)</f>
      </c>
      <c r="C575" s="5" t="str">
        <f>A575/COUNT('Lineal Mixto'!$C$5:$C$2004)</f>
      </c>
      <c r="D575" s="5" t="str">
        <f>ABS(C575-B575)</f>
      </c>
    </row>
    <row r="576">
      <c r="A576" s="6">
        <v>552</v>
      </c>
      <c r="B576" s="6" t="str">
        <f>SMALL('Lineal Mixto'!$C$5:$C$2004,A576)</f>
      </c>
      <c r="C576" s="6" t="str">
        <f>A576/COUNT('Lineal Mixto'!$C$5:$C$2004)</f>
      </c>
      <c r="D576" s="6" t="str">
        <f>ABS(C576-B576)</f>
      </c>
    </row>
    <row r="577">
      <c r="A577" s="5">
        <v>553</v>
      </c>
      <c r="B577" s="5" t="str">
        <f>SMALL('Lineal Mixto'!$C$5:$C$2004,A577)</f>
      </c>
      <c r="C577" s="5" t="str">
        <f>A577/COUNT('Lineal Mixto'!$C$5:$C$2004)</f>
      </c>
      <c r="D577" s="5" t="str">
        <f>ABS(C577-B577)</f>
      </c>
    </row>
    <row r="578">
      <c r="A578" s="6">
        <v>554</v>
      </c>
      <c r="B578" s="6" t="str">
        <f>SMALL('Lineal Mixto'!$C$5:$C$2004,A578)</f>
      </c>
      <c r="C578" s="6" t="str">
        <f>A578/COUNT('Lineal Mixto'!$C$5:$C$2004)</f>
      </c>
      <c r="D578" s="6" t="str">
        <f>ABS(C578-B578)</f>
      </c>
    </row>
    <row r="579">
      <c r="A579" s="5">
        <v>555</v>
      </c>
      <c r="B579" s="5" t="str">
        <f>SMALL('Lineal Mixto'!$C$5:$C$2004,A579)</f>
      </c>
      <c r="C579" s="5" t="str">
        <f>A579/COUNT('Lineal Mixto'!$C$5:$C$2004)</f>
      </c>
      <c r="D579" s="5" t="str">
        <f>ABS(C579-B579)</f>
      </c>
    </row>
    <row r="580">
      <c r="A580" s="6">
        <v>556</v>
      </c>
      <c r="B580" s="6" t="str">
        <f>SMALL('Lineal Mixto'!$C$5:$C$2004,A580)</f>
      </c>
      <c r="C580" s="6" t="str">
        <f>A580/COUNT('Lineal Mixto'!$C$5:$C$2004)</f>
      </c>
      <c r="D580" s="6" t="str">
        <f>ABS(C580-B580)</f>
      </c>
    </row>
    <row r="581">
      <c r="A581" s="5">
        <v>557</v>
      </c>
      <c r="B581" s="5" t="str">
        <f>SMALL('Lineal Mixto'!$C$5:$C$2004,A581)</f>
      </c>
      <c r="C581" s="5" t="str">
        <f>A581/COUNT('Lineal Mixto'!$C$5:$C$2004)</f>
      </c>
      <c r="D581" s="5" t="str">
        <f>ABS(C581-B581)</f>
      </c>
    </row>
    <row r="582">
      <c r="A582" s="6">
        <v>558</v>
      </c>
      <c r="B582" s="6" t="str">
        <f>SMALL('Lineal Mixto'!$C$5:$C$2004,A582)</f>
      </c>
      <c r="C582" s="6" t="str">
        <f>A582/COUNT('Lineal Mixto'!$C$5:$C$2004)</f>
      </c>
      <c r="D582" s="6" t="str">
        <f>ABS(C582-B582)</f>
      </c>
    </row>
    <row r="583">
      <c r="A583" s="5">
        <v>559</v>
      </c>
      <c r="B583" s="5" t="str">
        <f>SMALL('Lineal Mixto'!$C$5:$C$2004,A583)</f>
      </c>
      <c r="C583" s="5" t="str">
        <f>A583/COUNT('Lineal Mixto'!$C$5:$C$2004)</f>
      </c>
      <c r="D583" s="5" t="str">
        <f>ABS(C583-B583)</f>
      </c>
    </row>
    <row r="584">
      <c r="A584" s="6">
        <v>560</v>
      </c>
      <c r="B584" s="6" t="str">
        <f>SMALL('Lineal Mixto'!$C$5:$C$2004,A584)</f>
      </c>
      <c r="C584" s="6" t="str">
        <f>A584/COUNT('Lineal Mixto'!$C$5:$C$2004)</f>
      </c>
      <c r="D584" s="6" t="str">
        <f>ABS(C584-B584)</f>
      </c>
    </row>
    <row r="585">
      <c r="A585" s="5">
        <v>561</v>
      </c>
      <c r="B585" s="5" t="str">
        <f>SMALL('Lineal Mixto'!$C$5:$C$2004,A585)</f>
      </c>
      <c r="C585" s="5" t="str">
        <f>A585/COUNT('Lineal Mixto'!$C$5:$C$2004)</f>
      </c>
      <c r="D585" s="5" t="str">
        <f>ABS(C585-B585)</f>
      </c>
    </row>
    <row r="586">
      <c r="A586" s="6">
        <v>562</v>
      </c>
      <c r="B586" s="6" t="str">
        <f>SMALL('Lineal Mixto'!$C$5:$C$2004,A586)</f>
      </c>
      <c r="C586" s="6" t="str">
        <f>A586/COUNT('Lineal Mixto'!$C$5:$C$2004)</f>
      </c>
      <c r="D586" s="6" t="str">
        <f>ABS(C586-B586)</f>
      </c>
    </row>
    <row r="587">
      <c r="A587" s="5">
        <v>563</v>
      </c>
      <c r="B587" s="5" t="str">
        <f>SMALL('Lineal Mixto'!$C$5:$C$2004,A587)</f>
      </c>
      <c r="C587" s="5" t="str">
        <f>A587/COUNT('Lineal Mixto'!$C$5:$C$2004)</f>
      </c>
      <c r="D587" s="5" t="str">
        <f>ABS(C587-B587)</f>
      </c>
    </row>
    <row r="588">
      <c r="A588" s="6">
        <v>564</v>
      </c>
      <c r="B588" s="6" t="str">
        <f>SMALL('Lineal Mixto'!$C$5:$C$2004,A588)</f>
      </c>
      <c r="C588" s="6" t="str">
        <f>A588/COUNT('Lineal Mixto'!$C$5:$C$2004)</f>
      </c>
      <c r="D588" s="6" t="str">
        <f>ABS(C588-B588)</f>
      </c>
    </row>
    <row r="589">
      <c r="A589" s="5">
        <v>565</v>
      </c>
      <c r="B589" s="5" t="str">
        <f>SMALL('Lineal Mixto'!$C$5:$C$2004,A589)</f>
      </c>
      <c r="C589" s="5" t="str">
        <f>A589/COUNT('Lineal Mixto'!$C$5:$C$2004)</f>
      </c>
      <c r="D589" s="5" t="str">
        <f>ABS(C589-B589)</f>
      </c>
    </row>
    <row r="590">
      <c r="A590" s="6">
        <v>566</v>
      </c>
      <c r="B590" s="6" t="str">
        <f>SMALL('Lineal Mixto'!$C$5:$C$2004,A590)</f>
      </c>
      <c r="C590" s="6" t="str">
        <f>A590/COUNT('Lineal Mixto'!$C$5:$C$2004)</f>
      </c>
      <c r="D590" s="6" t="str">
        <f>ABS(C590-B590)</f>
      </c>
    </row>
    <row r="591">
      <c r="A591" s="5">
        <v>567</v>
      </c>
      <c r="B591" s="5" t="str">
        <f>SMALL('Lineal Mixto'!$C$5:$C$2004,A591)</f>
      </c>
      <c r="C591" s="5" t="str">
        <f>A591/COUNT('Lineal Mixto'!$C$5:$C$2004)</f>
      </c>
      <c r="D591" s="5" t="str">
        <f>ABS(C591-B591)</f>
      </c>
    </row>
    <row r="592">
      <c r="A592" s="6">
        <v>568</v>
      </c>
      <c r="B592" s="6" t="str">
        <f>SMALL('Lineal Mixto'!$C$5:$C$2004,A592)</f>
      </c>
      <c r="C592" s="6" t="str">
        <f>A592/COUNT('Lineal Mixto'!$C$5:$C$2004)</f>
      </c>
      <c r="D592" s="6" t="str">
        <f>ABS(C592-B592)</f>
      </c>
    </row>
    <row r="593">
      <c r="A593" s="5">
        <v>569</v>
      </c>
      <c r="B593" s="5" t="str">
        <f>SMALL('Lineal Mixto'!$C$5:$C$2004,A593)</f>
      </c>
      <c r="C593" s="5" t="str">
        <f>A593/COUNT('Lineal Mixto'!$C$5:$C$2004)</f>
      </c>
      <c r="D593" s="5" t="str">
        <f>ABS(C593-B593)</f>
      </c>
    </row>
    <row r="594">
      <c r="A594" s="6">
        <v>570</v>
      </c>
      <c r="B594" s="6" t="str">
        <f>SMALL('Lineal Mixto'!$C$5:$C$2004,A594)</f>
      </c>
      <c r="C594" s="6" t="str">
        <f>A594/COUNT('Lineal Mixto'!$C$5:$C$2004)</f>
      </c>
      <c r="D594" s="6" t="str">
        <f>ABS(C594-B594)</f>
      </c>
    </row>
    <row r="595">
      <c r="A595" s="5">
        <v>571</v>
      </c>
      <c r="B595" s="5" t="str">
        <f>SMALL('Lineal Mixto'!$C$5:$C$2004,A595)</f>
      </c>
      <c r="C595" s="5" t="str">
        <f>A595/COUNT('Lineal Mixto'!$C$5:$C$2004)</f>
      </c>
      <c r="D595" s="5" t="str">
        <f>ABS(C595-B595)</f>
      </c>
    </row>
    <row r="596">
      <c r="A596" s="6">
        <v>572</v>
      </c>
      <c r="B596" s="6" t="str">
        <f>SMALL('Lineal Mixto'!$C$5:$C$2004,A596)</f>
      </c>
      <c r="C596" s="6" t="str">
        <f>A596/COUNT('Lineal Mixto'!$C$5:$C$2004)</f>
      </c>
      <c r="D596" s="6" t="str">
        <f>ABS(C596-B596)</f>
      </c>
    </row>
    <row r="597">
      <c r="A597" s="5">
        <v>573</v>
      </c>
      <c r="B597" s="5" t="str">
        <f>SMALL('Lineal Mixto'!$C$5:$C$2004,A597)</f>
      </c>
      <c r="C597" s="5" t="str">
        <f>A597/COUNT('Lineal Mixto'!$C$5:$C$2004)</f>
      </c>
      <c r="D597" s="5" t="str">
        <f>ABS(C597-B597)</f>
      </c>
    </row>
    <row r="598">
      <c r="A598" s="6">
        <v>574</v>
      </c>
      <c r="B598" s="6" t="str">
        <f>SMALL('Lineal Mixto'!$C$5:$C$2004,A598)</f>
      </c>
      <c r="C598" s="6" t="str">
        <f>A598/COUNT('Lineal Mixto'!$C$5:$C$2004)</f>
      </c>
      <c r="D598" s="6" t="str">
        <f>ABS(C598-B598)</f>
      </c>
    </row>
    <row r="599">
      <c r="A599" s="5">
        <v>575</v>
      </c>
      <c r="B599" s="5" t="str">
        <f>SMALL('Lineal Mixto'!$C$5:$C$2004,A599)</f>
      </c>
      <c r="C599" s="5" t="str">
        <f>A599/COUNT('Lineal Mixto'!$C$5:$C$2004)</f>
      </c>
      <c r="D599" s="5" t="str">
        <f>ABS(C599-B599)</f>
      </c>
    </row>
    <row r="600">
      <c r="A600" s="6">
        <v>576</v>
      </c>
      <c r="B600" s="6" t="str">
        <f>SMALL('Lineal Mixto'!$C$5:$C$2004,A600)</f>
      </c>
      <c r="C600" s="6" t="str">
        <f>A600/COUNT('Lineal Mixto'!$C$5:$C$2004)</f>
      </c>
      <c r="D600" s="6" t="str">
        <f>ABS(C600-B600)</f>
      </c>
    </row>
    <row r="601">
      <c r="A601" s="5">
        <v>577</v>
      </c>
      <c r="B601" s="5" t="str">
        <f>SMALL('Lineal Mixto'!$C$5:$C$2004,A601)</f>
      </c>
      <c r="C601" s="5" t="str">
        <f>A601/COUNT('Lineal Mixto'!$C$5:$C$2004)</f>
      </c>
      <c r="D601" s="5" t="str">
        <f>ABS(C601-B601)</f>
      </c>
    </row>
    <row r="602">
      <c r="A602" s="6">
        <v>578</v>
      </c>
      <c r="B602" s="6" t="str">
        <f>SMALL('Lineal Mixto'!$C$5:$C$2004,A602)</f>
      </c>
      <c r="C602" s="6" t="str">
        <f>A602/COUNT('Lineal Mixto'!$C$5:$C$2004)</f>
      </c>
      <c r="D602" s="6" t="str">
        <f>ABS(C602-B602)</f>
      </c>
    </row>
    <row r="603">
      <c r="A603" s="5">
        <v>579</v>
      </c>
      <c r="B603" s="5" t="str">
        <f>SMALL('Lineal Mixto'!$C$5:$C$2004,A603)</f>
      </c>
      <c r="C603" s="5" t="str">
        <f>A603/COUNT('Lineal Mixto'!$C$5:$C$2004)</f>
      </c>
      <c r="D603" s="5" t="str">
        <f>ABS(C603-B603)</f>
      </c>
    </row>
    <row r="604">
      <c r="A604" s="6">
        <v>580</v>
      </c>
      <c r="B604" s="6" t="str">
        <f>SMALL('Lineal Mixto'!$C$5:$C$2004,A604)</f>
      </c>
      <c r="C604" s="6" t="str">
        <f>A604/COUNT('Lineal Mixto'!$C$5:$C$2004)</f>
      </c>
      <c r="D604" s="6" t="str">
        <f>ABS(C604-B604)</f>
      </c>
    </row>
    <row r="605">
      <c r="A605" s="5">
        <v>581</v>
      </c>
      <c r="B605" s="5" t="str">
        <f>SMALL('Lineal Mixto'!$C$5:$C$2004,A605)</f>
      </c>
      <c r="C605" s="5" t="str">
        <f>A605/COUNT('Lineal Mixto'!$C$5:$C$2004)</f>
      </c>
      <c r="D605" s="5" t="str">
        <f>ABS(C605-B605)</f>
      </c>
    </row>
    <row r="606">
      <c r="A606" s="6">
        <v>582</v>
      </c>
      <c r="B606" s="6" t="str">
        <f>SMALL('Lineal Mixto'!$C$5:$C$2004,A606)</f>
      </c>
      <c r="C606" s="6" t="str">
        <f>A606/COUNT('Lineal Mixto'!$C$5:$C$2004)</f>
      </c>
      <c r="D606" s="6" t="str">
        <f>ABS(C606-B606)</f>
      </c>
    </row>
    <row r="607">
      <c r="A607" s="5">
        <v>583</v>
      </c>
      <c r="B607" s="5" t="str">
        <f>SMALL('Lineal Mixto'!$C$5:$C$2004,A607)</f>
      </c>
      <c r="C607" s="5" t="str">
        <f>A607/COUNT('Lineal Mixto'!$C$5:$C$2004)</f>
      </c>
      <c r="D607" s="5" t="str">
        <f>ABS(C607-B607)</f>
      </c>
    </row>
    <row r="608">
      <c r="A608" s="6">
        <v>584</v>
      </c>
      <c r="B608" s="6" t="str">
        <f>SMALL('Lineal Mixto'!$C$5:$C$2004,A608)</f>
      </c>
      <c r="C608" s="6" t="str">
        <f>A608/COUNT('Lineal Mixto'!$C$5:$C$2004)</f>
      </c>
      <c r="D608" s="6" t="str">
        <f>ABS(C608-B608)</f>
      </c>
    </row>
    <row r="609">
      <c r="A609" s="5">
        <v>585</v>
      </c>
      <c r="B609" s="5" t="str">
        <f>SMALL('Lineal Mixto'!$C$5:$C$2004,A609)</f>
      </c>
      <c r="C609" s="5" t="str">
        <f>A609/COUNT('Lineal Mixto'!$C$5:$C$2004)</f>
      </c>
      <c r="D609" s="5" t="str">
        <f>ABS(C609-B609)</f>
      </c>
    </row>
    <row r="610">
      <c r="A610" s="6">
        <v>586</v>
      </c>
      <c r="B610" s="6" t="str">
        <f>SMALL('Lineal Mixto'!$C$5:$C$2004,A610)</f>
      </c>
      <c r="C610" s="6" t="str">
        <f>A610/COUNT('Lineal Mixto'!$C$5:$C$2004)</f>
      </c>
      <c r="D610" s="6" t="str">
        <f>ABS(C610-B610)</f>
      </c>
    </row>
    <row r="611">
      <c r="A611" s="5">
        <v>587</v>
      </c>
      <c r="B611" s="5" t="str">
        <f>SMALL('Lineal Mixto'!$C$5:$C$2004,A611)</f>
      </c>
      <c r="C611" s="5" t="str">
        <f>A611/COUNT('Lineal Mixto'!$C$5:$C$2004)</f>
      </c>
      <c r="D611" s="5" t="str">
        <f>ABS(C611-B611)</f>
      </c>
    </row>
    <row r="612">
      <c r="A612" s="6">
        <v>588</v>
      </c>
      <c r="B612" s="6" t="str">
        <f>SMALL('Lineal Mixto'!$C$5:$C$2004,A612)</f>
      </c>
      <c r="C612" s="6" t="str">
        <f>A612/COUNT('Lineal Mixto'!$C$5:$C$2004)</f>
      </c>
      <c r="D612" s="6" t="str">
        <f>ABS(C612-B612)</f>
      </c>
    </row>
    <row r="613">
      <c r="A613" s="5">
        <v>589</v>
      </c>
      <c r="B613" s="5" t="str">
        <f>SMALL('Lineal Mixto'!$C$5:$C$2004,A613)</f>
      </c>
      <c r="C613" s="5" t="str">
        <f>A613/COUNT('Lineal Mixto'!$C$5:$C$2004)</f>
      </c>
      <c r="D613" s="5" t="str">
        <f>ABS(C613-B613)</f>
      </c>
    </row>
    <row r="614">
      <c r="A614" s="6">
        <v>590</v>
      </c>
      <c r="B614" s="6" t="str">
        <f>SMALL('Lineal Mixto'!$C$5:$C$2004,A614)</f>
      </c>
      <c r="C614" s="6" t="str">
        <f>A614/COUNT('Lineal Mixto'!$C$5:$C$2004)</f>
      </c>
      <c r="D614" s="6" t="str">
        <f>ABS(C614-B614)</f>
      </c>
    </row>
    <row r="615">
      <c r="A615" s="5">
        <v>591</v>
      </c>
      <c r="B615" s="5" t="str">
        <f>SMALL('Lineal Mixto'!$C$5:$C$2004,A615)</f>
      </c>
      <c r="C615" s="5" t="str">
        <f>A615/COUNT('Lineal Mixto'!$C$5:$C$2004)</f>
      </c>
      <c r="D615" s="5" t="str">
        <f>ABS(C615-B615)</f>
      </c>
    </row>
    <row r="616">
      <c r="A616" s="6">
        <v>592</v>
      </c>
      <c r="B616" s="6" t="str">
        <f>SMALL('Lineal Mixto'!$C$5:$C$2004,A616)</f>
      </c>
      <c r="C616" s="6" t="str">
        <f>A616/COUNT('Lineal Mixto'!$C$5:$C$2004)</f>
      </c>
      <c r="D616" s="6" t="str">
        <f>ABS(C616-B616)</f>
      </c>
    </row>
    <row r="617">
      <c r="A617" s="5">
        <v>593</v>
      </c>
      <c r="B617" s="5" t="str">
        <f>SMALL('Lineal Mixto'!$C$5:$C$2004,A617)</f>
      </c>
      <c r="C617" s="5" t="str">
        <f>A617/COUNT('Lineal Mixto'!$C$5:$C$2004)</f>
      </c>
      <c r="D617" s="5" t="str">
        <f>ABS(C617-B617)</f>
      </c>
    </row>
    <row r="618">
      <c r="A618" s="6">
        <v>594</v>
      </c>
      <c r="B618" s="6" t="str">
        <f>SMALL('Lineal Mixto'!$C$5:$C$2004,A618)</f>
      </c>
      <c r="C618" s="6" t="str">
        <f>A618/COUNT('Lineal Mixto'!$C$5:$C$2004)</f>
      </c>
      <c r="D618" s="6" t="str">
        <f>ABS(C618-B618)</f>
      </c>
    </row>
    <row r="619">
      <c r="A619" s="5">
        <v>595</v>
      </c>
      <c r="B619" s="5" t="str">
        <f>SMALL('Lineal Mixto'!$C$5:$C$2004,A619)</f>
      </c>
      <c r="C619" s="5" t="str">
        <f>A619/COUNT('Lineal Mixto'!$C$5:$C$2004)</f>
      </c>
      <c r="D619" s="5" t="str">
        <f>ABS(C619-B619)</f>
      </c>
    </row>
    <row r="620">
      <c r="A620" s="6">
        <v>596</v>
      </c>
      <c r="B620" s="6" t="str">
        <f>SMALL('Lineal Mixto'!$C$5:$C$2004,A620)</f>
      </c>
      <c r="C620" s="6" t="str">
        <f>A620/COUNT('Lineal Mixto'!$C$5:$C$2004)</f>
      </c>
      <c r="D620" s="6" t="str">
        <f>ABS(C620-B620)</f>
      </c>
    </row>
    <row r="621">
      <c r="A621" s="5">
        <v>597</v>
      </c>
      <c r="B621" s="5" t="str">
        <f>SMALL('Lineal Mixto'!$C$5:$C$2004,A621)</f>
      </c>
      <c r="C621" s="5" t="str">
        <f>A621/COUNT('Lineal Mixto'!$C$5:$C$2004)</f>
      </c>
      <c r="D621" s="5" t="str">
        <f>ABS(C621-B621)</f>
      </c>
    </row>
    <row r="622">
      <c r="A622" s="6">
        <v>598</v>
      </c>
      <c r="B622" s="6" t="str">
        <f>SMALL('Lineal Mixto'!$C$5:$C$2004,A622)</f>
      </c>
      <c r="C622" s="6" t="str">
        <f>A622/COUNT('Lineal Mixto'!$C$5:$C$2004)</f>
      </c>
      <c r="D622" s="6" t="str">
        <f>ABS(C622-B622)</f>
      </c>
    </row>
    <row r="623">
      <c r="A623" s="5">
        <v>599</v>
      </c>
      <c r="B623" s="5" t="str">
        <f>SMALL('Lineal Mixto'!$C$5:$C$2004,A623)</f>
      </c>
      <c r="C623" s="5" t="str">
        <f>A623/COUNT('Lineal Mixto'!$C$5:$C$2004)</f>
      </c>
      <c r="D623" s="5" t="str">
        <f>ABS(C623-B623)</f>
      </c>
    </row>
    <row r="624">
      <c r="A624" s="6">
        <v>600</v>
      </c>
      <c r="B624" s="6" t="str">
        <f>SMALL('Lineal Mixto'!$C$5:$C$2004,A624)</f>
      </c>
      <c r="C624" s="6" t="str">
        <f>A624/COUNT('Lineal Mixto'!$C$5:$C$2004)</f>
      </c>
      <c r="D624" s="6" t="str">
        <f>ABS(C624-B624)</f>
      </c>
    </row>
    <row r="625">
      <c r="A625" s="5">
        <v>601</v>
      </c>
      <c r="B625" s="5" t="str">
        <f>SMALL('Lineal Mixto'!$C$5:$C$2004,A625)</f>
      </c>
      <c r="C625" s="5" t="str">
        <f>A625/COUNT('Lineal Mixto'!$C$5:$C$2004)</f>
      </c>
      <c r="D625" s="5" t="str">
        <f>ABS(C625-B625)</f>
      </c>
    </row>
    <row r="626">
      <c r="A626" s="6">
        <v>602</v>
      </c>
      <c r="B626" s="6" t="str">
        <f>SMALL('Lineal Mixto'!$C$5:$C$2004,A626)</f>
      </c>
      <c r="C626" s="6" t="str">
        <f>A626/COUNT('Lineal Mixto'!$C$5:$C$2004)</f>
      </c>
      <c r="D626" s="6" t="str">
        <f>ABS(C626-B626)</f>
      </c>
    </row>
    <row r="627">
      <c r="A627" s="5">
        <v>603</v>
      </c>
      <c r="B627" s="5" t="str">
        <f>SMALL('Lineal Mixto'!$C$5:$C$2004,A627)</f>
      </c>
      <c r="C627" s="5" t="str">
        <f>A627/COUNT('Lineal Mixto'!$C$5:$C$2004)</f>
      </c>
      <c r="D627" s="5" t="str">
        <f>ABS(C627-B627)</f>
      </c>
    </row>
    <row r="628">
      <c r="A628" s="6">
        <v>604</v>
      </c>
      <c r="B628" s="6" t="str">
        <f>SMALL('Lineal Mixto'!$C$5:$C$2004,A628)</f>
      </c>
      <c r="C628" s="6" t="str">
        <f>A628/COUNT('Lineal Mixto'!$C$5:$C$2004)</f>
      </c>
      <c r="D628" s="6" t="str">
        <f>ABS(C628-B628)</f>
      </c>
    </row>
    <row r="629">
      <c r="A629" s="5">
        <v>605</v>
      </c>
      <c r="B629" s="5" t="str">
        <f>SMALL('Lineal Mixto'!$C$5:$C$2004,A629)</f>
      </c>
      <c r="C629" s="5" t="str">
        <f>A629/COUNT('Lineal Mixto'!$C$5:$C$2004)</f>
      </c>
      <c r="D629" s="5" t="str">
        <f>ABS(C629-B629)</f>
      </c>
    </row>
    <row r="630">
      <c r="A630" s="6">
        <v>606</v>
      </c>
      <c r="B630" s="6" t="str">
        <f>SMALL('Lineal Mixto'!$C$5:$C$2004,A630)</f>
      </c>
      <c r="C630" s="6" t="str">
        <f>A630/COUNT('Lineal Mixto'!$C$5:$C$2004)</f>
      </c>
      <c r="D630" s="6" t="str">
        <f>ABS(C630-B630)</f>
      </c>
    </row>
    <row r="631">
      <c r="A631" s="5">
        <v>607</v>
      </c>
      <c r="B631" s="5" t="str">
        <f>SMALL('Lineal Mixto'!$C$5:$C$2004,A631)</f>
      </c>
      <c r="C631" s="5" t="str">
        <f>A631/COUNT('Lineal Mixto'!$C$5:$C$2004)</f>
      </c>
      <c r="D631" s="5" t="str">
        <f>ABS(C631-B631)</f>
      </c>
    </row>
    <row r="632">
      <c r="A632" s="6">
        <v>608</v>
      </c>
      <c r="B632" s="6" t="str">
        <f>SMALL('Lineal Mixto'!$C$5:$C$2004,A632)</f>
      </c>
      <c r="C632" s="6" t="str">
        <f>A632/COUNT('Lineal Mixto'!$C$5:$C$2004)</f>
      </c>
      <c r="D632" s="6" t="str">
        <f>ABS(C632-B632)</f>
      </c>
    </row>
    <row r="633">
      <c r="A633" s="5">
        <v>609</v>
      </c>
      <c r="B633" s="5" t="str">
        <f>SMALL('Lineal Mixto'!$C$5:$C$2004,A633)</f>
      </c>
      <c r="C633" s="5" t="str">
        <f>A633/COUNT('Lineal Mixto'!$C$5:$C$2004)</f>
      </c>
      <c r="D633" s="5" t="str">
        <f>ABS(C633-B633)</f>
      </c>
    </row>
    <row r="634">
      <c r="A634" s="6">
        <v>610</v>
      </c>
      <c r="B634" s="6" t="str">
        <f>SMALL('Lineal Mixto'!$C$5:$C$2004,A634)</f>
      </c>
      <c r="C634" s="6" t="str">
        <f>A634/COUNT('Lineal Mixto'!$C$5:$C$2004)</f>
      </c>
      <c r="D634" s="6" t="str">
        <f>ABS(C634-B634)</f>
      </c>
    </row>
    <row r="635">
      <c r="A635" s="5">
        <v>611</v>
      </c>
      <c r="B635" s="5" t="str">
        <f>SMALL('Lineal Mixto'!$C$5:$C$2004,A635)</f>
      </c>
      <c r="C635" s="5" t="str">
        <f>A635/COUNT('Lineal Mixto'!$C$5:$C$2004)</f>
      </c>
      <c r="D635" s="5" t="str">
        <f>ABS(C635-B635)</f>
      </c>
    </row>
    <row r="636">
      <c r="A636" s="6">
        <v>612</v>
      </c>
      <c r="B636" s="6" t="str">
        <f>SMALL('Lineal Mixto'!$C$5:$C$2004,A636)</f>
      </c>
      <c r="C636" s="6" t="str">
        <f>A636/COUNT('Lineal Mixto'!$C$5:$C$2004)</f>
      </c>
      <c r="D636" s="6" t="str">
        <f>ABS(C636-B636)</f>
      </c>
    </row>
    <row r="637">
      <c r="A637" s="5">
        <v>613</v>
      </c>
      <c r="B637" s="5" t="str">
        <f>SMALL('Lineal Mixto'!$C$5:$C$2004,A637)</f>
      </c>
      <c r="C637" s="5" t="str">
        <f>A637/COUNT('Lineal Mixto'!$C$5:$C$2004)</f>
      </c>
      <c r="D637" s="5" t="str">
        <f>ABS(C637-B637)</f>
      </c>
    </row>
    <row r="638">
      <c r="A638" s="6">
        <v>614</v>
      </c>
      <c r="B638" s="6" t="str">
        <f>SMALL('Lineal Mixto'!$C$5:$C$2004,A638)</f>
      </c>
      <c r="C638" s="6" t="str">
        <f>A638/COUNT('Lineal Mixto'!$C$5:$C$2004)</f>
      </c>
      <c r="D638" s="6" t="str">
        <f>ABS(C638-B638)</f>
      </c>
    </row>
    <row r="639">
      <c r="A639" s="5">
        <v>615</v>
      </c>
      <c r="B639" s="5" t="str">
        <f>SMALL('Lineal Mixto'!$C$5:$C$2004,A639)</f>
      </c>
      <c r="C639" s="5" t="str">
        <f>A639/COUNT('Lineal Mixto'!$C$5:$C$2004)</f>
      </c>
      <c r="D639" s="5" t="str">
        <f>ABS(C639-B639)</f>
      </c>
    </row>
    <row r="640">
      <c r="A640" s="6">
        <v>616</v>
      </c>
      <c r="B640" s="6" t="str">
        <f>SMALL('Lineal Mixto'!$C$5:$C$2004,A640)</f>
      </c>
      <c r="C640" s="6" t="str">
        <f>A640/COUNT('Lineal Mixto'!$C$5:$C$2004)</f>
      </c>
      <c r="D640" s="6" t="str">
        <f>ABS(C640-B640)</f>
      </c>
    </row>
    <row r="641">
      <c r="A641" s="5">
        <v>617</v>
      </c>
      <c r="B641" s="5" t="str">
        <f>SMALL('Lineal Mixto'!$C$5:$C$2004,A641)</f>
      </c>
      <c r="C641" s="5" t="str">
        <f>A641/COUNT('Lineal Mixto'!$C$5:$C$2004)</f>
      </c>
      <c r="D641" s="5" t="str">
        <f>ABS(C641-B641)</f>
      </c>
    </row>
    <row r="642">
      <c r="A642" s="6">
        <v>618</v>
      </c>
      <c r="B642" s="6" t="str">
        <f>SMALL('Lineal Mixto'!$C$5:$C$2004,A642)</f>
      </c>
      <c r="C642" s="6" t="str">
        <f>A642/COUNT('Lineal Mixto'!$C$5:$C$2004)</f>
      </c>
      <c r="D642" s="6" t="str">
        <f>ABS(C642-B642)</f>
      </c>
    </row>
    <row r="643">
      <c r="A643" s="5">
        <v>619</v>
      </c>
      <c r="B643" s="5" t="str">
        <f>SMALL('Lineal Mixto'!$C$5:$C$2004,A643)</f>
      </c>
      <c r="C643" s="5" t="str">
        <f>A643/COUNT('Lineal Mixto'!$C$5:$C$2004)</f>
      </c>
      <c r="D643" s="5" t="str">
        <f>ABS(C643-B643)</f>
      </c>
    </row>
    <row r="644">
      <c r="A644" s="6">
        <v>620</v>
      </c>
      <c r="B644" s="6" t="str">
        <f>SMALL('Lineal Mixto'!$C$5:$C$2004,A644)</f>
      </c>
      <c r="C644" s="6" t="str">
        <f>A644/COUNT('Lineal Mixto'!$C$5:$C$2004)</f>
      </c>
      <c r="D644" s="6" t="str">
        <f>ABS(C644-B644)</f>
      </c>
    </row>
    <row r="645">
      <c r="A645" s="5">
        <v>621</v>
      </c>
      <c r="B645" s="5" t="str">
        <f>SMALL('Lineal Mixto'!$C$5:$C$2004,A645)</f>
      </c>
      <c r="C645" s="5" t="str">
        <f>A645/COUNT('Lineal Mixto'!$C$5:$C$2004)</f>
      </c>
      <c r="D645" s="5" t="str">
        <f>ABS(C645-B645)</f>
      </c>
    </row>
    <row r="646">
      <c r="A646" s="6">
        <v>622</v>
      </c>
      <c r="B646" s="6" t="str">
        <f>SMALL('Lineal Mixto'!$C$5:$C$2004,A646)</f>
      </c>
      <c r="C646" s="6" t="str">
        <f>A646/COUNT('Lineal Mixto'!$C$5:$C$2004)</f>
      </c>
      <c r="D646" s="6" t="str">
        <f>ABS(C646-B646)</f>
      </c>
    </row>
    <row r="647">
      <c r="A647" s="5">
        <v>623</v>
      </c>
      <c r="B647" s="5" t="str">
        <f>SMALL('Lineal Mixto'!$C$5:$C$2004,A647)</f>
      </c>
      <c r="C647" s="5" t="str">
        <f>A647/COUNT('Lineal Mixto'!$C$5:$C$2004)</f>
      </c>
      <c r="D647" s="5" t="str">
        <f>ABS(C647-B647)</f>
      </c>
    </row>
    <row r="648">
      <c r="A648" s="6">
        <v>624</v>
      </c>
      <c r="B648" s="6" t="str">
        <f>SMALL('Lineal Mixto'!$C$5:$C$2004,A648)</f>
      </c>
      <c r="C648" s="6" t="str">
        <f>A648/COUNT('Lineal Mixto'!$C$5:$C$2004)</f>
      </c>
      <c r="D648" s="6" t="str">
        <f>ABS(C648-B648)</f>
      </c>
    </row>
    <row r="649">
      <c r="A649" s="5">
        <v>625</v>
      </c>
      <c r="B649" s="5" t="str">
        <f>SMALL('Lineal Mixto'!$C$5:$C$2004,A649)</f>
      </c>
      <c r="C649" s="5" t="str">
        <f>A649/COUNT('Lineal Mixto'!$C$5:$C$2004)</f>
      </c>
      <c r="D649" s="5" t="str">
        <f>ABS(C649-B649)</f>
      </c>
    </row>
    <row r="650">
      <c r="A650" s="6">
        <v>626</v>
      </c>
      <c r="B650" s="6" t="str">
        <f>SMALL('Lineal Mixto'!$C$5:$C$2004,A650)</f>
      </c>
      <c r="C650" s="6" t="str">
        <f>A650/COUNT('Lineal Mixto'!$C$5:$C$2004)</f>
      </c>
      <c r="D650" s="6" t="str">
        <f>ABS(C650-B650)</f>
      </c>
    </row>
    <row r="651">
      <c r="A651" s="5">
        <v>627</v>
      </c>
      <c r="B651" s="5" t="str">
        <f>SMALL('Lineal Mixto'!$C$5:$C$2004,A651)</f>
      </c>
      <c r="C651" s="5" t="str">
        <f>A651/COUNT('Lineal Mixto'!$C$5:$C$2004)</f>
      </c>
      <c r="D651" s="5" t="str">
        <f>ABS(C651-B651)</f>
      </c>
    </row>
    <row r="652">
      <c r="A652" s="6">
        <v>628</v>
      </c>
      <c r="B652" s="6" t="str">
        <f>SMALL('Lineal Mixto'!$C$5:$C$2004,A652)</f>
      </c>
      <c r="C652" s="6" t="str">
        <f>A652/COUNT('Lineal Mixto'!$C$5:$C$2004)</f>
      </c>
      <c r="D652" s="6" t="str">
        <f>ABS(C652-B652)</f>
      </c>
    </row>
    <row r="653">
      <c r="A653" s="5">
        <v>629</v>
      </c>
      <c r="B653" s="5" t="str">
        <f>SMALL('Lineal Mixto'!$C$5:$C$2004,A653)</f>
      </c>
      <c r="C653" s="5" t="str">
        <f>A653/COUNT('Lineal Mixto'!$C$5:$C$2004)</f>
      </c>
      <c r="D653" s="5" t="str">
        <f>ABS(C653-B653)</f>
      </c>
    </row>
    <row r="654">
      <c r="A654" s="6">
        <v>630</v>
      </c>
      <c r="B654" s="6" t="str">
        <f>SMALL('Lineal Mixto'!$C$5:$C$2004,A654)</f>
      </c>
      <c r="C654" s="6" t="str">
        <f>A654/COUNT('Lineal Mixto'!$C$5:$C$2004)</f>
      </c>
      <c r="D654" s="6" t="str">
        <f>ABS(C654-B654)</f>
      </c>
    </row>
    <row r="655">
      <c r="A655" s="5">
        <v>631</v>
      </c>
      <c r="B655" s="5" t="str">
        <f>SMALL('Lineal Mixto'!$C$5:$C$2004,A655)</f>
      </c>
      <c r="C655" s="5" t="str">
        <f>A655/COUNT('Lineal Mixto'!$C$5:$C$2004)</f>
      </c>
      <c r="D655" s="5" t="str">
        <f>ABS(C655-B655)</f>
      </c>
    </row>
    <row r="656">
      <c r="A656" s="6">
        <v>632</v>
      </c>
      <c r="B656" s="6" t="str">
        <f>SMALL('Lineal Mixto'!$C$5:$C$2004,A656)</f>
      </c>
      <c r="C656" s="6" t="str">
        <f>A656/COUNT('Lineal Mixto'!$C$5:$C$2004)</f>
      </c>
      <c r="D656" s="6" t="str">
        <f>ABS(C656-B656)</f>
      </c>
    </row>
    <row r="657">
      <c r="A657" s="5">
        <v>633</v>
      </c>
      <c r="B657" s="5" t="str">
        <f>SMALL('Lineal Mixto'!$C$5:$C$2004,A657)</f>
      </c>
      <c r="C657" s="5" t="str">
        <f>A657/COUNT('Lineal Mixto'!$C$5:$C$2004)</f>
      </c>
      <c r="D657" s="5" t="str">
        <f>ABS(C657-B657)</f>
      </c>
    </row>
    <row r="658">
      <c r="A658" s="6">
        <v>634</v>
      </c>
      <c r="B658" s="6" t="str">
        <f>SMALL('Lineal Mixto'!$C$5:$C$2004,A658)</f>
      </c>
      <c r="C658" s="6" t="str">
        <f>A658/COUNT('Lineal Mixto'!$C$5:$C$2004)</f>
      </c>
      <c r="D658" s="6" t="str">
        <f>ABS(C658-B658)</f>
      </c>
    </row>
    <row r="659">
      <c r="A659" s="5">
        <v>635</v>
      </c>
      <c r="B659" s="5" t="str">
        <f>SMALL('Lineal Mixto'!$C$5:$C$2004,A659)</f>
      </c>
      <c r="C659" s="5" t="str">
        <f>A659/COUNT('Lineal Mixto'!$C$5:$C$2004)</f>
      </c>
      <c r="D659" s="5" t="str">
        <f>ABS(C659-B659)</f>
      </c>
    </row>
    <row r="660">
      <c r="A660" s="6">
        <v>636</v>
      </c>
      <c r="B660" s="6" t="str">
        <f>SMALL('Lineal Mixto'!$C$5:$C$2004,A660)</f>
      </c>
      <c r="C660" s="6" t="str">
        <f>A660/COUNT('Lineal Mixto'!$C$5:$C$2004)</f>
      </c>
      <c r="D660" s="6" t="str">
        <f>ABS(C660-B660)</f>
      </c>
    </row>
    <row r="661">
      <c r="A661" s="5">
        <v>637</v>
      </c>
      <c r="B661" s="5" t="str">
        <f>SMALL('Lineal Mixto'!$C$5:$C$2004,A661)</f>
      </c>
      <c r="C661" s="5" t="str">
        <f>A661/COUNT('Lineal Mixto'!$C$5:$C$2004)</f>
      </c>
      <c r="D661" s="5" t="str">
        <f>ABS(C661-B661)</f>
      </c>
    </row>
    <row r="662">
      <c r="A662" s="6">
        <v>638</v>
      </c>
      <c r="B662" s="6" t="str">
        <f>SMALL('Lineal Mixto'!$C$5:$C$2004,A662)</f>
      </c>
      <c r="C662" s="6" t="str">
        <f>A662/COUNT('Lineal Mixto'!$C$5:$C$2004)</f>
      </c>
      <c r="D662" s="6" t="str">
        <f>ABS(C662-B662)</f>
      </c>
    </row>
    <row r="663">
      <c r="A663" s="5">
        <v>639</v>
      </c>
      <c r="B663" s="5" t="str">
        <f>SMALL('Lineal Mixto'!$C$5:$C$2004,A663)</f>
      </c>
      <c r="C663" s="5" t="str">
        <f>A663/COUNT('Lineal Mixto'!$C$5:$C$2004)</f>
      </c>
      <c r="D663" s="5" t="str">
        <f>ABS(C663-B663)</f>
      </c>
    </row>
    <row r="664">
      <c r="A664" s="6">
        <v>640</v>
      </c>
      <c r="B664" s="6" t="str">
        <f>SMALL('Lineal Mixto'!$C$5:$C$2004,A664)</f>
      </c>
      <c r="C664" s="6" t="str">
        <f>A664/COUNT('Lineal Mixto'!$C$5:$C$2004)</f>
      </c>
      <c r="D664" s="6" t="str">
        <f>ABS(C664-B664)</f>
      </c>
    </row>
    <row r="665">
      <c r="A665" s="5">
        <v>641</v>
      </c>
      <c r="B665" s="5" t="str">
        <f>SMALL('Lineal Mixto'!$C$5:$C$2004,A665)</f>
      </c>
      <c r="C665" s="5" t="str">
        <f>A665/COUNT('Lineal Mixto'!$C$5:$C$2004)</f>
      </c>
      <c r="D665" s="5" t="str">
        <f>ABS(C665-B665)</f>
      </c>
    </row>
    <row r="666">
      <c r="A666" s="6">
        <v>642</v>
      </c>
      <c r="B666" s="6" t="str">
        <f>SMALL('Lineal Mixto'!$C$5:$C$2004,A666)</f>
      </c>
      <c r="C666" s="6" t="str">
        <f>A666/COUNT('Lineal Mixto'!$C$5:$C$2004)</f>
      </c>
      <c r="D666" s="6" t="str">
        <f>ABS(C666-B666)</f>
      </c>
    </row>
    <row r="667">
      <c r="A667" s="5">
        <v>643</v>
      </c>
      <c r="B667" s="5" t="str">
        <f>SMALL('Lineal Mixto'!$C$5:$C$2004,A667)</f>
      </c>
      <c r="C667" s="5" t="str">
        <f>A667/COUNT('Lineal Mixto'!$C$5:$C$2004)</f>
      </c>
      <c r="D667" s="5" t="str">
        <f>ABS(C667-B667)</f>
      </c>
    </row>
    <row r="668">
      <c r="A668" s="6">
        <v>644</v>
      </c>
      <c r="B668" s="6" t="str">
        <f>SMALL('Lineal Mixto'!$C$5:$C$2004,A668)</f>
      </c>
      <c r="C668" s="6" t="str">
        <f>A668/COUNT('Lineal Mixto'!$C$5:$C$2004)</f>
      </c>
      <c r="D668" s="6" t="str">
        <f>ABS(C668-B668)</f>
      </c>
    </row>
    <row r="669">
      <c r="A669" s="5">
        <v>645</v>
      </c>
      <c r="B669" s="5" t="str">
        <f>SMALL('Lineal Mixto'!$C$5:$C$2004,A669)</f>
      </c>
      <c r="C669" s="5" t="str">
        <f>A669/COUNT('Lineal Mixto'!$C$5:$C$2004)</f>
      </c>
      <c r="D669" s="5" t="str">
        <f>ABS(C669-B669)</f>
      </c>
    </row>
    <row r="670">
      <c r="A670" s="6">
        <v>646</v>
      </c>
      <c r="B670" s="6" t="str">
        <f>SMALL('Lineal Mixto'!$C$5:$C$2004,A670)</f>
      </c>
      <c r="C670" s="6" t="str">
        <f>A670/COUNT('Lineal Mixto'!$C$5:$C$2004)</f>
      </c>
      <c r="D670" s="6" t="str">
        <f>ABS(C670-B670)</f>
      </c>
    </row>
    <row r="671">
      <c r="A671" s="5">
        <v>647</v>
      </c>
      <c r="B671" s="5" t="str">
        <f>SMALL('Lineal Mixto'!$C$5:$C$2004,A671)</f>
      </c>
      <c r="C671" s="5" t="str">
        <f>A671/COUNT('Lineal Mixto'!$C$5:$C$2004)</f>
      </c>
      <c r="D671" s="5" t="str">
        <f>ABS(C671-B671)</f>
      </c>
    </row>
    <row r="672">
      <c r="A672" s="6">
        <v>648</v>
      </c>
      <c r="B672" s="6" t="str">
        <f>SMALL('Lineal Mixto'!$C$5:$C$2004,A672)</f>
      </c>
      <c r="C672" s="6" t="str">
        <f>A672/COUNT('Lineal Mixto'!$C$5:$C$2004)</f>
      </c>
      <c r="D672" s="6" t="str">
        <f>ABS(C672-B672)</f>
      </c>
    </row>
    <row r="673">
      <c r="A673" s="5">
        <v>649</v>
      </c>
      <c r="B673" s="5" t="str">
        <f>SMALL('Lineal Mixto'!$C$5:$C$2004,A673)</f>
      </c>
      <c r="C673" s="5" t="str">
        <f>A673/COUNT('Lineal Mixto'!$C$5:$C$2004)</f>
      </c>
      <c r="D673" s="5" t="str">
        <f>ABS(C673-B673)</f>
      </c>
    </row>
    <row r="674">
      <c r="A674" s="6">
        <v>650</v>
      </c>
      <c r="B674" s="6" t="str">
        <f>SMALL('Lineal Mixto'!$C$5:$C$2004,A674)</f>
      </c>
      <c r="C674" s="6" t="str">
        <f>A674/COUNT('Lineal Mixto'!$C$5:$C$2004)</f>
      </c>
      <c r="D674" s="6" t="str">
        <f>ABS(C674-B674)</f>
      </c>
    </row>
    <row r="675">
      <c r="A675" s="5">
        <v>651</v>
      </c>
      <c r="B675" s="5" t="str">
        <f>SMALL('Lineal Mixto'!$C$5:$C$2004,A675)</f>
      </c>
      <c r="C675" s="5" t="str">
        <f>A675/COUNT('Lineal Mixto'!$C$5:$C$2004)</f>
      </c>
      <c r="D675" s="5" t="str">
        <f>ABS(C675-B675)</f>
      </c>
    </row>
    <row r="676">
      <c r="A676" s="6">
        <v>652</v>
      </c>
      <c r="B676" s="6" t="str">
        <f>SMALL('Lineal Mixto'!$C$5:$C$2004,A676)</f>
      </c>
      <c r="C676" s="6" t="str">
        <f>A676/COUNT('Lineal Mixto'!$C$5:$C$2004)</f>
      </c>
      <c r="D676" s="6" t="str">
        <f>ABS(C676-B676)</f>
      </c>
    </row>
    <row r="677">
      <c r="A677" s="5">
        <v>653</v>
      </c>
      <c r="B677" s="5" t="str">
        <f>SMALL('Lineal Mixto'!$C$5:$C$2004,A677)</f>
      </c>
      <c r="C677" s="5" t="str">
        <f>A677/COUNT('Lineal Mixto'!$C$5:$C$2004)</f>
      </c>
      <c r="D677" s="5" t="str">
        <f>ABS(C677-B677)</f>
      </c>
    </row>
    <row r="678">
      <c r="A678" s="6">
        <v>654</v>
      </c>
      <c r="B678" s="6" t="str">
        <f>SMALL('Lineal Mixto'!$C$5:$C$2004,A678)</f>
      </c>
      <c r="C678" s="6" t="str">
        <f>A678/COUNT('Lineal Mixto'!$C$5:$C$2004)</f>
      </c>
      <c r="D678" s="6" t="str">
        <f>ABS(C678-B678)</f>
      </c>
    </row>
    <row r="679">
      <c r="A679" s="5">
        <v>655</v>
      </c>
      <c r="B679" s="5" t="str">
        <f>SMALL('Lineal Mixto'!$C$5:$C$2004,A679)</f>
      </c>
      <c r="C679" s="5" t="str">
        <f>A679/COUNT('Lineal Mixto'!$C$5:$C$2004)</f>
      </c>
      <c r="D679" s="5" t="str">
        <f>ABS(C679-B679)</f>
      </c>
    </row>
    <row r="680">
      <c r="A680" s="6">
        <v>656</v>
      </c>
      <c r="B680" s="6" t="str">
        <f>SMALL('Lineal Mixto'!$C$5:$C$2004,A680)</f>
      </c>
      <c r="C680" s="6" t="str">
        <f>A680/COUNT('Lineal Mixto'!$C$5:$C$2004)</f>
      </c>
      <c r="D680" s="6" t="str">
        <f>ABS(C680-B680)</f>
      </c>
    </row>
    <row r="681">
      <c r="A681" s="5">
        <v>657</v>
      </c>
      <c r="B681" s="5" t="str">
        <f>SMALL('Lineal Mixto'!$C$5:$C$2004,A681)</f>
      </c>
      <c r="C681" s="5" t="str">
        <f>A681/COUNT('Lineal Mixto'!$C$5:$C$2004)</f>
      </c>
      <c r="D681" s="5" t="str">
        <f>ABS(C681-B681)</f>
      </c>
    </row>
    <row r="682">
      <c r="A682" s="6">
        <v>658</v>
      </c>
      <c r="B682" s="6" t="str">
        <f>SMALL('Lineal Mixto'!$C$5:$C$2004,A682)</f>
      </c>
      <c r="C682" s="6" t="str">
        <f>A682/COUNT('Lineal Mixto'!$C$5:$C$2004)</f>
      </c>
      <c r="D682" s="6" t="str">
        <f>ABS(C682-B682)</f>
      </c>
    </row>
    <row r="683">
      <c r="A683" s="5">
        <v>659</v>
      </c>
      <c r="B683" s="5" t="str">
        <f>SMALL('Lineal Mixto'!$C$5:$C$2004,A683)</f>
      </c>
      <c r="C683" s="5" t="str">
        <f>A683/COUNT('Lineal Mixto'!$C$5:$C$2004)</f>
      </c>
      <c r="D683" s="5" t="str">
        <f>ABS(C683-B683)</f>
      </c>
    </row>
    <row r="684">
      <c r="A684" s="6">
        <v>660</v>
      </c>
      <c r="B684" s="6" t="str">
        <f>SMALL('Lineal Mixto'!$C$5:$C$2004,A684)</f>
      </c>
      <c r="C684" s="6" t="str">
        <f>A684/COUNT('Lineal Mixto'!$C$5:$C$2004)</f>
      </c>
      <c r="D684" s="6" t="str">
        <f>ABS(C684-B684)</f>
      </c>
    </row>
    <row r="685">
      <c r="A685" s="5">
        <v>661</v>
      </c>
      <c r="B685" s="5" t="str">
        <f>SMALL('Lineal Mixto'!$C$5:$C$2004,A685)</f>
      </c>
      <c r="C685" s="5" t="str">
        <f>A685/COUNT('Lineal Mixto'!$C$5:$C$2004)</f>
      </c>
      <c r="D685" s="5" t="str">
        <f>ABS(C685-B685)</f>
      </c>
    </row>
    <row r="686">
      <c r="A686" s="6">
        <v>662</v>
      </c>
      <c r="B686" s="6" t="str">
        <f>SMALL('Lineal Mixto'!$C$5:$C$2004,A686)</f>
      </c>
      <c r="C686" s="6" t="str">
        <f>A686/COUNT('Lineal Mixto'!$C$5:$C$2004)</f>
      </c>
      <c r="D686" s="6" t="str">
        <f>ABS(C686-B686)</f>
      </c>
    </row>
    <row r="687">
      <c r="A687" s="5">
        <v>663</v>
      </c>
      <c r="B687" s="5" t="str">
        <f>SMALL('Lineal Mixto'!$C$5:$C$2004,A687)</f>
      </c>
      <c r="C687" s="5" t="str">
        <f>A687/COUNT('Lineal Mixto'!$C$5:$C$2004)</f>
      </c>
      <c r="D687" s="5" t="str">
        <f>ABS(C687-B687)</f>
      </c>
    </row>
    <row r="688">
      <c r="A688" s="6">
        <v>664</v>
      </c>
      <c r="B688" s="6" t="str">
        <f>SMALL('Lineal Mixto'!$C$5:$C$2004,A688)</f>
      </c>
      <c r="C688" s="6" t="str">
        <f>A688/COUNT('Lineal Mixto'!$C$5:$C$2004)</f>
      </c>
      <c r="D688" s="6" t="str">
        <f>ABS(C688-B688)</f>
      </c>
    </row>
    <row r="689">
      <c r="A689" s="5">
        <v>665</v>
      </c>
      <c r="B689" s="5" t="str">
        <f>SMALL('Lineal Mixto'!$C$5:$C$2004,A689)</f>
      </c>
      <c r="C689" s="5" t="str">
        <f>A689/COUNT('Lineal Mixto'!$C$5:$C$2004)</f>
      </c>
      <c r="D689" s="5" t="str">
        <f>ABS(C689-B689)</f>
      </c>
    </row>
    <row r="690">
      <c r="A690" s="6">
        <v>666</v>
      </c>
      <c r="B690" s="6" t="str">
        <f>SMALL('Lineal Mixto'!$C$5:$C$2004,A690)</f>
      </c>
      <c r="C690" s="6" t="str">
        <f>A690/COUNT('Lineal Mixto'!$C$5:$C$2004)</f>
      </c>
      <c r="D690" s="6" t="str">
        <f>ABS(C690-B690)</f>
      </c>
    </row>
    <row r="691">
      <c r="A691" s="5">
        <v>667</v>
      </c>
      <c r="B691" s="5" t="str">
        <f>SMALL('Lineal Mixto'!$C$5:$C$2004,A691)</f>
      </c>
      <c r="C691" s="5" t="str">
        <f>A691/COUNT('Lineal Mixto'!$C$5:$C$2004)</f>
      </c>
      <c r="D691" s="5" t="str">
        <f>ABS(C691-B691)</f>
      </c>
    </row>
    <row r="692">
      <c r="A692" s="6">
        <v>668</v>
      </c>
      <c r="B692" s="6" t="str">
        <f>SMALL('Lineal Mixto'!$C$5:$C$2004,A692)</f>
      </c>
      <c r="C692" s="6" t="str">
        <f>A692/COUNT('Lineal Mixto'!$C$5:$C$2004)</f>
      </c>
      <c r="D692" s="6" t="str">
        <f>ABS(C692-B692)</f>
      </c>
    </row>
    <row r="693">
      <c r="A693" s="5">
        <v>669</v>
      </c>
      <c r="B693" s="5" t="str">
        <f>SMALL('Lineal Mixto'!$C$5:$C$2004,A693)</f>
      </c>
      <c r="C693" s="5" t="str">
        <f>A693/COUNT('Lineal Mixto'!$C$5:$C$2004)</f>
      </c>
      <c r="D693" s="5" t="str">
        <f>ABS(C693-B693)</f>
      </c>
    </row>
    <row r="694">
      <c r="A694" s="6">
        <v>670</v>
      </c>
      <c r="B694" s="6" t="str">
        <f>SMALL('Lineal Mixto'!$C$5:$C$2004,A694)</f>
      </c>
      <c r="C694" s="6" t="str">
        <f>A694/COUNT('Lineal Mixto'!$C$5:$C$2004)</f>
      </c>
      <c r="D694" s="6" t="str">
        <f>ABS(C694-B694)</f>
      </c>
    </row>
    <row r="695">
      <c r="A695" s="5">
        <v>671</v>
      </c>
      <c r="B695" s="5" t="str">
        <f>SMALL('Lineal Mixto'!$C$5:$C$2004,A695)</f>
      </c>
      <c r="C695" s="5" t="str">
        <f>A695/COUNT('Lineal Mixto'!$C$5:$C$2004)</f>
      </c>
      <c r="D695" s="5" t="str">
        <f>ABS(C695-B695)</f>
      </c>
    </row>
    <row r="696">
      <c r="A696" s="6">
        <v>672</v>
      </c>
      <c r="B696" s="6" t="str">
        <f>SMALL('Lineal Mixto'!$C$5:$C$2004,A696)</f>
      </c>
      <c r="C696" s="6" t="str">
        <f>A696/COUNT('Lineal Mixto'!$C$5:$C$2004)</f>
      </c>
      <c r="D696" s="6" t="str">
        <f>ABS(C696-B696)</f>
      </c>
    </row>
    <row r="697">
      <c r="A697" s="5">
        <v>673</v>
      </c>
      <c r="B697" s="5" t="str">
        <f>SMALL('Lineal Mixto'!$C$5:$C$2004,A697)</f>
      </c>
      <c r="C697" s="5" t="str">
        <f>A697/COUNT('Lineal Mixto'!$C$5:$C$2004)</f>
      </c>
      <c r="D697" s="5" t="str">
        <f>ABS(C697-B697)</f>
      </c>
    </row>
    <row r="698">
      <c r="A698" s="6">
        <v>674</v>
      </c>
      <c r="B698" s="6" t="str">
        <f>SMALL('Lineal Mixto'!$C$5:$C$2004,A698)</f>
      </c>
      <c r="C698" s="6" t="str">
        <f>A698/COUNT('Lineal Mixto'!$C$5:$C$2004)</f>
      </c>
      <c r="D698" s="6" t="str">
        <f>ABS(C698-B698)</f>
      </c>
    </row>
    <row r="699">
      <c r="A699" s="5">
        <v>675</v>
      </c>
      <c r="B699" s="5" t="str">
        <f>SMALL('Lineal Mixto'!$C$5:$C$2004,A699)</f>
      </c>
      <c r="C699" s="5" t="str">
        <f>A699/COUNT('Lineal Mixto'!$C$5:$C$2004)</f>
      </c>
      <c r="D699" s="5" t="str">
        <f>ABS(C699-B699)</f>
      </c>
    </row>
    <row r="700">
      <c r="A700" s="6">
        <v>676</v>
      </c>
      <c r="B700" s="6" t="str">
        <f>SMALL('Lineal Mixto'!$C$5:$C$2004,A700)</f>
      </c>
      <c r="C700" s="6" t="str">
        <f>A700/COUNT('Lineal Mixto'!$C$5:$C$2004)</f>
      </c>
      <c r="D700" s="6" t="str">
        <f>ABS(C700-B700)</f>
      </c>
    </row>
    <row r="701">
      <c r="A701" s="5">
        <v>677</v>
      </c>
      <c r="B701" s="5" t="str">
        <f>SMALL('Lineal Mixto'!$C$5:$C$2004,A701)</f>
      </c>
      <c r="C701" s="5" t="str">
        <f>A701/COUNT('Lineal Mixto'!$C$5:$C$2004)</f>
      </c>
      <c r="D701" s="5" t="str">
        <f>ABS(C701-B701)</f>
      </c>
    </row>
    <row r="702">
      <c r="A702" s="6">
        <v>678</v>
      </c>
      <c r="B702" s="6" t="str">
        <f>SMALL('Lineal Mixto'!$C$5:$C$2004,A702)</f>
      </c>
      <c r="C702" s="6" t="str">
        <f>A702/COUNT('Lineal Mixto'!$C$5:$C$2004)</f>
      </c>
      <c r="D702" s="6" t="str">
        <f>ABS(C702-B702)</f>
      </c>
    </row>
    <row r="703">
      <c r="A703" s="5">
        <v>679</v>
      </c>
      <c r="B703" s="5" t="str">
        <f>SMALL('Lineal Mixto'!$C$5:$C$2004,A703)</f>
      </c>
      <c r="C703" s="5" t="str">
        <f>A703/COUNT('Lineal Mixto'!$C$5:$C$2004)</f>
      </c>
      <c r="D703" s="5" t="str">
        <f>ABS(C703-B703)</f>
      </c>
    </row>
    <row r="704">
      <c r="A704" s="6">
        <v>680</v>
      </c>
      <c r="B704" s="6" t="str">
        <f>SMALL('Lineal Mixto'!$C$5:$C$2004,A704)</f>
      </c>
      <c r="C704" s="6" t="str">
        <f>A704/COUNT('Lineal Mixto'!$C$5:$C$2004)</f>
      </c>
      <c r="D704" s="6" t="str">
        <f>ABS(C704-B704)</f>
      </c>
    </row>
    <row r="705">
      <c r="A705" s="5">
        <v>681</v>
      </c>
      <c r="B705" s="5" t="str">
        <f>SMALL('Lineal Mixto'!$C$5:$C$2004,A705)</f>
      </c>
      <c r="C705" s="5" t="str">
        <f>A705/COUNT('Lineal Mixto'!$C$5:$C$2004)</f>
      </c>
      <c r="D705" s="5" t="str">
        <f>ABS(C705-B705)</f>
      </c>
    </row>
    <row r="706">
      <c r="A706" s="6">
        <v>682</v>
      </c>
      <c r="B706" s="6" t="str">
        <f>SMALL('Lineal Mixto'!$C$5:$C$2004,A706)</f>
      </c>
      <c r="C706" s="6" t="str">
        <f>A706/COUNT('Lineal Mixto'!$C$5:$C$2004)</f>
      </c>
      <c r="D706" s="6" t="str">
        <f>ABS(C706-B706)</f>
      </c>
    </row>
    <row r="707">
      <c r="A707" s="5">
        <v>683</v>
      </c>
      <c r="B707" s="5" t="str">
        <f>SMALL('Lineal Mixto'!$C$5:$C$2004,A707)</f>
      </c>
      <c r="C707" s="5" t="str">
        <f>A707/COUNT('Lineal Mixto'!$C$5:$C$2004)</f>
      </c>
      <c r="D707" s="5" t="str">
        <f>ABS(C707-B707)</f>
      </c>
    </row>
    <row r="708">
      <c r="A708" s="6">
        <v>684</v>
      </c>
      <c r="B708" s="6" t="str">
        <f>SMALL('Lineal Mixto'!$C$5:$C$2004,A708)</f>
      </c>
      <c r="C708" s="6" t="str">
        <f>A708/COUNT('Lineal Mixto'!$C$5:$C$2004)</f>
      </c>
      <c r="D708" s="6" t="str">
        <f>ABS(C708-B708)</f>
      </c>
    </row>
    <row r="709">
      <c r="A709" s="5">
        <v>685</v>
      </c>
      <c r="B709" s="5" t="str">
        <f>SMALL('Lineal Mixto'!$C$5:$C$2004,A709)</f>
      </c>
      <c r="C709" s="5" t="str">
        <f>A709/COUNT('Lineal Mixto'!$C$5:$C$2004)</f>
      </c>
      <c r="D709" s="5" t="str">
        <f>ABS(C709-B709)</f>
      </c>
    </row>
    <row r="710">
      <c r="A710" s="6">
        <v>686</v>
      </c>
      <c r="B710" s="6" t="str">
        <f>SMALL('Lineal Mixto'!$C$5:$C$2004,A710)</f>
      </c>
      <c r="C710" s="6" t="str">
        <f>A710/COUNT('Lineal Mixto'!$C$5:$C$2004)</f>
      </c>
      <c r="D710" s="6" t="str">
        <f>ABS(C710-B710)</f>
      </c>
    </row>
    <row r="711">
      <c r="A711" s="5">
        <v>687</v>
      </c>
      <c r="B711" s="5" t="str">
        <f>SMALL('Lineal Mixto'!$C$5:$C$2004,A711)</f>
      </c>
      <c r="C711" s="5" t="str">
        <f>A711/COUNT('Lineal Mixto'!$C$5:$C$2004)</f>
      </c>
      <c r="D711" s="5" t="str">
        <f>ABS(C711-B711)</f>
      </c>
    </row>
    <row r="712">
      <c r="A712" s="6">
        <v>688</v>
      </c>
      <c r="B712" s="6" t="str">
        <f>SMALL('Lineal Mixto'!$C$5:$C$2004,A712)</f>
      </c>
      <c r="C712" s="6" t="str">
        <f>A712/COUNT('Lineal Mixto'!$C$5:$C$2004)</f>
      </c>
      <c r="D712" s="6" t="str">
        <f>ABS(C712-B712)</f>
      </c>
    </row>
    <row r="713">
      <c r="A713" s="5">
        <v>689</v>
      </c>
      <c r="B713" s="5" t="str">
        <f>SMALL('Lineal Mixto'!$C$5:$C$2004,A713)</f>
      </c>
      <c r="C713" s="5" t="str">
        <f>A713/COUNT('Lineal Mixto'!$C$5:$C$2004)</f>
      </c>
      <c r="D713" s="5" t="str">
        <f>ABS(C713-B713)</f>
      </c>
    </row>
    <row r="714">
      <c r="A714" s="6">
        <v>690</v>
      </c>
      <c r="B714" s="6" t="str">
        <f>SMALL('Lineal Mixto'!$C$5:$C$2004,A714)</f>
      </c>
      <c r="C714" s="6" t="str">
        <f>A714/COUNT('Lineal Mixto'!$C$5:$C$2004)</f>
      </c>
      <c r="D714" s="6" t="str">
        <f>ABS(C714-B714)</f>
      </c>
    </row>
    <row r="715">
      <c r="A715" s="5">
        <v>691</v>
      </c>
      <c r="B715" s="5" t="str">
        <f>SMALL('Lineal Mixto'!$C$5:$C$2004,A715)</f>
      </c>
      <c r="C715" s="5" t="str">
        <f>A715/COUNT('Lineal Mixto'!$C$5:$C$2004)</f>
      </c>
      <c r="D715" s="5" t="str">
        <f>ABS(C715-B715)</f>
      </c>
    </row>
    <row r="716">
      <c r="A716" s="6">
        <v>692</v>
      </c>
      <c r="B716" s="6" t="str">
        <f>SMALL('Lineal Mixto'!$C$5:$C$2004,A716)</f>
      </c>
      <c r="C716" s="6" t="str">
        <f>A716/COUNT('Lineal Mixto'!$C$5:$C$2004)</f>
      </c>
      <c r="D716" s="6" t="str">
        <f>ABS(C716-B716)</f>
      </c>
    </row>
    <row r="717">
      <c r="A717" s="5">
        <v>693</v>
      </c>
      <c r="B717" s="5" t="str">
        <f>SMALL('Lineal Mixto'!$C$5:$C$2004,A717)</f>
      </c>
      <c r="C717" s="5" t="str">
        <f>A717/COUNT('Lineal Mixto'!$C$5:$C$2004)</f>
      </c>
      <c r="D717" s="5" t="str">
        <f>ABS(C717-B717)</f>
      </c>
    </row>
    <row r="718">
      <c r="A718" s="6">
        <v>694</v>
      </c>
      <c r="B718" s="6" t="str">
        <f>SMALL('Lineal Mixto'!$C$5:$C$2004,A718)</f>
      </c>
      <c r="C718" s="6" t="str">
        <f>A718/COUNT('Lineal Mixto'!$C$5:$C$2004)</f>
      </c>
      <c r="D718" s="6" t="str">
        <f>ABS(C718-B718)</f>
      </c>
    </row>
    <row r="719">
      <c r="A719" s="5">
        <v>695</v>
      </c>
      <c r="B719" s="5" t="str">
        <f>SMALL('Lineal Mixto'!$C$5:$C$2004,A719)</f>
      </c>
      <c r="C719" s="5" t="str">
        <f>A719/COUNT('Lineal Mixto'!$C$5:$C$2004)</f>
      </c>
      <c r="D719" s="5" t="str">
        <f>ABS(C719-B719)</f>
      </c>
    </row>
    <row r="720">
      <c r="A720" s="6">
        <v>696</v>
      </c>
      <c r="B720" s="6" t="str">
        <f>SMALL('Lineal Mixto'!$C$5:$C$2004,A720)</f>
      </c>
      <c r="C720" s="6" t="str">
        <f>A720/COUNT('Lineal Mixto'!$C$5:$C$2004)</f>
      </c>
      <c r="D720" s="6" t="str">
        <f>ABS(C720-B720)</f>
      </c>
    </row>
    <row r="721">
      <c r="A721" s="5">
        <v>697</v>
      </c>
      <c r="B721" s="5" t="str">
        <f>SMALL('Lineal Mixto'!$C$5:$C$2004,A721)</f>
      </c>
      <c r="C721" s="5" t="str">
        <f>A721/COUNT('Lineal Mixto'!$C$5:$C$2004)</f>
      </c>
      <c r="D721" s="5" t="str">
        <f>ABS(C721-B721)</f>
      </c>
    </row>
    <row r="722">
      <c r="A722" s="6">
        <v>698</v>
      </c>
      <c r="B722" s="6" t="str">
        <f>SMALL('Lineal Mixto'!$C$5:$C$2004,A722)</f>
      </c>
      <c r="C722" s="6" t="str">
        <f>A722/COUNT('Lineal Mixto'!$C$5:$C$2004)</f>
      </c>
      <c r="D722" s="6" t="str">
        <f>ABS(C722-B722)</f>
      </c>
    </row>
    <row r="723">
      <c r="A723" s="5">
        <v>699</v>
      </c>
      <c r="B723" s="5" t="str">
        <f>SMALL('Lineal Mixto'!$C$5:$C$2004,A723)</f>
      </c>
      <c r="C723" s="5" t="str">
        <f>A723/COUNT('Lineal Mixto'!$C$5:$C$2004)</f>
      </c>
      <c r="D723" s="5" t="str">
        <f>ABS(C723-B723)</f>
      </c>
    </row>
    <row r="724">
      <c r="A724" s="6">
        <v>700</v>
      </c>
      <c r="B724" s="6" t="str">
        <f>SMALL('Lineal Mixto'!$C$5:$C$2004,A724)</f>
      </c>
      <c r="C724" s="6" t="str">
        <f>A724/COUNT('Lineal Mixto'!$C$5:$C$2004)</f>
      </c>
      <c r="D724" s="6" t="str">
        <f>ABS(C724-B724)</f>
      </c>
    </row>
    <row r="725">
      <c r="A725" s="5">
        <v>701</v>
      </c>
      <c r="B725" s="5" t="str">
        <f>SMALL('Lineal Mixto'!$C$5:$C$2004,A725)</f>
      </c>
      <c r="C725" s="5" t="str">
        <f>A725/COUNT('Lineal Mixto'!$C$5:$C$2004)</f>
      </c>
      <c r="D725" s="5" t="str">
        <f>ABS(C725-B725)</f>
      </c>
    </row>
    <row r="726">
      <c r="A726" s="6">
        <v>702</v>
      </c>
      <c r="B726" s="6" t="str">
        <f>SMALL('Lineal Mixto'!$C$5:$C$2004,A726)</f>
      </c>
      <c r="C726" s="6" t="str">
        <f>A726/COUNT('Lineal Mixto'!$C$5:$C$2004)</f>
      </c>
      <c r="D726" s="6" t="str">
        <f>ABS(C726-B726)</f>
      </c>
    </row>
    <row r="727">
      <c r="A727" s="5">
        <v>703</v>
      </c>
      <c r="B727" s="5" t="str">
        <f>SMALL('Lineal Mixto'!$C$5:$C$2004,A727)</f>
      </c>
      <c r="C727" s="5" t="str">
        <f>A727/COUNT('Lineal Mixto'!$C$5:$C$2004)</f>
      </c>
      <c r="D727" s="5" t="str">
        <f>ABS(C727-B727)</f>
      </c>
    </row>
    <row r="728">
      <c r="A728" s="6">
        <v>704</v>
      </c>
      <c r="B728" s="6" t="str">
        <f>SMALL('Lineal Mixto'!$C$5:$C$2004,A728)</f>
      </c>
      <c r="C728" s="6" t="str">
        <f>A728/COUNT('Lineal Mixto'!$C$5:$C$2004)</f>
      </c>
      <c r="D728" s="6" t="str">
        <f>ABS(C728-B728)</f>
      </c>
    </row>
    <row r="729">
      <c r="A729" s="5">
        <v>705</v>
      </c>
      <c r="B729" s="5" t="str">
        <f>SMALL('Lineal Mixto'!$C$5:$C$2004,A729)</f>
      </c>
      <c r="C729" s="5" t="str">
        <f>A729/COUNT('Lineal Mixto'!$C$5:$C$2004)</f>
      </c>
      <c r="D729" s="5" t="str">
        <f>ABS(C729-B729)</f>
      </c>
    </row>
    <row r="730">
      <c r="A730" s="6">
        <v>706</v>
      </c>
      <c r="B730" s="6" t="str">
        <f>SMALL('Lineal Mixto'!$C$5:$C$2004,A730)</f>
      </c>
      <c r="C730" s="6" t="str">
        <f>A730/COUNT('Lineal Mixto'!$C$5:$C$2004)</f>
      </c>
      <c r="D730" s="6" t="str">
        <f>ABS(C730-B730)</f>
      </c>
    </row>
    <row r="731">
      <c r="A731" s="5">
        <v>707</v>
      </c>
      <c r="B731" s="5" t="str">
        <f>SMALL('Lineal Mixto'!$C$5:$C$2004,A731)</f>
      </c>
      <c r="C731" s="5" t="str">
        <f>A731/COUNT('Lineal Mixto'!$C$5:$C$2004)</f>
      </c>
      <c r="D731" s="5" t="str">
        <f>ABS(C731-B731)</f>
      </c>
    </row>
    <row r="732">
      <c r="A732" s="6">
        <v>708</v>
      </c>
      <c r="B732" s="6" t="str">
        <f>SMALL('Lineal Mixto'!$C$5:$C$2004,A732)</f>
      </c>
      <c r="C732" s="6" t="str">
        <f>A732/COUNT('Lineal Mixto'!$C$5:$C$2004)</f>
      </c>
      <c r="D732" s="6" t="str">
        <f>ABS(C732-B732)</f>
      </c>
    </row>
    <row r="733">
      <c r="A733" s="5">
        <v>709</v>
      </c>
      <c r="B733" s="5" t="str">
        <f>SMALL('Lineal Mixto'!$C$5:$C$2004,A733)</f>
      </c>
      <c r="C733" s="5" t="str">
        <f>A733/COUNT('Lineal Mixto'!$C$5:$C$2004)</f>
      </c>
      <c r="D733" s="5" t="str">
        <f>ABS(C733-B733)</f>
      </c>
    </row>
    <row r="734">
      <c r="A734" s="6">
        <v>710</v>
      </c>
      <c r="B734" s="6" t="str">
        <f>SMALL('Lineal Mixto'!$C$5:$C$2004,A734)</f>
      </c>
      <c r="C734" s="6" t="str">
        <f>A734/COUNT('Lineal Mixto'!$C$5:$C$2004)</f>
      </c>
      <c r="D734" s="6" t="str">
        <f>ABS(C734-B734)</f>
      </c>
    </row>
    <row r="735">
      <c r="A735" s="5">
        <v>711</v>
      </c>
      <c r="B735" s="5" t="str">
        <f>SMALL('Lineal Mixto'!$C$5:$C$2004,A735)</f>
      </c>
      <c r="C735" s="5" t="str">
        <f>A735/COUNT('Lineal Mixto'!$C$5:$C$2004)</f>
      </c>
      <c r="D735" s="5" t="str">
        <f>ABS(C735-B735)</f>
      </c>
    </row>
    <row r="736">
      <c r="A736" s="6">
        <v>712</v>
      </c>
      <c r="B736" s="6" t="str">
        <f>SMALL('Lineal Mixto'!$C$5:$C$2004,A736)</f>
      </c>
      <c r="C736" s="6" t="str">
        <f>A736/COUNT('Lineal Mixto'!$C$5:$C$2004)</f>
      </c>
      <c r="D736" s="6" t="str">
        <f>ABS(C736-B736)</f>
      </c>
    </row>
    <row r="737">
      <c r="A737" s="5">
        <v>713</v>
      </c>
      <c r="B737" s="5" t="str">
        <f>SMALL('Lineal Mixto'!$C$5:$C$2004,A737)</f>
      </c>
      <c r="C737" s="5" t="str">
        <f>A737/COUNT('Lineal Mixto'!$C$5:$C$2004)</f>
      </c>
      <c r="D737" s="5" t="str">
        <f>ABS(C737-B737)</f>
      </c>
    </row>
    <row r="738">
      <c r="A738" s="6">
        <v>714</v>
      </c>
      <c r="B738" s="6" t="str">
        <f>SMALL('Lineal Mixto'!$C$5:$C$2004,A738)</f>
      </c>
      <c r="C738" s="6" t="str">
        <f>A738/COUNT('Lineal Mixto'!$C$5:$C$2004)</f>
      </c>
      <c r="D738" s="6" t="str">
        <f>ABS(C738-B738)</f>
      </c>
    </row>
    <row r="739">
      <c r="A739" s="5">
        <v>715</v>
      </c>
      <c r="B739" s="5" t="str">
        <f>SMALL('Lineal Mixto'!$C$5:$C$2004,A739)</f>
      </c>
      <c r="C739" s="5" t="str">
        <f>A739/COUNT('Lineal Mixto'!$C$5:$C$2004)</f>
      </c>
      <c r="D739" s="5" t="str">
        <f>ABS(C739-B739)</f>
      </c>
    </row>
    <row r="740">
      <c r="A740" s="6">
        <v>716</v>
      </c>
      <c r="B740" s="6" t="str">
        <f>SMALL('Lineal Mixto'!$C$5:$C$2004,A740)</f>
      </c>
      <c r="C740" s="6" t="str">
        <f>A740/COUNT('Lineal Mixto'!$C$5:$C$2004)</f>
      </c>
      <c r="D740" s="6" t="str">
        <f>ABS(C740-B740)</f>
      </c>
    </row>
    <row r="741">
      <c r="A741" s="5">
        <v>717</v>
      </c>
      <c r="B741" s="5" t="str">
        <f>SMALL('Lineal Mixto'!$C$5:$C$2004,A741)</f>
      </c>
      <c r="C741" s="5" t="str">
        <f>A741/COUNT('Lineal Mixto'!$C$5:$C$2004)</f>
      </c>
      <c r="D741" s="5" t="str">
        <f>ABS(C741-B741)</f>
      </c>
    </row>
    <row r="742">
      <c r="A742" s="6">
        <v>718</v>
      </c>
      <c r="B742" s="6" t="str">
        <f>SMALL('Lineal Mixto'!$C$5:$C$2004,A742)</f>
      </c>
      <c r="C742" s="6" t="str">
        <f>A742/COUNT('Lineal Mixto'!$C$5:$C$2004)</f>
      </c>
      <c r="D742" s="6" t="str">
        <f>ABS(C742-B742)</f>
      </c>
    </row>
    <row r="743">
      <c r="A743" s="5">
        <v>719</v>
      </c>
      <c r="B743" s="5" t="str">
        <f>SMALL('Lineal Mixto'!$C$5:$C$2004,A743)</f>
      </c>
      <c r="C743" s="5" t="str">
        <f>A743/COUNT('Lineal Mixto'!$C$5:$C$2004)</f>
      </c>
      <c r="D743" s="5" t="str">
        <f>ABS(C743-B743)</f>
      </c>
    </row>
    <row r="744">
      <c r="A744" s="6">
        <v>720</v>
      </c>
      <c r="B744" s="6" t="str">
        <f>SMALL('Lineal Mixto'!$C$5:$C$2004,A744)</f>
      </c>
      <c r="C744" s="6" t="str">
        <f>A744/COUNT('Lineal Mixto'!$C$5:$C$2004)</f>
      </c>
      <c r="D744" s="6" t="str">
        <f>ABS(C744-B744)</f>
      </c>
    </row>
    <row r="745">
      <c r="A745" s="5">
        <v>721</v>
      </c>
      <c r="B745" s="5" t="str">
        <f>SMALL('Lineal Mixto'!$C$5:$C$2004,A745)</f>
      </c>
      <c r="C745" s="5" t="str">
        <f>A745/COUNT('Lineal Mixto'!$C$5:$C$2004)</f>
      </c>
      <c r="D745" s="5" t="str">
        <f>ABS(C745-B745)</f>
      </c>
    </row>
    <row r="746">
      <c r="A746" s="6">
        <v>722</v>
      </c>
      <c r="B746" s="6" t="str">
        <f>SMALL('Lineal Mixto'!$C$5:$C$2004,A746)</f>
      </c>
      <c r="C746" s="6" t="str">
        <f>A746/COUNT('Lineal Mixto'!$C$5:$C$2004)</f>
      </c>
      <c r="D746" s="6" t="str">
        <f>ABS(C746-B746)</f>
      </c>
    </row>
    <row r="747">
      <c r="A747" s="5">
        <v>723</v>
      </c>
      <c r="B747" s="5" t="str">
        <f>SMALL('Lineal Mixto'!$C$5:$C$2004,A747)</f>
      </c>
      <c r="C747" s="5" t="str">
        <f>A747/COUNT('Lineal Mixto'!$C$5:$C$2004)</f>
      </c>
      <c r="D747" s="5" t="str">
        <f>ABS(C747-B747)</f>
      </c>
    </row>
    <row r="748">
      <c r="A748" s="6">
        <v>724</v>
      </c>
      <c r="B748" s="6" t="str">
        <f>SMALL('Lineal Mixto'!$C$5:$C$2004,A748)</f>
      </c>
      <c r="C748" s="6" t="str">
        <f>A748/COUNT('Lineal Mixto'!$C$5:$C$2004)</f>
      </c>
      <c r="D748" s="6" t="str">
        <f>ABS(C748-B748)</f>
      </c>
    </row>
    <row r="749">
      <c r="A749" s="5">
        <v>725</v>
      </c>
      <c r="B749" s="5" t="str">
        <f>SMALL('Lineal Mixto'!$C$5:$C$2004,A749)</f>
      </c>
      <c r="C749" s="5" t="str">
        <f>A749/COUNT('Lineal Mixto'!$C$5:$C$2004)</f>
      </c>
      <c r="D749" s="5" t="str">
        <f>ABS(C749-B749)</f>
      </c>
    </row>
    <row r="750">
      <c r="A750" s="6">
        <v>726</v>
      </c>
      <c r="B750" s="6" t="str">
        <f>SMALL('Lineal Mixto'!$C$5:$C$2004,A750)</f>
      </c>
      <c r="C750" s="6" t="str">
        <f>A750/COUNT('Lineal Mixto'!$C$5:$C$2004)</f>
      </c>
      <c r="D750" s="6" t="str">
        <f>ABS(C750-B750)</f>
      </c>
    </row>
    <row r="751">
      <c r="A751" s="5">
        <v>727</v>
      </c>
      <c r="B751" s="5" t="str">
        <f>SMALL('Lineal Mixto'!$C$5:$C$2004,A751)</f>
      </c>
      <c r="C751" s="5" t="str">
        <f>A751/COUNT('Lineal Mixto'!$C$5:$C$2004)</f>
      </c>
      <c r="D751" s="5" t="str">
        <f>ABS(C751-B751)</f>
      </c>
    </row>
    <row r="752">
      <c r="A752" s="6">
        <v>728</v>
      </c>
      <c r="B752" s="6" t="str">
        <f>SMALL('Lineal Mixto'!$C$5:$C$2004,A752)</f>
      </c>
      <c r="C752" s="6" t="str">
        <f>A752/COUNT('Lineal Mixto'!$C$5:$C$2004)</f>
      </c>
      <c r="D752" s="6" t="str">
        <f>ABS(C752-B752)</f>
      </c>
    </row>
    <row r="753">
      <c r="A753" s="5">
        <v>729</v>
      </c>
      <c r="B753" s="5" t="str">
        <f>SMALL('Lineal Mixto'!$C$5:$C$2004,A753)</f>
      </c>
      <c r="C753" s="5" t="str">
        <f>A753/COUNT('Lineal Mixto'!$C$5:$C$2004)</f>
      </c>
      <c r="D753" s="5" t="str">
        <f>ABS(C753-B753)</f>
      </c>
    </row>
    <row r="754">
      <c r="A754" s="6">
        <v>730</v>
      </c>
      <c r="B754" s="6" t="str">
        <f>SMALL('Lineal Mixto'!$C$5:$C$2004,A754)</f>
      </c>
      <c r="C754" s="6" t="str">
        <f>A754/COUNT('Lineal Mixto'!$C$5:$C$2004)</f>
      </c>
      <c r="D754" s="6" t="str">
        <f>ABS(C754-B754)</f>
      </c>
    </row>
    <row r="755">
      <c r="A755" s="5">
        <v>731</v>
      </c>
      <c r="B755" s="5" t="str">
        <f>SMALL('Lineal Mixto'!$C$5:$C$2004,A755)</f>
      </c>
      <c r="C755" s="5" t="str">
        <f>A755/COUNT('Lineal Mixto'!$C$5:$C$2004)</f>
      </c>
      <c r="D755" s="5" t="str">
        <f>ABS(C755-B755)</f>
      </c>
    </row>
    <row r="756">
      <c r="A756" s="6">
        <v>732</v>
      </c>
      <c r="B756" s="6" t="str">
        <f>SMALL('Lineal Mixto'!$C$5:$C$2004,A756)</f>
      </c>
      <c r="C756" s="6" t="str">
        <f>A756/COUNT('Lineal Mixto'!$C$5:$C$2004)</f>
      </c>
      <c r="D756" s="6" t="str">
        <f>ABS(C756-B756)</f>
      </c>
    </row>
    <row r="757">
      <c r="A757" s="5">
        <v>733</v>
      </c>
      <c r="B757" s="5" t="str">
        <f>SMALL('Lineal Mixto'!$C$5:$C$2004,A757)</f>
      </c>
      <c r="C757" s="5" t="str">
        <f>A757/COUNT('Lineal Mixto'!$C$5:$C$2004)</f>
      </c>
      <c r="D757" s="5" t="str">
        <f>ABS(C757-B757)</f>
      </c>
    </row>
    <row r="758">
      <c r="A758" s="6">
        <v>734</v>
      </c>
      <c r="B758" s="6" t="str">
        <f>SMALL('Lineal Mixto'!$C$5:$C$2004,A758)</f>
      </c>
      <c r="C758" s="6" t="str">
        <f>A758/COUNT('Lineal Mixto'!$C$5:$C$2004)</f>
      </c>
      <c r="D758" s="6" t="str">
        <f>ABS(C758-B758)</f>
      </c>
    </row>
    <row r="759">
      <c r="A759" s="5">
        <v>735</v>
      </c>
      <c r="B759" s="5" t="str">
        <f>SMALL('Lineal Mixto'!$C$5:$C$2004,A759)</f>
      </c>
      <c r="C759" s="5" t="str">
        <f>A759/COUNT('Lineal Mixto'!$C$5:$C$2004)</f>
      </c>
      <c r="D759" s="5" t="str">
        <f>ABS(C759-B759)</f>
      </c>
    </row>
    <row r="760">
      <c r="A760" s="6">
        <v>736</v>
      </c>
      <c r="B760" s="6" t="str">
        <f>SMALL('Lineal Mixto'!$C$5:$C$2004,A760)</f>
      </c>
      <c r="C760" s="6" t="str">
        <f>A760/COUNT('Lineal Mixto'!$C$5:$C$2004)</f>
      </c>
      <c r="D760" s="6" t="str">
        <f>ABS(C760-B760)</f>
      </c>
    </row>
    <row r="761">
      <c r="A761" s="5">
        <v>737</v>
      </c>
      <c r="B761" s="5" t="str">
        <f>SMALL('Lineal Mixto'!$C$5:$C$2004,A761)</f>
      </c>
      <c r="C761" s="5" t="str">
        <f>A761/COUNT('Lineal Mixto'!$C$5:$C$2004)</f>
      </c>
      <c r="D761" s="5" t="str">
        <f>ABS(C761-B761)</f>
      </c>
    </row>
    <row r="762">
      <c r="A762" s="6">
        <v>738</v>
      </c>
      <c r="B762" s="6" t="str">
        <f>SMALL('Lineal Mixto'!$C$5:$C$2004,A762)</f>
      </c>
      <c r="C762" s="6" t="str">
        <f>A762/COUNT('Lineal Mixto'!$C$5:$C$2004)</f>
      </c>
      <c r="D762" s="6" t="str">
        <f>ABS(C762-B762)</f>
      </c>
    </row>
    <row r="763">
      <c r="A763" s="5">
        <v>739</v>
      </c>
      <c r="B763" s="5" t="str">
        <f>SMALL('Lineal Mixto'!$C$5:$C$2004,A763)</f>
      </c>
      <c r="C763" s="5" t="str">
        <f>A763/COUNT('Lineal Mixto'!$C$5:$C$2004)</f>
      </c>
      <c r="D763" s="5" t="str">
        <f>ABS(C763-B763)</f>
      </c>
    </row>
    <row r="764">
      <c r="A764" s="6">
        <v>740</v>
      </c>
      <c r="B764" s="6" t="str">
        <f>SMALL('Lineal Mixto'!$C$5:$C$2004,A764)</f>
      </c>
      <c r="C764" s="6" t="str">
        <f>A764/COUNT('Lineal Mixto'!$C$5:$C$2004)</f>
      </c>
      <c r="D764" s="6" t="str">
        <f>ABS(C764-B764)</f>
      </c>
    </row>
    <row r="765">
      <c r="A765" s="5">
        <v>741</v>
      </c>
      <c r="B765" s="5" t="str">
        <f>SMALL('Lineal Mixto'!$C$5:$C$2004,A765)</f>
      </c>
      <c r="C765" s="5" t="str">
        <f>A765/COUNT('Lineal Mixto'!$C$5:$C$2004)</f>
      </c>
      <c r="D765" s="5" t="str">
        <f>ABS(C765-B765)</f>
      </c>
    </row>
    <row r="766">
      <c r="A766" s="6">
        <v>742</v>
      </c>
      <c r="B766" s="6" t="str">
        <f>SMALL('Lineal Mixto'!$C$5:$C$2004,A766)</f>
      </c>
      <c r="C766" s="6" t="str">
        <f>A766/COUNT('Lineal Mixto'!$C$5:$C$2004)</f>
      </c>
      <c r="D766" s="6" t="str">
        <f>ABS(C766-B766)</f>
      </c>
    </row>
    <row r="767">
      <c r="A767" s="5">
        <v>743</v>
      </c>
      <c r="B767" s="5" t="str">
        <f>SMALL('Lineal Mixto'!$C$5:$C$2004,A767)</f>
      </c>
      <c r="C767" s="5" t="str">
        <f>A767/COUNT('Lineal Mixto'!$C$5:$C$2004)</f>
      </c>
      <c r="D767" s="5" t="str">
        <f>ABS(C767-B767)</f>
      </c>
    </row>
    <row r="768">
      <c r="A768" s="6">
        <v>744</v>
      </c>
      <c r="B768" s="6" t="str">
        <f>SMALL('Lineal Mixto'!$C$5:$C$2004,A768)</f>
      </c>
      <c r="C768" s="6" t="str">
        <f>A768/COUNT('Lineal Mixto'!$C$5:$C$2004)</f>
      </c>
      <c r="D768" s="6" t="str">
        <f>ABS(C768-B768)</f>
      </c>
    </row>
    <row r="769">
      <c r="A769" s="5">
        <v>745</v>
      </c>
      <c r="B769" s="5" t="str">
        <f>SMALL('Lineal Mixto'!$C$5:$C$2004,A769)</f>
      </c>
      <c r="C769" s="5" t="str">
        <f>A769/COUNT('Lineal Mixto'!$C$5:$C$2004)</f>
      </c>
      <c r="D769" s="5" t="str">
        <f>ABS(C769-B769)</f>
      </c>
    </row>
    <row r="770">
      <c r="A770" s="6">
        <v>746</v>
      </c>
      <c r="B770" s="6" t="str">
        <f>SMALL('Lineal Mixto'!$C$5:$C$2004,A770)</f>
      </c>
      <c r="C770" s="6" t="str">
        <f>A770/COUNT('Lineal Mixto'!$C$5:$C$2004)</f>
      </c>
      <c r="D770" s="6" t="str">
        <f>ABS(C770-B770)</f>
      </c>
    </row>
    <row r="771">
      <c r="A771" s="5">
        <v>747</v>
      </c>
      <c r="B771" s="5" t="str">
        <f>SMALL('Lineal Mixto'!$C$5:$C$2004,A771)</f>
      </c>
      <c r="C771" s="5" t="str">
        <f>A771/COUNT('Lineal Mixto'!$C$5:$C$2004)</f>
      </c>
      <c r="D771" s="5" t="str">
        <f>ABS(C771-B771)</f>
      </c>
    </row>
    <row r="772">
      <c r="A772" s="6">
        <v>748</v>
      </c>
      <c r="B772" s="6" t="str">
        <f>SMALL('Lineal Mixto'!$C$5:$C$2004,A772)</f>
      </c>
      <c r="C772" s="6" t="str">
        <f>A772/COUNT('Lineal Mixto'!$C$5:$C$2004)</f>
      </c>
      <c r="D772" s="6" t="str">
        <f>ABS(C772-B772)</f>
      </c>
    </row>
    <row r="773">
      <c r="A773" s="5">
        <v>749</v>
      </c>
      <c r="B773" s="5" t="str">
        <f>SMALL('Lineal Mixto'!$C$5:$C$2004,A773)</f>
      </c>
      <c r="C773" s="5" t="str">
        <f>A773/COUNT('Lineal Mixto'!$C$5:$C$2004)</f>
      </c>
      <c r="D773" s="5" t="str">
        <f>ABS(C773-B773)</f>
      </c>
    </row>
    <row r="774">
      <c r="A774" s="6">
        <v>750</v>
      </c>
      <c r="B774" s="6" t="str">
        <f>SMALL('Lineal Mixto'!$C$5:$C$2004,A774)</f>
      </c>
      <c r="C774" s="6" t="str">
        <f>A774/COUNT('Lineal Mixto'!$C$5:$C$2004)</f>
      </c>
      <c r="D774" s="6" t="str">
        <f>ABS(C774-B774)</f>
      </c>
    </row>
    <row r="775">
      <c r="A775" s="5">
        <v>751</v>
      </c>
      <c r="B775" s="5" t="str">
        <f>SMALL('Lineal Mixto'!$C$5:$C$2004,A775)</f>
      </c>
      <c r="C775" s="5" t="str">
        <f>A775/COUNT('Lineal Mixto'!$C$5:$C$2004)</f>
      </c>
      <c r="D775" s="5" t="str">
        <f>ABS(C775-B775)</f>
      </c>
    </row>
    <row r="776">
      <c r="A776" s="6">
        <v>752</v>
      </c>
      <c r="B776" s="6" t="str">
        <f>SMALL('Lineal Mixto'!$C$5:$C$2004,A776)</f>
      </c>
      <c r="C776" s="6" t="str">
        <f>A776/COUNT('Lineal Mixto'!$C$5:$C$2004)</f>
      </c>
      <c r="D776" s="6" t="str">
        <f>ABS(C776-B776)</f>
      </c>
    </row>
    <row r="777">
      <c r="A777" s="5">
        <v>753</v>
      </c>
      <c r="B777" s="5" t="str">
        <f>SMALL('Lineal Mixto'!$C$5:$C$2004,A777)</f>
      </c>
      <c r="C777" s="5" t="str">
        <f>A777/COUNT('Lineal Mixto'!$C$5:$C$2004)</f>
      </c>
      <c r="D777" s="5" t="str">
        <f>ABS(C777-B777)</f>
      </c>
    </row>
    <row r="778">
      <c r="A778" s="6">
        <v>754</v>
      </c>
      <c r="B778" s="6" t="str">
        <f>SMALL('Lineal Mixto'!$C$5:$C$2004,A778)</f>
      </c>
      <c r="C778" s="6" t="str">
        <f>A778/COUNT('Lineal Mixto'!$C$5:$C$2004)</f>
      </c>
      <c r="D778" s="6" t="str">
        <f>ABS(C778-B778)</f>
      </c>
    </row>
    <row r="779">
      <c r="A779" s="5">
        <v>755</v>
      </c>
      <c r="B779" s="5" t="str">
        <f>SMALL('Lineal Mixto'!$C$5:$C$2004,A779)</f>
      </c>
      <c r="C779" s="5" t="str">
        <f>A779/COUNT('Lineal Mixto'!$C$5:$C$2004)</f>
      </c>
      <c r="D779" s="5" t="str">
        <f>ABS(C779-B779)</f>
      </c>
    </row>
    <row r="780">
      <c r="A780" s="6">
        <v>756</v>
      </c>
      <c r="B780" s="6" t="str">
        <f>SMALL('Lineal Mixto'!$C$5:$C$2004,A780)</f>
      </c>
      <c r="C780" s="6" t="str">
        <f>A780/COUNT('Lineal Mixto'!$C$5:$C$2004)</f>
      </c>
      <c r="D780" s="6" t="str">
        <f>ABS(C780-B780)</f>
      </c>
    </row>
    <row r="781">
      <c r="A781" s="5">
        <v>757</v>
      </c>
      <c r="B781" s="5" t="str">
        <f>SMALL('Lineal Mixto'!$C$5:$C$2004,A781)</f>
      </c>
      <c r="C781" s="5" t="str">
        <f>A781/COUNT('Lineal Mixto'!$C$5:$C$2004)</f>
      </c>
      <c r="D781" s="5" t="str">
        <f>ABS(C781-B781)</f>
      </c>
    </row>
    <row r="782">
      <c r="A782" s="6">
        <v>758</v>
      </c>
      <c r="B782" s="6" t="str">
        <f>SMALL('Lineal Mixto'!$C$5:$C$2004,A782)</f>
      </c>
      <c r="C782" s="6" t="str">
        <f>A782/COUNT('Lineal Mixto'!$C$5:$C$2004)</f>
      </c>
      <c r="D782" s="6" t="str">
        <f>ABS(C782-B782)</f>
      </c>
    </row>
    <row r="783">
      <c r="A783" s="5">
        <v>759</v>
      </c>
      <c r="B783" s="5" t="str">
        <f>SMALL('Lineal Mixto'!$C$5:$C$2004,A783)</f>
      </c>
      <c r="C783" s="5" t="str">
        <f>A783/COUNT('Lineal Mixto'!$C$5:$C$2004)</f>
      </c>
      <c r="D783" s="5" t="str">
        <f>ABS(C783-B783)</f>
      </c>
    </row>
    <row r="784">
      <c r="A784" s="6">
        <v>760</v>
      </c>
      <c r="B784" s="6" t="str">
        <f>SMALL('Lineal Mixto'!$C$5:$C$2004,A784)</f>
      </c>
      <c r="C784" s="6" t="str">
        <f>A784/COUNT('Lineal Mixto'!$C$5:$C$2004)</f>
      </c>
      <c r="D784" s="6" t="str">
        <f>ABS(C784-B784)</f>
      </c>
    </row>
    <row r="785">
      <c r="A785" s="5">
        <v>761</v>
      </c>
      <c r="B785" s="5" t="str">
        <f>SMALL('Lineal Mixto'!$C$5:$C$2004,A785)</f>
      </c>
      <c r="C785" s="5" t="str">
        <f>A785/COUNT('Lineal Mixto'!$C$5:$C$2004)</f>
      </c>
      <c r="D785" s="5" t="str">
        <f>ABS(C785-B785)</f>
      </c>
    </row>
    <row r="786">
      <c r="A786" s="6">
        <v>762</v>
      </c>
      <c r="B786" s="6" t="str">
        <f>SMALL('Lineal Mixto'!$C$5:$C$2004,A786)</f>
      </c>
      <c r="C786" s="6" t="str">
        <f>A786/COUNT('Lineal Mixto'!$C$5:$C$2004)</f>
      </c>
      <c r="D786" s="6" t="str">
        <f>ABS(C786-B786)</f>
      </c>
    </row>
    <row r="787">
      <c r="A787" s="5">
        <v>763</v>
      </c>
      <c r="B787" s="5" t="str">
        <f>SMALL('Lineal Mixto'!$C$5:$C$2004,A787)</f>
      </c>
      <c r="C787" s="5" t="str">
        <f>A787/COUNT('Lineal Mixto'!$C$5:$C$2004)</f>
      </c>
      <c r="D787" s="5" t="str">
        <f>ABS(C787-B787)</f>
      </c>
    </row>
    <row r="788">
      <c r="A788" s="6">
        <v>764</v>
      </c>
      <c r="B788" s="6" t="str">
        <f>SMALL('Lineal Mixto'!$C$5:$C$2004,A788)</f>
      </c>
      <c r="C788" s="6" t="str">
        <f>A788/COUNT('Lineal Mixto'!$C$5:$C$2004)</f>
      </c>
      <c r="D788" s="6" t="str">
        <f>ABS(C788-B788)</f>
      </c>
    </row>
    <row r="789">
      <c r="A789" s="5">
        <v>765</v>
      </c>
      <c r="B789" s="5" t="str">
        <f>SMALL('Lineal Mixto'!$C$5:$C$2004,A789)</f>
      </c>
      <c r="C789" s="5" t="str">
        <f>A789/COUNT('Lineal Mixto'!$C$5:$C$2004)</f>
      </c>
      <c r="D789" s="5" t="str">
        <f>ABS(C789-B789)</f>
      </c>
    </row>
    <row r="790">
      <c r="A790" s="6">
        <v>766</v>
      </c>
      <c r="B790" s="6" t="str">
        <f>SMALL('Lineal Mixto'!$C$5:$C$2004,A790)</f>
      </c>
      <c r="C790" s="6" t="str">
        <f>A790/COUNT('Lineal Mixto'!$C$5:$C$2004)</f>
      </c>
      <c r="D790" s="6" t="str">
        <f>ABS(C790-B790)</f>
      </c>
    </row>
    <row r="791">
      <c r="A791" s="5">
        <v>767</v>
      </c>
      <c r="B791" s="5" t="str">
        <f>SMALL('Lineal Mixto'!$C$5:$C$2004,A791)</f>
      </c>
      <c r="C791" s="5" t="str">
        <f>A791/COUNT('Lineal Mixto'!$C$5:$C$2004)</f>
      </c>
      <c r="D791" s="5" t="str">
        <f>ABS(C791-B791)</f>
      </c>
    </row>
    <row r="792">
      <c r="A792" s="6">
        <v>768</v>
      </c>
      <c r="B792" s="6" t="str">
        <f>SMALL('Lineal Mixto'!$C$5:$C$2004,A792)</f>
      </c>
      <c r="C792" s="6" t="str">
        <f>A792/COUNT('Lineal Mixto'!$C$5:$C$2004)</f>
      </c>
      <c r="D792" s="6" t="str">
        <f>ABS(C792-B792)</f>
      </c>
    </row>
    <row r="793">
      <c r="A793" s="5">
        <v>769</v>
      </c>
      <c r="B793" s="5" t="str">
        <f>SMALL('Lineal Mixto'!$C$5:$C$2004,A793)</f>
      </c>
      <c r="C793" s="5" t="str">
        <f>A793/COUNT('Lineal Mixto'!$C$5:$C$2004)</f>
      </c>
      <c r="D793" s="5" t="str">
        <f>ABS(C793-B793)</f>
      </c>
    </row>
    <row r="794">
      <c r="A794" s="6">
        <v>770</v>
      </c>
      <c r="B794" s="6" t="str">
        <f>SMALL('Lineal Mixto'!$C$5:$C$2004,A794)</f>
      </c>
      <c r="C794" s="6" t="str">
        <f>A794/COUNT('Lineal Mixto'!$C$5:$C$2004)</f>
      </c>
      <c r="D794" s="6" t="str">
        <f>ABS(C794-B794)</f>
      </c>
    </row>
    <row r="795">
      <c r="A795" s="5">
        <v>771</v>
      </c>
      <c r="B795" s="5" t="str">
        <f>SMALL('Lineal Mixto'!$C$5:$C$2004,A795)</f>
      </c>
      <c r="C795" s="5" t="str">
        <f>A795/COUNT('Lineal Mixto'!$C$5:$C$2004)</f>
      </c>
      <c r="D795" s="5" t="str">
        <f>ABS(C795-B795)</f>
      </c>
    </row>
    <row r="796">
      <c r="A796" s="6">
        <v>772</v>
      </c>
      <c r="B796" s="6" t="str">
        <f>SMALL('Lineal Mixto'!$C$5:$C$2004,A796)</f>
      </c>
      <c r="C796" s="6" t="str">
        <f>A796/COUNT('Lineal Mixto'!$C$5:$C$2004)</f>
      </c>
      <c r="D796" s="6" t="str">
        <f>ABS(C796-B796)</f>
      </c>
    </row>
    <row r="797">
      <c r="A797" s="5">
        <v>773</v>
      </c>
      <c r="B797" s="5" t="str">
        <f>SMALL('Lineal Mixto'!$C$5:$C$2004,A797)</f>
      </c>
      <c r="C797" s="5" t="str">
        <f>A797/COUNT('Lineal Mixto'!$C$5:$C$2004)</f>
      </c>
      <c r="D797" s="5" t="str">
        <f>ABS(C797-B797)</f>
      </c>
    </row>
    <row r="798">
      <c r="A798" s="6">
        <v>774</v>
      </c>
      <c r="B798" s="6" t="str">
        <f>SMALL('Lineal Mixto'!$C$5:$C$2004,A798)</f>
      </c>
      <c r="C798" s="6" t="str">
        <f>A798/COUNT('Lineal Mixto'!$C$5:$C$2004)</f>
      </c>
      <c r="D798" s="6" t="str">
        <f>ABS(C798-B798)</f>
      </c>
    </row>
    <row r="799">
      <c r="A799" s="5">
        <v>775</v>
      </c>
      <c r="B799" s="5" t="str">
        <f>SMALL('Lineal Mixto'!$C$5:$C$2004,A799)</f>
      </c>
      <c r="C799" s="5" t="str">
        <f>A799/COUNT('Lineal Mixto'!$C$5:$C$2004)</f>
      </c>
      <c r="D799" s="5" t="str">
        <f>ABS(C799-B799)</f>
      </c>
    </row>
    <row r="800">
      <c r="A800" s="6">
        <v>776</v>
      </c>
      <c r="B800" s="6" t="str">
        <f>SMALL('Lineal Mixto'!$C$5:$C$2004,A800)</f>
      </c>
      <c r="C800" s="6" t="str">
        <f>A800/COUNT('Lineal Mixto'!$C$5:$C$2004)</f>
      </c>
      <c r="D800" s="6" t="str">
        <f>ABS(C800-B800)</f>
      </c>
    </row>
    <row r="801">
      <c r="A801" s="5">
        <v>777</v>
      </c>
      <c r="B801" s="5" t="str">
        <f>SMALL('Lineal Mixto'!$C$5:$C$2004,A801)</f>
      </c>
      <c r="C801" s="5" t="str">
        <f>A801/COUNT('Lineal Mixto'!$C$5:$C$2004)</f>
      </c>
      <c r="D801" s="5" t="str">
        <f>ABS(C801-B801)</f>
      </c>
    </row>
    <row r="802">
      <c r="A802" s="6">
        <v>778</v>
      </c>
      <c r="B802" s="6" t="str">
        <f>SMALL('Lineal Mixto'!$C$5:$C$2004,A802)</f>
      </c>
      <c r="C802" s="6" t="str">
        <f>A802/COUNT('Lineal Mixto'!$C$5:$C$2004)</f>
      </c>
      <c r="D802" s="6" t="str">
        <f>ABS(C802-B802)</f>
      </c>
    </row>
    <row r="803">
      <c r="A803" s="5">
        <v>779</v>
      </c>
      <c r="B803" s="5" t="str">
        <f>SMALL('Lineal Mixto'!$C$5:$C$2004,A803)</f>
      </c>
      <c r="C803" s="5" t="str">
        <f>A803/COUNT('Lineal Mixto'!$C$5:$C$2004)</f>
      </c>
      <c r="D803" s="5" t="str">
        <f>ABS(C803-B803)</f>
      </c>
    </row>
    <row r="804">
      <c r="A804" s="6">
        <v>780</v>
      </c>
      <c r="B804" s="6" t="str">
        <f>SMALL('Lineal Mixto'!$C$5:$C$2004,A804)</f>
      </c>
      <c r="C804" s="6" t="str">
        <f>A804/COUNT('Lineal Mixto'!$C$5:$C$2004)</f>
      </c>
      <c r="D804" s="6" t="str">
        <f>ABS(C804-B804)</f>
      </c>
    </row>
    <row r="805">
      <c r="A805" s="5">
        <v>781</v>
      </c>
      <c r="B805" s="5" t="str">
        <f>SMALL('Lineal Mixto'!$C$5:$C$2004,A805)</f>
      </c>
      <c r="C805" s="5" t="str">
        <f>A805/COUNT('Lineal Mixto'!$C$5:$C$2004)</f>
      </c>
      <c r="D805" s="5" t="str">
        <f>ABS(C805-B805)</f>
      </c>
    </row>
    <row r="806">
      <c r="A806" s="6">
        <v>782</v>
      </c>
      <c r="B806" s="6" t="str">
        <f>SMALL('Lineal Mixto'!$C$5:$C$2004,A806)</f>
      </c>
      <c r="C806" s="6" t="str">
        <f>A806/COUNT('Lineal Mixto'!$C$5:$C$2004)</f>
      </c>
      <c r="D806" s="6" t="str">
        <f>ABS(C806-B806)</f>
      </c>
    </row>
    <row r="807">
      <c r="A807" s="5">
        <v>783</v>
      </c>
      <c r="B807" s="5" t="str">
        <f>SMALL('Lineal Mixto'!$C$5:$C$2004,A807)</f>
      </c>
      <c r="C807" s="5" t="str">
        <f>A807/COUNT('Lineal Mixto'!$C$5:$C$2004)</f>
      </c>
      <c r="D807" s="5" t="str">
        <f>ABS(C807-B807)</f>
      </c>
    </row>
    <row r="808">
      <c r="A808" s="6">
        <v>784</v>
      </c>
      <c r="B808" s="6" t="str">
        <f>SMALL('Lineal Mixto'!$C$5:$C$2004,A808)</f>
      </c>
      <c r="C808" s="6" t="str">
        <f>A808/COUNT('Lineal Mixto'!$C$5:$C$2004)</f>
      </c>
      <c r="D808" s="6" t="str">
        <f>ABS(C808-B808)</f>
      </c>
    </row>
    <row r="809">
      <c r="A809" s="5">
        <v>785</v>
      </c>
      <c r="B809" s="5" t="str">
        <f>SMALL('Lineal Mixto'!$C$5:$C$2004,A809)</f>
      </c>
      <c r="C809" s="5" t="str">
        <f>A809/COUNT('Lineal Mixto'!$C$5:$C$2004)</f>
      </c>
      <c r="D809" s="5" t="str">
        <f>ABS(C809-B809)</f>
      </c>
    </row>
    <row r="810">
      <c r="A810" s="6">
        <v>786</v>
      </c>
      <c r="B810" s="6" t="str">
        <f>SMALL('Lineal Mixto'!$C$5:$C$2004,A810)</f>
      </c>
      <c r="C810" s="6" t="str">
        <f>A810/COUNT('Lineal Mixto'!$C$5:$C$2004)</f>
      </c>
      <c r="D810" s="6" t="str">
        <f>ABS(C810-B810)</f>
      </c>
    </row>
    <row r="811">
      <c r="A811" s="5">
        <v>787</v>
      </c>
      <c r="B811" s="5" t="str">
        <f>SMALL('Lineal Mixto'!$C$5:$C$2004,A811)</f>
      </c>
      <c r="C811" s="5" t="str">
        <f>A811/COUNT('Lineal Mixto'!$C$5:$C$2004)</f>
      </c>
      <c r="D811" s="5" t="str">
        <f>ABS(C811-B811)</f>
      </c>
    </row>
    <row r="812">
      <c r="A812" s="6">
        <v>788</v>
      </c>
      <c r="B812" s="6" t="str">
        <f>SMALL('Lineal Mixto'!$C$5:$C$2004,A812)</f>
      </c>
      <c r="C812" s="6" t="str">
        <f>A812/COUNT('Lineal Mixto'!$C$5:$C$2004)</f>
      </c>
      <c r="D812" s="6" t="str">
        <f>ABS(C812-B812)</f>
      </c>
    </row>
    <row r="813">
      <c r="A813" s="5">
        <v>789</v>
      </c>
      <c r="B813" s="5" t="str">
        <f>SMALL('Lineal Mixto'!$C$5:$C$2004,A813)</f>
      </c>
      <c r="C813" s="5" t="str">
        <f>A813/COUNT('Lineal Mixto'!$C$5:$C$2004)</f>
      </c>
      <c r="D813" s="5" t="str">
        <f>ABS(C813-B813)</f>
      </c>
    </row>
    <row r="814">
      <c r="A814" s="6">
        <v>790</v>
      </c>
      <c r="B814" s="6" t="str">
        <f>SMALL('Lineal Mixto'!$C$5:$C$2004,A814)</f>
      </c>
      <c r="C814" s="6" t="str">
        <f>A814/COUNT('Lineal Mixto'!$C$5:$C$2004)</f>
      </c>
      <c r="D814" s="6" t="str">
        <f>ABS(C814-B814)</f>
      </c>
    </row>
    <row r="815">
      <c r="A815" s="5">
        <v>791</v>
      </c>
      <c r="B815" s="5" t="str">
        <f>SMALL('Lineal Mixto'!$C$5:$C$2004,A815)</f>
      </c>
      <c r="C815" s="5" t="str">
        <f>A815/COUNT('Lineal Mixto'!$C$5:$C$2004)</f>
      </c>
      <c r="D815" s="5" t="str">
        <f>ABS(C815-B815)</f>
      </c>
    </row>
    <row r="816">
      <c r="A816" s="6">
        <v>792</v>
      </c>
      <c r="B816" s="6" t="str">
        <f>SMALL('Lineal Mixto'!$C$5:$C$2004,A816)</f>
      </c>
      <c r="C816" s="6" t="str">
        <f>A816/COUNT('Lineal Mixto'!$C$5:$C$2004)</f>
      </c>
      <c r="D816" s="6" t="str">
        <f>ABS(C816-B816)</f>
      </c>
    </row>
    <row r="817">
      <c r="A817" s="5">
        <v>793</v>
      </c>
      <c r="B817" s="5" t="str">
        <f>SMALL('Lineal Mixto'!$C$5:$C$2004,A817)</f>
      </c>
      <c r="C817" s="5" t="str">
        <f>A817/COUNT('Lineal Mixto'!$C$5:$C$2004)</f>
      </c>
      <c r="D817" s="5" t="str">
        <f>ABS(C817-B817)</f>
      </c>
    </row>
    <row r="818">
      <c r="A818" s="6">
        <v>794</v>
      </c>
      <c r="B818" s="6" t="str">
        <f>SMALL('Lineal Mixto'!$C$5:$C$2004,A818)</f>
      </c>
      <c r="C818" s="6" t="str">
        <f>A818/COUNT('Lineal Mixto'!$C$5:$C$2004)</f>
      </c>
      <c r="D818" s="6" t="str">
        <f>ABS(C818-B818)</f>
      </c>
    </row>
    <row r="819">
      <c r="A819" s="5">
        <v>795</v>
      </c>
      <c r="B819" s="5" t="str">
        <f>SMALL('Lineal Mixto'!$C$5:$C$2004,A819)</f>
      </c>
      <c r="C819" s="5" t="str">
        <f>A819/COUNT('Lineal Mixto'!$C$5:$C$2004)</f>
      </c>
      <c r="D819" s="5" t="str">
        <f>ABS(C819-B819)</f>
      </c>
    </row>
    <row r="820">
      <c r="A820" s="6">
        <v>796</v>
      </c>
      <c r="B820" s="6" t="str">
        <f>SMALL('Lineal Mixto'!$C$5:$C$2004,A820)</f>
      </c>
      <c r="C820" s="6" t="str">
        <f>A820/COUNT('Lineal Mixto'!$C$5:$C$2004)</f>
      </c>
      <c r="D820" s="6" t="str">
        <f>ABS(C820-B820)</f>
      </c>
    </row>
    <row r="821">
      <c r="A821" s="5">
        <v>797</v>
      </c>
      <c r="B821" s="5" t="str">
        <f>SMALL('Lineal Mixto'!$C$5:$C$2004,A821)</f>
      </c>
      <c r="C821" s="5" t="str">
        <f>A821/COUNT('Lineal Mixto'!$C$5:$C$2004)</f>
      </c>
      <c r="D821" s="5" t="str">
        <f>ABS(C821-B821)</f>
      </c>
    </row>
    <row r="822">
      <c r="A822" s="6">
        <v>798</v>
      </c>
      <c r="B822" s="6" t="str">
        <f>SMALL('Lineal Mixto'!$C$5:$C$2004,A822)</f>
      </c>
      <c r="C822" s="6" t="str">
        <f>A822/COUNT('Lineal Mixto'!$C$5:$C$2004)</f>
      </c>
      <c r="D822" s="6" t="str">
        <f>ABS(C822-B822)</f>
      </c>
    </row>
    <row r="823">
      <c r="A823" s="5">
        <v>799</v>
      </c>
      <c r="B823" s="5" t="str">
        <f>SMALL('Lineal Mixto'!$C$5:$C$2004,A823)</f>
      </c>
      <c r="C823" s="5" t="str">
        <f>A823/COUNT('Lineal Mixto'!$C$5:$C$2004)</f>
      </c>
      <c r="D823" s="5" t="str">
        <f>ABS(C823-B823)</f>
      </c>
    </row>
    <row r="824">
      <c r="A824" s="6">
        <v>800</v>
      </c>
      <c r="B824" s="6" t="str">
        <f>SMALL('Lineal Mixto'!$C$5:$C$2004,A824)</f>
      </c>
      <c r="C824" s="6" t="str">
        <f>A824/COUNT('Lineal Mixto'!$C$5:$C$2004)</f>
      </c>
      <c r="D824" s="6" t="str">
        <f>ABS(C824-B824)</f>
      </c>
    </row>
    <row r="825">
      <c r="A825" s="5">
        <v>801</v>
      </c>
      <c r="B825" s="5" t="str">
        <f>SMALL('Lineal Mixto'!$C$5:$C$2004,A825)</f>
      </c>
      <c r="C825" s="5" t="str">
        <f>A825/COUNT('Lineal Mixto'!$C$5:$C$2004)</f>
      </c>
      <c r="D825" s="5" t="str">
        <f>ABS(C825-B825)</f>
      </c>
    </row>
    <row r="826">
      <c r="A826" s="6">
        <v>802</v>
      </c>
      <c r="B826" s="6" t="str">
        <f>SMALL('Lineal Mixto'!$C$5:$C$2004,A826)</f>
      </c>
      <c r="C826" s="6" t="str">
        <f>A826/COUNT('Lineal Mixto'!$C$5:$C$2004)</f>
      </c>
      <c r="D826" s="6" t="str">
        <f>ABS(C826-B826)</f>
      </c>
    </row>
    <row r="827">
      <c r="A827" s="5">
        <v>803</v>
      </c>
      <c r="B827" s="5" t="str">
        <f>SMALL('Lineal Mixto'!$C$5:$C$2004,A827)</f>
      </c>
      <c r="C827" s="5" t="str">
        <f>A827/COUNT('Lineal Mixto'!$C$5:$C$2004)</f>
      </c>
      <c r="D827" s="5" t="str">
        <f>ABS(C827-B827)</f>
      </c>
    </row>
    <row r="828">
      <c r="A828" s="6">
        <v>804</v>
      </c>
      <c r="B828" s="6" t="str">
        <f>SMALL('Lineal Mixto'!$C$5:$C$2004,A828)</f>
      </c>
      <c r="C828" s="6" t="str">
        <f>A828/COUNT('Lineal Mixto'!$C$5:$C$2004)</f>
      </c>
      <c r="D828" s="6" t="str">
        <f>ABS(C828-B828)</f>
      </c>
    </row>
    <row r="829">
      <c r="A829" s="5">
        <v>805</v>
      </c>
      <c r="B829" s="5" t="str">
        <f>SMALL('Lineal Mixto'!$C$5:$C$2004,A829)</f>
      </c>
      <c r="C829" s="5" t="str">
        <f>A829/COUNT('Lineal Mixto'!$C$5:$C$2004)</f>
      </c>
      <c r="D829" s="5" t="str">
        <f>ABS(C829-B829)</f>
      </c>
    </row>
    <row r="830">
      <c r="A830" s="6">
        <v>806</v>
      </c>
      <c r="B830" s="6" t="str">
        <f>SMALL('Lineal Mixto'!$C$5:$C$2004,A830)</f>
      </c>
      <c r="C830" s="6" t="str">
        <f>A830/COUNT('Lineal Mixto'!$C$5:$C$2004)</f>
      </c>
      <c r="D830" s="6" t="str">
        <f>ABS(C830-B830)</f>
      </c>
    </row>
    <row r="831">
      <c r="A831" s="5">
        <v>807</v>
      </c>
      <c r="B831" s="5" t="str">
        <f>SMALL('Lineal Mixto'!$C$5:$C$2004,A831)</f>
      </c>
      <c r="C831" s="5" t="str">
        <f>A831/COUNT('Lineal Mixto'!$C$5:$C$2004)</f>
      </c>
      <c r="D831" s="5" t="str">
        <f>ABS(C831-B831)</f>
      </c>
    </row>
    <row r="832">
      <c r="A832" s="6">
        <v>808</v>
      </c>
      <c r="B832" s="6" t="str">
        <f>SMALL('Lineal Mixto'!$C$5:$C$2004,A832)</f>
      </c>
      <c r="C832" s="6" t="str">
        <f>A832/COUNT('Lineal Mixto'!$C$5:$C$2004)</f>
      </c>
      <c r="D832" s="6" t="str">
        <f>ABS(C832-B832)</f>
      </c>
    </row>
    <row r="833">
      <c r="A833" s="5">
        <v>809</v>
      </c>
      <c r="B833" s="5" t="str">
        <f>SMALL('Lineal Mixto'!$C$5:$C$2004,A833)</f>
      </c>
      <c r="C833" s="5" t="str">
        <f>A833/COUNT('Lineal Mixto'!$C$5:$C$2004)</f>
      </c>
      <c r="D833" s="5" t="str">
        <f>ABS(C833-B833)</f>
      </c>
    </row>
    <row r="834">
      <c r="A834" s="6">
        <v>810</v>
      </c>
      <c r="B834" s="6" t="str">
        <f>SMALL('Lineal Mixto'!$C$5:$C$2004,A834)</f>
      </c>
      <c r="C834" s="6" t="str">
        <f>A834/COUNT('Lineal Mixto'!$C$5:$C$2004)</f>
      </c>
      <c r="D834" s="6" t="str">
        <f>ABS(C834-B834)</f>
      </c>
    </row>
    <row r="835">
      <c r="A835" s="5">
        <v>811</v>
      </c>
      <c r="B835" s="5" t="str">
        <f>SMALL('Lineal Mixto'!$C$5:$C$2004,A835)</f>
      </c>
      <c r="C835" s="5" t="str">
        <f>A835/COUNT('Lineal Mixto'!$C$5:$C$2004)</f>
      </c>
      <c r="D835" s="5" t="str">
        <f>ABS(C835-B835)</f>
      </c>
    </row>
    <row r="836">
      <c r="A836" s="6">
        <v>812</v>
      </c>
      <c r="B836" s="6" t="str">
        <f>SMALL('Lineal Mixto'!$C$5:$C$2004,A836)</f>
      </c>
      <c r="C836" s="6" t="str">
        <f>A836/COUNT('Lineal Mixto'!$C$5:$C$2004)</f>
      </c>
      <c r="D836" s="6" t="str">
        <f>ABS(C836-B836)</f>
      </c>
    </row>
    <row r="837">
      <c r="A837" s="5">
        <v>813</v>
      </c>
      <c r="B837" s="5" t="str">
        <f>SMALL('Lineal Mixto'!$C$5:$C$2004,A837)</f>
      </c>
      <c r="C837" s="5" t="str">
        <f>A837/COUNT('Lineal Mixto'!$C$5:$C$2004)</f>
      </c>
      <c r="D837" s="5" t="str">
        <f>ABS(C837-B837)</f>
      </c>
    </row>
    <row r="838">
      <c r="A838" s="6">
        <v>814</v>
      </c>
      <c r="B838" s="6" t="str">
        <f>SMALL('Lineal Mixto'!$C$5:$C$2004,A838)</f>
      </c>
      <c r="C838" s="6" t="str">
        <f>A838/COUNT('Lineal Mixto'!$C$5:$C$2004)</f>
      </c>
      <c r="D838" s="6" t="str">
        <f>ABS(C838-B838)</f>
      </c>
    </row>
    <row r="839">
      <c r="A839" s="5">
        <v>815</v>
      </c>
      <c r="B839" s="5" t="str">
        <f>SMALL('Lineal Mixto'!$C$5:$C$2004,A839)</f>
      </c>
      <c r="C839" s="5" t="str">
        <f>A839/COUNT('Lineal Mixto'!$C$5:$C$2004)</f>
      </c>
      <c r="D839" s="5" t="str">
        <f>ABS(C839-B839)</f>
      </c>
    </row>
    <row r="840">
      <c r="A840" s="6">
        <v>816</v>
      </c>
      <c r="B840" s="6" t="str">
        <f>SMALL('Lineal Mixto'!$C$5:$C$2004,A840)</f>
      </c>
      <c r="C840" s="6" t="str">
        <f>A840/COUNT('Lineal Mixto'!$C$5:$C$2004)</f>
      </c>
      <c r="D840" s="6" t="str">
        <f>ABS(C840-B840)</f>
      </c>
    </row>
    <row r="841">
      <c r="A841" s="5">
        <v>817</v>
      </c>
      <c r="B841" s="5" t="str">
        <f>SMALL('Lineal Mixto'!$C$5:$C$2004,A841)</f>
      </c>
      <c r="C841" s="5" t="str">
        <f>A841/COUNT('Lineal Mixto'!$C$5:$C$2004)</f>
      </c>
      <c r="D841" s="5" t="str">
        <f>ABS(C841-B841)</f>
      </c>
    </row>
    <row r="842">
      <c r="A842" s="6">
        <v>818</v>
      </c>
      <c r="B842" s="6" t="str">
        <f>SMALL('Lineal Mixto'!$C$5:$C$2004,A842)</f>
      </c>
      <c r="C842" s="6" t="str">
        <f>A842/COUNT('Lineal Mixto'!$C$5:$C$2004)</f>
      </c>
      <c r="D842" s="6" t="str">
        <f>ABS(C842-B842)</f>
      </c>
    </row>
    <row r="843">
      <c r="A843" s="5">
        <v>819</v>
      </c>
      <c r="B843" s="5" t="str">
        <f>SMALL('Lineal Mixto'!$C$5:$C$2004,A843)</f>
      </c>
      <c r="C843" s="5" t="str">
        <f>A843/COUNT('Lineal Mixto'!$C$5:$C$2004)</f>
      </c>
      <c r="D843" s="5" t="str">
        <f>ABS(C843-B843)</f>
      </c>
    </row>
    <row r="844">
      <c r="A844" s="6">
        <v>820</v>
      </c>
      <c r="B844" s="6" t="str">
        <f>SMALL('Lineal Mixto'!$C$5:$C$2004,A844)</f>
      </c>
      <c r="C844" s="6" t="str">
        <f>A844/COUNT('Lineal Mixto'!$C$5:$C$2004)</f>
      </c>
      <c r="D844" s="6" t="str">
        <f>ABS(C844-B844)</f>
      </c>
    </row>
    <row r="845">
      <c r="A845" s="5">
        <v>821</v>
      </c>
      <c r="B845" s="5" t="str">
        <f>SMALL('Lineal Mixto'!$C$5:$C$2004,A845)</f>
      </c>
      <c r="C845" s="5" t="str">
        <f>A845/COUNT('Lineal Mixto'!$C$5:$C$2004)</f>
      </c>
      <c r="D845" s="5" t="str">
        <f>ABS(C845-B845)</f>
      </c>
    </row>
    <row r="846">
      <c r="A846" s="6">
        <v>822</v>
      </c>
      <c r="B846" s="6" t="str">
        <f>SMALL('Lineal Mixto'!$C$5:$C$2004,A846)</f>
      </c>
      <c r="C846" s="6" t="str">
        <f>A846/COUNT('Lineal Mixto'!$C$5:$C$2004)</f>
      </c>
      <c r="D846" s="6" t="str">
        <f>ABS(C846-B846)</f>
      </c>
    </row>
    <row r="847">
      <c r="A847" s="5">
        <v>823</v>
      </c>
      <c r="B847" s="5" t="str">
        <f>SMALL('Lineal Mixto'!$C$5:$C$2004,A847)</f>
      </c>
      <c r="C847" s="5" t="str">
        <f>A847/COUNT('Lineal Mixto'!$C$5:$C$2004)</f>
      </c>
      <c r="D847" s="5" t="str">
        <f>ABS(C847-B847)</f>
      </c>
    </row>
    <row r="848">
      <c r="A848" s="6">
        <v>824</v>
      </c>
      <c r="B848" s="6" t="str">
        <f>SMALL('Lineal Mixto'!$C$5:$C$2004,A848)</f>
      </c>
      <c r="C848" s="6" t="str">
        <f>A848/COUNT('Lineal Mixto'!$C$5:$C$2004)</f>
      </c>
      <c r="D848" s="6" t="str">
        <f>ABS(C848-B848)</f>
      </c>
    </row>
    <row r="849">
      <c r="A849" s="5">
        <v>825</v>
      </c>
      <c r="B849" s="5" t="str">
        <f>SMALL('Lineal Mixto'!$C$5:$C$2004,A849)</f>
      </c>
      <c r="C849" s="5" t="str">
        <f>A849/COUNT('Lineal Mixto'!$C$5:$C$2004)</f>
      </c>
      <c r="D849" s="5" t="str">
        <f>ABS(C849-B849)</f>
      </c>
    </row>
    <row r="850">
      <c r="A850" s="6">
        <v>826</v>
      </c>
      <c r="B850" s="6" t="str">
        <f>SMALL('Lineal Mixto'!$C$5:$C$2004,A850)</f>
      </c>
      <c r="C850" s="6" t="str">
        <f>A850/COUNT('Lineal Mixto'!$C$5:$C$2004)</f>
      </c>
      <c r="D850" s="6" t="str">
        <f>ABS(C850-B850)</f>
      </c>
    </row>
    <row r="851">
      <c r="A851" s="5">
        <v>827</v>
      </c>
      <c r="B851" s="5" t="str">
        <f>SMALL('Lineal Mixto'!$C$5:$C$2004,A851)</f>
      </c>
      <c r="C851" s="5" t="str">
        <f>A851/COUNT('Lineal Mixto'!$C$5:$C$2004)</f>
      </c>
      <c r="D851" s="5" t="str">
        <f>ABS(C851-B851)</f>
      </c>
    </row>
    <row r="852">
      <c r="A852" s="6">
        <v>828</v>
      </c>
      <c r="B852" s="6" t="str">
        <f>SMALL('Lineal Mixto'!$C$5:$C$2004,A852)</f>
      </c>
      <c r="C852" s="6" t="str">
        <f>A852/COUNT('Lineal Mixto'!$C$5:$C$2004)</f>
      </c>
      <c r="D852" s="6" t="str">
        <f>ABS(C852-B852)</f>
      </c>
    </row>
    <row r="853">
      <c r="A853" s="5">
        <v>829</v>
      </c>
      <c r="B853" s="5" t="str">
        <f>SMALL('Lineal Mixto'!$C$5:$C$2004,A853)</f>
      </c>
      <c r="C853" s="5" t="str">
        <f>A853/COUNT('Lineal Mixto'!$C$5:$C$2004)</f>
      </c>
      <c r="D853" s="5" t="str">
        <f>ABS(C853-B853)</f>
      </c>
    </row>
    <row r="854">
      <c r="A854" s="6">
        <v>830</v>
      </c>
      <c r="B854" s="6" t="str">
        <f>SMALL('Lineal Mixto'!$C$5:$C$2004,A854)</f>
      </c>
      <c r="C854" s="6" t="str">
        <f>A854/COUNT('Lineal Mixto'!$C$5:$C$2004)</f>
      </c>
      <c r="D854" s="6" t="str">
        <f>ABS(C854-B854)</f>
      </c>
    </row>
    <row r="855">
      <c r="A855" s="5">
        <v>831</v>
      </c>
      <c r="B855" s="5" t="str">
        <f>SMALL('Lineal Mixto'!$C$5:$C$2004,A855)</f>
      </c>
      <c r="C855" s="5" t="str">
        <f>A855/COUNT('Lineal Mixto'!$C$5:$C$2004)</f>
      </c>
      <c r="D855" s="5" t="str">
        <f>ABS(C855-B855)</f>
      </c>
    </row>
    <row r="856">
      <c r="A856" s="6">
        <v>832</v>
      </c>
      <c r="B856" s="6" t="str">
        <f>SMALL('Lineal Mixto'!$C$5:$C$2004,A856)</f>
      </c>
      <c r="C856" s="6" t="str">
        <f>A856/COUNT('Lineal Mixto'!$C$5:$C$2004)</f>
      </c>
      <c r="D856" s="6" t="str">
        <f>ABS(C856-B856)</f>
      </c>
    </row>
    <row r="857">
      <c r="A857" s="5">
        <v>833</v>
      </c>
      <c r="B857" s="5" t="str">
        <f>SMALL('Lineal Mixto'!$C$5:$C$2004,A857)</f>
      </c>
      <c r="C857" s="5" t="str">
        <f>A857/COUNT('Lineal Mixto'!$C$5:$C$2004)</f>
      </c>
      <c r="D857" s="5" t="str">
        <f>ABS(C857-B857)</f>
      </c>
    </row>
    <row r="858">
      <c r="A858" s="6">
        <v>834</v>
      </c>
      <c r="B858" s="6" t="str">
        <f>SMALL('Lineal Mixto'!$C$5:$C$2004,A858)</f>
      </c>
      <c r="C858" s="6" t="str">
        <f>A858/COUNT('Lineal Mixto'!$C$5:$C$2004)</f>
      </c>
      <c r="D858" s="6" t="str">
        <f>ABS(C858-B858)</f>
      </c>
    </row>
    <row r="859">
      <c r="A859" s="5">
        <v>835</v>
      </c>
      <c r="B859" s="5" t="str">
        <f>SMALL('Lineal Mixto'!$C$5:$C$2004,A859)</f>
      </c>
      <c r="C859" s="5" t="str">
        <f>A859/COUNT('Lineal Mixto'!$C$5:$C$2004)</f>
      </c>
      <c r="D859" s="5" t="str">
        <f>ABS(C859-B859)</f>
      </c>
    </row>
    <row r="860">
      <c r="A860" s="6">
        <v>836</v>
      </c>
      <c r="B860" s="6" t="str">
        <f>SMALL('Lineal Mixto'!$C$5:$C$2004,A860)</f>
      </c>
      <c r="C860" s="6" t="str">
        <f>A860/COUNT('Lineal Mixto'!$C$5:$C$2004)</f>
      </c>
      <c r="D860" s="6" t="str">
        <f>ABS(C860-B860)</f>
      </c>
    </row>
    <row r="861">
      <c r="A861" s="5">
        <v>837</v>
      </c>
      <c r="B861" s="5" t="str">
        <f>SMALL('Lineal Mixto'!$C$5:$C$2004,A861)</f>
      </c>
      <c r="C861" s="5" t="str">
        <f>A861/COUNT('Lineal Mixto'!$C$5:$C$2004)</f>
      </c>
      <c r="D861" s="5" t="str">
        <f>ABS(C861-B861)</f>
      </c>
    </row>
    <row r="862">
      <c r="A862" s="6">
        <v>838</v>
      </c>
      <c r="B862" s="6" t="str">
        <f>SMALL('Lineal Mixto'!$C$5:$C$2004,A862)</f>
      </c>
      <c r="C862" s="6" t="str">
        <f>A862/COUNT('Lineal Mixto'!$C$5:$C$2004)</f>
      </c>
      <c r="D862" s="6" t="str">
        <f>ABS(C862-B862)</f>
      </c>
    </row>
    <row r="863">
      <c r="A863" s="5">
        <v>839</v>
      </c>
      <c r="B863" s="5" t="str">
        <f>SMALL('Lineal Mixto'!$C$5:$C$2004,A863)</f>
      </c>
      <c r="C863" s="5" t="str">
        <f>A863/COUNT('Lineal Mixto'!$C$5:$C$2004)</f>
      </c>
      <c r="D863" s="5" t="str">
        <f>ABS(C863-B863)</f>
      </c>
    </row>
    <row r="864">
      <c r="A864" s="6">
        <v>840</v>
      </c>
      <c r="B864" s="6" t="str">
        <f>SMALL('Lineal Mixto'!$C$5:$C$2004,A864)</f>
      </c>
      <c r="C864" s="6" t="str">
        <f>A864/COUNT('Lineal Mixto'!$C$5:$C$2004)</f>
      </c>
      <c r="D864" s="6" t="str">
        <f>ABS(C864-B864)</f>
      </c>
    </row>
    <row r="865">
      <c r="A865" s="5">
        <v>841</v>
      </c>
      <c r="B865" s="5" t="str">
        <f>SMALL('Lineal Mixto'!$C$5:$C$2004,A865)</f>
      </c>
      <c r="C865" s="5" t="str">
        <f>A865/COUNT('Lineal Mixto'!$C$5:$C$2004)</f>
      </c>
      <c r="D865" s="5" t="str">
        <f>ABS(C865-B865)</f>
      </c>
    </row>
    <row r="866">
      <c r="A866" s="6">
        <v>842</v>
      </c>
      <c r="B866" s="6" t="str">
        <f>SMALL('Lineal Mixto'!$C$5:$C$2004,A866)</f>
      </c>
      <c r="C866" s="6" t="str">
        <f>A866/COUNT('Lineal Mixto'!$C$5:$C$2004)</f>
      </c>
      <c r="D866" s="6" t="str">
        <f>ABS(C866-B866)</f>
      </c>
    </row>
    <row r="867">
      <c r="A867" s="5">
        <v>843</v>
      </c>
      <c r="B867" s="5" t="str">
        <f>SMALL('Lineal Mixto'!$C$5:$C$2004,A867)</f>
      </c>
      <c r="C867" s="5" t="str">
        <f>A867/COUNT('Lineal Mixto'!$C$5:$C$2004)</f>
      </c>
      <c r="D867" s="5" t="str">
        <f>ABS(C867-B867)</f>
      </c>
    </row>
    <row r="868">
      <c r="A868" s="6">
        <v>844</v>
      </c>
      <c r="B868" s="6" t="str">
        <f>SMALL('Lineal Mixto'!$C$5:$C$2004,A868)</f>
      </c>
      <c r="C868" s="6" t="str">
        <f>A868/COUNT('Lineal Mixto'!$C$5:$C$2004)</f>
      </c>
      <c r="D868" s="6" t="str">
        <f>ABS(C868-B868)</f>
      </c>
    </row>
    <row r="869">
      <c r="A869" s="5">
        <v>845</v>
      </c>
      <c r="B869" s="5" t="str">
        <f>SMALL('Lineal Mixto'!$C$5:$C$2004,A869)</f>
      </c>
      <c r="C869" s="5" t="str">
        <f>A869/COUNT('Lineal Mixto'!$C$5:$C$2004)</f>
      </c>
      <c r="D869" s="5" t="str">
        <f>ABS(C869-B869)</f>
      </c>
    </row>
    <row r="870">
      <c r="A870" s="6">
        <v>846</v>
      </c>
      <c r="B870" s="6" t="str">
        <f>SMALL('Lineal Mixto'!$C$5:$C$2004,A870)</f>
      </c>
      <c r="C870" s="6" t="str">
        <f>A870/COUNT('Lineal Mixto'!$C$5:$C$2004)</f>
      </c>
      <c r="D870" s="6" t="str">
        <f>ABS(C870-B870)</f>
      </c>
    </row>
    <row r="871">
      <c r="A871" s="5">
        <v>847</v>
      </c>
      <c r="B871" s="5" t="str">
        <f>SMALL('Lineal Mixto'!$C$5:$C$2004,A871)</f>
      </c>
      <c r="C871" s="5" t="str">
        <f>A871/COUNT('Lineal Mixto'!$C$5:$C$2004)</f>
      </c>
      <c r="D871" s="5" t="str">
        <f>ABS(C871-B871)</f>
      </c>
    </row>
    <row r="872">
      <c r="A872" s="6">
        <v>848</v>
      </c>
      <c r="B872" s="6" t="str">
        <f>SMALL('Lineal Mixto'!$C$5:$C$2004,A872)</f>
      </c>
      <c r="C872" s="6" t="str">
        <f>A872/COUNT('Lineal Mixto'!$C$5:$C$2004)</f>
      </c>
      <c r="D872" s="6" t="str">
        <f>ABS(C872-B872)</f>
      </c>
    </row>
    <row r="873">
      <c r="A873" s="5">
        <v>849</v>
      </c>
      <c r="B873" s="5" t="str">
        <f>SMALL('Lineal Mixto'!$C$5:$C$2004,A873)</f>
      </c>
      <c r="C873" s="5" t="str">
        <f>A873/COUNT('Lineal Mixto'!$C$5:$C$2004)</f>
      </c>
      <c r="D873" s="5" t="str">
        <f>ABS(C873-B873)</f>
      </c>
    </row>
    <row r="874">
      <c r="A874" s="6">
        <v>850</v>
      </c>
      <c r="B874" s="6" t="str">
        <f>SMALL('Lineal Mixto'!$C$5:$C$2004,A874)</f>
      </c>
      <c r="C874" s="6" t="str">
        <f>A874/COUNT('Lineal Mixto'!$C$5:$C$2004)</f>
      </c>
      <c r="D874" s="6" t="str">
        <f>ABS(C874-B874)</f>
      </c>
    </row>
    <row r="875">
      <c r="A875" s="5">
        <v>851</v>
      </c>
      <c r="B875" s="5" t="str">
        <f>SMALL('Lineal Mixto'!$C$5:$C$2004,A875)</f>
      </c>
      <c r="C875" s="5" t="str">
        <f>A875/COUNT('Lineal Mixto'!$C$5:$C$2004)</f>
      </c>
      <c r="D875" s="5" t="str">
        <f>ABS(C875-B875)</f>
      </c>
    </row>
    <row r="876">
      <c r="A876" s="6">
        <v>852</v>
      </c>
      <c r="B876" s="6" t="str">
        <f>SMALL('Lineal Mixto'!$C$5:$C$2004,A876)</f>
      </c>
      <c r="C876" s="6" t="str">
        <f>A876/COUNT('Lineal Mixto'!$C$5:$C$2004)</f>
      </c>
      <c r="D876" s="6" t="str">
        <f>ABS(C876-B876)</f>
      </c>
    </row>
    <row r="877">
      <c r="A877" s="5">
        <v>853</v>
      </c>
      <c r="B877" s="5" t="str">
        <f>SMALL('Lineal Mixto'!$C$5:$C$2004,A877)</f>
      </c>
      <c r="C877" s="5" t="str">
        <f>A877/COUNT('Lineal Mixto'!$C$5:$C$2004)</f>
      </c>
      <c r="D877" s="5" t="str">
        <f>ABS(C877-B877)</f>
      </c>
    </row>
    <row r="878">
      <c r="A878" s="6">
        <v>854</v>
      </c>
      <c r="B878" s="6" t="str">
        <f>SMALL('Lineal Mixto'!$C$5:$C$2004,A878)</f>
      </c>
      <c r="C878" s="6" t="str">
        <f>A878/COUNT('Lineal Mixto'!$C$5:$C$2004)</f>
      </c>
      <c r="D878" s="6" t="str">
        <f>ABS(C878-B878)</f>
      </c>
    </row>
    <row r="879">
      <c r="A879" s="5">
        <v>855</v>
      </c>
      <c r="B879" s="5" t="str">
        <f>SMALL('Lineal Mixto'!$C$5:$C$2004,A879)</f>
      </c>
      <c r="C879" s="5" t="str">
        <f>A879/COUNT('Lineal Mixto'!$C$5:$C$2004)</f>
      </c>
      <c r="D879" s="5" t="str">
        <f>ABS(C879-B879)</f>
      </c>
    </row>
    <row r="880">
      <c r="A880" s="6">
        <v>856</v>
      </c>
      <c r="B880" s="6" t="str">
        <f>SMALL('Lineal Mixto'!$C$5:$C$2004,A880)</f>
      </c>
      <c r="C880" s="6" t="str">
        <f>A880/COUNT('Lineal Mixto'!$C$5:$C$2004)</f>
      </c>
      <c r="D880" s="6" t="str">
        <f>ABS(C880-B880)</f>
      </c>
    </row>
    <row r="881">
      <c r="A881" s="5">
        <v>857</v>
      </c>
      <c r="B881" s="5" t="str">
        <f>SMALL('Lineal Mixto'!$C$5:$C$2004,A881)</f>
      </c>
      <c r="C881" s="5" t="str">
        <f>A881/COUNT('Lineal Mixto'!$C$5:$C$2004)</f>
      </c>
      <c r="D881" s="5" t="str">
        <f>ABS(C881-B881)</f>
      </c>
    </row>
    <row r="882">
      <c r="A882" s="6">
        <v>858</v>
      </c>
      <c r="B882" s="6" t="str">
        <f>SMALL('Lineal Mixto'!$C$5:$C$2004,A882)</f>
      </c>
      <c r="C882" s="6" t="str">
        <f>A882/COUNT('Lineal Mixto'!$C$5:$C$2004)</f>
      </c>
      <c r="D882" s="6" t="str">
        <f>ABS(C882-B882)</f>
      </c>
    </row>
    <row r="883">
      <c r="A883" s="5">
        <v>859</v>
      </c>
      <c r="B883" s="5" t="str">
        <f>SMALL('Lineal Mixto'!$C$5:$C$2004,A883)</f>
      </c>
      <c r="C883" s="5" t="str">
        <f>A883/COUNT('Lineal Mixto'!$C$5:$C$2004)</f>
      </c>
      <c r="D883" s="5" t="str">
        <f>ABS(C883-B883)</f>
      </c>
    </row>
    <row r="884">
      <c r="A884" s="6">
        <v>860</v>
      </c>
      <c r="B884" s="6" t="str">
        <f>SMALL('Lineal Mixto'!$C$5:$C$2004,A884)</f>
      </c>
      <c r="C884" s="6" t="str">
        <f>A884/COUNT('Lineal Mixto'!$C$5:$C$2004)</f>
      </c>
      <c r="D884" s="6" t="str">
        <f>ABS(C884-B884)</f>
      </c>
    </row>
    <row r="885">
      <c r="A885" s="5">
        <v>861</v>
      </c>
      <c r="B885" s="5" t="str">
        <f>SMALL('Lineal Mixto'!$C$5:$C$2004,A885)</f>
      </c>
      <c r="C885" s="5" t="str">
        <f>A885/COUNT('Lineal Mixto'!$C$5:$C$2004)</f>
      </c>
      <c r="D885" s="5" t="str">
        <f>ABS(C885-B885)</f>
      </c>
    </row>
    <row r="886">
      <c r="A886" s="6">
        <v>862</v>
      </c>
      <c r="B886" s="6" t="str">
        <f>SMALL('Lineal Mixto'!$C$5:$C$2004,A886)</f>
      </c>
      <c r="C886" s="6" t="str">
        <f>A886/COUNT('Lineal Mixto'!$C$5:$C$2004)</f>
      </c>
      <c r="D886" s="6" t="str">
        <f>ABS(C886-B886)</f>
      </c>
    </row>
    <row r="887">
      <c r="A887" s="5">
        <v>863</v>
      </c>
      <c r="B887" s="5" t="str">
        <f>SMALL('Lineal Mixto'!$C$5:$C$2004,A887)</f>
      </c>
      <c r="C887" s="5" t="str">
        <f>A887/COUNT('Lineal Mixto'!$C$5:$C$2004)</f>
      </c>
      <c r="D887" s="5" t="str">
        <f>ABS(C887-B887)</f>
      </c>
    </row>
    <row r="888">
      <c r="A888" s="6">
        <v>864</v>
      </c>
      <c r="B888" s="6" t="str">
        <f>SMALL('Lineal Mixto'!$C$5:$C$2004,A888)</f>
      </c>
      <c r="C888" s="6" t="str">
        <f>A888/COUNT('Lineal Mixto'!$C$5:$C$2004)</f>
      </c>
      <c r="D888" s="6" t="str">
        <f>ABS(C888-B888)</f>
      </c>
    </row>
    <row r="889">
      <c r="A889" s="5">
        <v>865</v>
      </c>
      <c r="B889" s="5" t="str">
        <f>SMALL('Lineal Mixto'!$C$5:$C$2004,A889)</f>
      </c>
      <c r="C889" s="5" t="str">
        <f>A889/COUNT('Lineal Mixto'!$C$5:$C$2004)</f>
      </c>
      <c r="D889" s="5" t="str">
        <f>ABS(C889-B889)</f>
      </c>
    </row>
    <row r="890">
      <c r="A890" s="6">
        <v>866</v>
      </c>
      <c r="B890" s="6" t="str">
        <f>SMALL('Lineal Mixto'!$C$5:$C$2004,A890)</f>
      </c>
      <c r="C890" s="6" t="str">
        <f>A890/COUNT('Lineal Mixto'!$C$5:$C$2004)</f>
      </c>
      <c r="D890" s="6" t="str">
        <f>ABS(C890-B890)</f>
      </c>
    </row>
    <row r="891">
      <c r="A891" s="5">
        <v>867</v>
      </c>
      <c r="B891" s="5" t="str">
        <f>SMALL('Lineal Mixto'!$C$5:$C$2004,A891)</f>
      </c>
      <c r="C891" s="5" t="str">
        <f>A891/COUNT('Lineal Mixto'!$C$5:$C$2004)</f>
      </c>
      <c r="D891" s="5" t="str">
        <f>ABS(C891-B891)</f>
      </c>
    </row>
    <row r="892">
      <c r="A892" s="6">
        <v>868</v>
      </c>
      <c r="B892" s="6" t="str">
        <f>SMALL('Lineal Mixto'!$C$5:$C$2004,A892)</f>
      </c>
      <c r="C892" s="6" t="str">
        <f>A892/COUNT('Lineal Mixto'!$C$5:$C$2004)</f>
      </c>
      <c r="D892" s="6" t="str">
        <f>ABS(C892-B892)</f>
      </c>
    </row>
    <row r="893">
      <c r="A893" s="5">
        <v>869</v>
      </c>
      <c r="B893" s="5" t="str">
        <f>SMALL('Lineal Mixto'!$C$5:$C$2004,A893)</f>
      </c>
      <c r="C893" s="5" t="str">
        <f>A893/COUNT('Lineal Mixto'!$C$5:$C$2004)</f>
      </c>
      <c r="D893" s="5" t="str">
        <f>ABS(C893-B893)</f>
      </c>
    </row>
    <row r="894">
      <c r="A894" s="6">
        <v>870</v>
      </c>
      <c r="B894" s="6" t="str">
        <f>SMALL('Lineal Mixto'!$C$5:$C$2004,A894)</f>
      </c>
      <c r="C894" s="6" t="str">
        <f>A894/COUNT('Lineal Mixto'!$C$5:$C$2004)</f>
      </c>
      <c r="D894" s="6" t="str">
        <f>ABS(C894-B894)</f>
      </c>
    </row>
    <row r="895">
      <c r="A895" s="5">
        <v>871</v>
      </c>
      <c r="B895" s="5" t="str">
        <f>SMALL('Lineal Mixto'!$C$5:$C$2004,A895)</f>
      </c>
      <c r="C895" s="5" t="str">
        <f>A895/COUNT('Lineal Mixto'!$C$5:$C$2004)</f>
      </c>
      <c r="D895" s="5" t="str">
        <f>ABS(C895-B895)</f>
      </c>
    </row>
    <row r="896">
      <c r="A896" s="6">
        <v>872</v>
      </c>
      <c r="B896" s="6" t="str">
        <f>SMALL('Lineal Mixto'!$C$5:$C$2004,A896)</f>
      </c>
      <c r="C896" s="6" t="str">
        <f>A896/COUNT('Lineal Mixto'!$C$5:$C$2004)</f>
      </c>
      <c r="D896" s="6" t="str">
        <f>ABS(C896-B896)</f>
      </c>
    </row>
    <row r="897">
      <c r="A897" s="5">
        <v>873</v>
      </c>
      <c r="B897" s="5" t="str">
        <f>SMALL('Lineal Mixto'!$C$5:$C$2004,A897)</f>
      </c>
      <c r="C897" s="5" t="str">
        <f>A897/COUNT('Lineal Mixto'!$C$5:$C$2004)</f>
      </c>
      <c r="D897" s="5" t="str">
        <f>ABS(C897-B897)</f>
      </c>
    </row>
    <row r="898">
      <c r="A898" s="6">
        <v>874</v>
      </c>
      <c r="B898" s="6" t="str">
        <f>SMALL('Lineal Mixto'!$C$5:$C$2004,A898)</f>
      </c>
      <c r="C898" s="6" t="str">
        <f>A898/COUNT('Lineal Mixto'!$C$5:$C$2004)</f>
      </c>
      <c r="D898" s="6" t="str">
        <f>ABS(C898-B898)</f>
      </c>
    </row>
    <row r="899">
      <c r="A899" s="5">
        <v>875</v>
      </c>
      <c r="B899" s="5" t="str">
        <f>SMALL('Lineal Mixto'!$C$5:$C$2004,A899)</f>
      </c>
      <c r="C899" s="5" t="str">
        <f>A899/COUNT('Lineal Mixto'!$C$5:$C$2004)</f>
      </c>
      <c r="D899" s="5" t="str">
        <f>ABS(C899-B899)</f>
      </c>
    </row>
    <row r="900">
      <c r="A900" s="6">
        <v>876</v>
      </c>
      <c r="B900" s="6" t="str">
        <f>SMALL('Lineal Mixto'!$C$5:$C$2004,A900)</f>
      </c>
      <c r="C900" s="6" t="str">
        <f>A900/COUNT('Lineal Mixto'!$C$5:$C$2004)</f>
      </c>
      <c r="D900" s="6" t="str">
        <f>ABS(C900-B900)</f>
      </c>
    </row>
    <row r="901">
      <c r="A901" s="5">
        <v>877</v>
      </c>
      <c r="B901" s="5" t="str">
        <f>SMALL('Lineal Mixto'!$C$5:$C$2004,A901)</f>
      </c>
      <c r="C901" s="5" t="str">
        <f>A901/COUNT('Lineal Mixto'!$C$5:$C$2004)</f>
      </c>
      <c r="D901" s="5" t="str">
        <f>ABS(C901-B901)</f>
      </c>
    </row>
    <row r="902">
      <c r="A902" s="6">
        <v>878</v>
      </c>
      <c r="B902" s="6" t="str">
        <f>SMALL('Lineal Mixto'!$C$5:$C$2004,A902)</f>
      </c>
      <c r="C902" s="6" t="str">
        <f>A902/COUNT('Lineal Mixto'!$C$5:$C$2004)</f>
      </c>
      <c r="D902" s="6" t="str">
        <f>ABS(C902-B902)</f>
      </c>
    </row>
    <row r="903">
      <c r="A903" s="5">
        <v>879</v>
      </c>
      <c r="B903" s="5" t="str">
        <f>SMALL('Lineal Mixto'!$C$5:$C$2004,A903)</f>
      </c>
      <c r="C903" s="5" t="str">
        <f>A903/COUNT('Lineal Mixto'!$C$5:$C$2004)</f>
      </c>
      <c r="D903" s="5" t="str">
        <f>ABS(C903-B903)</f>
      </c>
    </row>
    <row r="904">
      <c r="A904" s="6">
        <v>880</v>
      </c>
      <c r="B904" s="6" t="str">
        <f>SMALL('Lineal Mixto'!$C$5:$C$2004,A904)</f>
      </c>
      <c r="C904" s="6" t="str">
        <f>A904/COUNT('Lineal Mixto'!$C$5:$C$2004)</f>
      </c>
      <c r="D904" s="6" t="str">
        <f>ABS(C904-B904)</f>
      </c>
    </row>
    <row r="905">
      <c r="A905" s="5">
        <v>881</v>
      </c>
      <c r="B905" s="5" t="str">
        <f>SMALL('Lineal Mixto'!$C$5:$C$2004,A905)</f>
      </c>
      <c r="C905" s="5" t="str">
        <f>A905/COUNT('Lineal Mixto'!$C$5:$C$2004)</f>
      </c>
      <c r="D905" s="5" t="str">
        <f>ABS(C905-B905)</f>
      </c>
    </row>
    <row r="906">
      <c r="A906" s="6">
        <v>882</v>
      </c>
      <c r="B906" s="6" t="str">
        <f>SMALL('Lineal Mixto'!$C$5:$C$2004,A906)</f>
      </c>
      <c r="C906" s="6" t="str">
        <f>A906/COUNT('Lineal Mixto'!$C$5:$C$2004)</f>
      </c>
      <c r="D906" s="6" t="str">
        <f>ABS(C906-B906)</f>
      </c>
    </row>
    <row r="907">
      <c r="A907" s="5">
        <v>883</v>
      </c>
      <c r="B907" s="5" t="str">
        <f>SMALL('Lineal Mixto'!$C$5:$C$2004,A907)</f>
      </c>
      <c r="C907" s="5" t="str">
        <f>A907/COUNT('Lineal Mixto'!$C$5:$C$2004)</f>
      </c>
      <c r="D907" s="5" t="str">
        <f>ABS(C907-B907)</f>
      </c>
    </row>
    <row r="908">
      <c r="A908" s="6">
        <v>884</v>
      </c>
      <c r="B908" s="6" t="str">
        <f>SMALL('Lineal Mixto'!$C$5:$C$2004,A908)</f>
      </c>
      <c r="C908" s="6" t="str">
        <f>A908/COUNT('Lineal Mixto'!$C$5:$C$2004)</f>
      </c>
      <c r="D908" s="6" t="str">
        <f>ABS(C908-B908)</f>
      </c>
    </row>
    <row r="909">
      <c r="A909" s="5">
        <v>885</v>
      </c>
      <c r="B909" s="5" t="str">
        <f>SMALL('Lineal Mixto'!$C$5:$C$2004,A909)</f>
      </c>
      <c r="C909" s="5" t="str">
        <f>A909/COUNT('Lineal Mixto'!$C$5:$C$2004)</f>
      </c>
      <c r="D909" s="5" t="str">
        <f>ABS(C909-B909)</f>
      </c>
    </row>
    <row r="910">
      <c r="A910" s="6">
        <v>886</v>
      </c>
      <c r="B910" s="6" t="str">
        <f>SMALL('Lineal Mixto'!$C$5:$C$2004,A910)</f>
      </c>
      <c r="C910" s="6" t="str">
        <f>A910/COUNT('Lineal Mixto'!$C$5:$C$2004)</f>
      </c>
      <c r="D910" s="6" t="str">
        <f>ABS(C910-B910)</f>
      </c>
    </row>
    <row r="911">
      <c r="A911" s="5">
        <v>887</v>
      </c>
      <c r="B911" s="5" t="str">
        <f>SMALL('Lineal Mixto'!$C$5:$C$2004,A911)</f>
      </c>
      <c r="C911" s="5" t="str">
        <f>A911/COUNT('Lineal Mixto'!$C$5:$C$2004)</f>
      </c>
      <c r="D911" s="5" t="str">
        <f>ABS(C911-B911)</f>
      </c>
    </row>
    <row r="912">
      <c r="A912" s="6">
        <v>888</v>
      </c>
      <c r="B912" s="6" t="str">
        <f>SMALL('Lineal Mixto'!$C$5:$C$2004,A912)</f>
      </c>
      <c r="C912" s="6" t="str">
        <f>A912/COUNT('Lineal Mixto'!$C$5:$C$2004)</f>
      </c>
      <c r="D912" s="6" t="str">
        <f>ABS(C912-B912)</f>
      </c>
    </row>
    <row r="913">
      <c r="A913" s="5">
        <v>889</v>
      </c>
      <c r="B913" s="5" t="str">
        <f>SMALL('Lineal Mixto'!$C$5:$C$2004,A913)</f>
      </c>
      <c r="C913" s="5" t="str">
        <f>A913/COUNT('Lineal Mixto'!$C$5:$C$2004)</f>
      </c>
      <c r="D913" s="5" t="str">
        <f>ABS(C913-B913)</f>
      </c>
    </row>
    <row r="914">
      <c r="A914" s="6">
        <v>890</v>
      </c>
      <c r="B914" s="6" t="str">
        <f>SMALL('Lineal Mixto'!$C$5:$C$2004,A914)</f>
      </c>
      <c r="C914" s="6" t="str">
        <f>A914/COUNT('Lineal Mixto'!$C$5:$C$2004)</f>
      </c>
      <c r="D914" s="6" t="str">
        <f>ABS(C914-B914)</f>
      </c>
    </row>
    <row r="915">
      <c r="A915" s="5">
        <v>891</v>
      </c>
      <c r="B915" s="5" t="str">
        <f>SMALL('Lineal Mixto'!$C$5:$C$2004,A915)</f>
      </c>
      <c r="C915" s="5" t="str">
        <f>A915/COUNT('Lineal Mixto'!$C$5:$C$2004)</f>
      </c>
      <c r="D915" s="5" t="str">
        <f>ABS(C915-B915)</f>
      </c>
    </row>
    <row r="916">
      <c r="A916" s="6">
        <v>892</v>
      </c>
      <c r="B916" s="6" t="str">
        <f>SMALL('Lineal Mixto'!$C$5:$C$2004,A916)</f>
      </c>
      <c r="C916" s="6" t="str">
        <f>A916/COUNT('Lineal Mixto'!$C$5:$C$2004)</f>
      </c>
      <c r="D916" s="6" t="str">
        <f>ABS(C916-B916)</f>
      </c>
    </row>
    <row r="917">
      <c r="A917" s="5">
        <v>893</v>
      </c>
      <c r="B917" s="5" t="str">
        <f>SMALL('Lineal Mixto'!$C$5:$C$2004,A917)</f>
      </c>
      <c r="C917" s="5" t="str">
        <f>A917/COUNT('Lineal Mixto'!$C$5:$C$2004)</f>
      </c>
      <c r="D917" s="5" t="str">
        <f>ABS(C917-B917)</f>
      </c>
    </row>
    <row r="918">
      <c r="A918" s="6">
        <v>894</v>
      </c>
      <c r="B918" s="6" t="str">
        <f>SMALL('Lineal Mixto'!$C$5:$C$2004,A918)</f>
      </c>
      <c r="C918" s="6" t="str">
        <f>A918/COUNT('Lineal Mixto'!$C$5:$C$2004)</f>
      </c>
      <c r="D918" s="6" t="str">
        <f>ABS(C918-B918)</f>
      </c>
    </row>
    <row r="919">
      <c r="A919" s="5">
        <v>895</v>
      </c>
      <c r="B919" s="5" t="str">
        <f>SMALL('Lineal Mixto'!$C$5:$C$2004,A919)</f>
      </c>
      <c r="C919" s="5" t="str">
        <f>A919/COUNT('Lineal Mixto'!$C$5:$C$2004)</f>
      </c>
      <c r="D919" s="5" t="str">
        <f>ABS(C919-B919)</f>
      </c>
    </row>
    <row r="920">
      <c r="A920" s="6">
        <v>896</v>
      </c>
      <c r="B920" s="6" t="str">
        <f>SMALL('Lineal Mixto'!$C$5:$C$2004,A920)</f>
      </c>
      <c r="C920" s="6" t="str">
        <f>A920/COUNT('Lineal Mixto'!$C$5:$C$2004)</f>
      </c>
      <c r="D920" s="6" t="str">
        <f>ABS(C920-B920)</f>
      </c>
    </row>
    <row r="921">
      <c r="A921" s="5">
        <v>897</v>
      </c>
      <c r="B921" s="5" t="str">
        <f>SMALL('Lineal Mixto'!$C$5:$C$2004,A921)</f>
      </c>
      <c r="C921" s="5" t="str">
        <f>A921/COUNT('Lineal Mixto'!$C$5:$C$2004)</f>
      </c>
      <c r="D921" s="5" t="str">
        <f>ABS(C921-B921)</f>
      </c>
    </row>
    <row r="922">
      <c r="A922" s="6">
        <v>898</v>
      </c>
      <c r="B922" s="6" t="str">
        <f>SMALL('Lineal Mixto'!$C$5:$C$2004,A922)</f>
      </c>
      <c r="C922" s="6" t="str">
        <f>A922/COUNT('Lineal Mixto'!$C$5:$C$2004)</f>
      </c>
      <c r="D922" s="6" t="str">
        <f>ABS(C922-B922)</f>
      </c>
    </row>
    <row r="923">
      <c r="A923" s="5">
        <v>899</v>
      </c>
      <c r="B923" s="5" t="str">
        <f>SMALL('Lineal Mixto'!$C$5:$C$2004,A923)</f>
      </c>
      <c r="C923" s="5" t="str">
        <f>A923/COUNT('Lineal Mixto'!$C$5:$C$2004)</f>
      </c>
      <c r="D923" s="5" t="str">
        <f>ABS(C923-B923)</f>
      </c>
    </row>
    <row r="924">
      <c r="A924" s="6">
        <v>900</v>
      </c>
      <c r="B924" s="6" t="str">
        <f>SMALL('Lineal Mixto'!$C$5:$C$2004,A924)</f>
      </c>
      <c r="C924" s="6" t="str">
        <f>A924/COUNT('Lineal Mixto'!$C$5:$C$2004)</f>
      </c>
      <c r="D924" s="6" t="str">
        <f>ABS(C924-B924)</f>
      </c>
    </row>
    <row r="925">
      <c r="A925" s="5">
        <v>901</v>
      </c>
      <c r="B925" s="5" t="str">
        <f>SMALL('Lineal Mixto'!$C$5:$C$2004,A925)</f>
      </c>
      <c r="C925" s="5" t="str">
        <f>A925/COUNT('Lineal Mixto'!$C$5:$C$2004)</f>
      </c>
      <c r="D925" s="5" t="str">
        <f>ABS(C925-B925)</f>
      </c>
    </row>
    <row r="926">
      <c r="A926" s="6">
        <v>902</v>
      </c>
      <c r="B926" s="6" t="str">
        <f>SMALL('Lineal Mixto'!$C$5:$C$2004,A926)</f>
      </c>
      <c r="C926" s="6" t="str">
        <f>A926/COUNT('Lineal Mixto'!$C$5:$C$2004)</f>
      </c>
      <c r="D926" s="6" t="str">
        <f>ABS(C926-B926)</f>
      </c>
    </row>
    <row r="927">
      <c r="A927" s="5">
        <v>903</v>
      </c>
      <c r="B927" s="5" t="str">
        <f>SMALL('Lineal Mixto'!$C$5:$C$2004,A927)</f>
      </c>
      <c r="C927" s="5" t="str">
        <f>A927/COUNT('Lineal Mixto'!$C$5:$C$2004)</f>
      </c>
      <c r="D927" s="5" t="str">
        <f>ABS(C927-B927)</f>
      </c>
    </row>
    <row r="928">
      <c r="A928" s="6">
        <v>904</v>
      </c>
      <c r="B928" s="6" t="str">
        <f>SMALL('Lineal Mixto'!$C$5:$C$2004,A928)</f>
      </c>
      <c r="C928" s="6" t="str">
        <f>A928/COUNT('Lineal Mixto'!$C$5:$C$2004)</f>
      </c>
      <c r="D928" s="6" t="str">
        <f>ABS(C928-B928)</f>
      </c>
    </row>
    <row r="929">
      <c r="A929" s="5">
        <v>905</v>
      </c>
      <c r="B929" s="5" t="str">
        <f>SMALL('Lineal Mixto'!$C$5:$C$2004,A929)</f>
      </c>
      <c r="C929" s="5" t="str">
        <f>A929/COUNT('Lineal Mixto'!$C$5:$C$2004)</f>
      </c>
      <c r="D929" s="5" t="str">
        <f>ABS(C929-B929)</f>
      </c>
    </row>
    <row r="930">
      <c r="A930" s="6">
        <v>906</v>
      </c>
      <c r="B930" s="6" t="str">
        <f>SMALL('Lineal Mixto'!$C$5:$C$2004,A930)</f>
      </c>
      <c r="C930" s="6" t="str">
        <f>A930/COUNT('Lineal Mixto'!$C$5:$C$2004)</f>
      </c>
      <c r="D930" s="6" t="str">
        <f>ABS(C930-B930)</f>
      </c>
    </row>
    <row r="931">
      <c r="A931" s="5">
        <v>907</v>
      </c>
      <c r="B931" s="5" t="str">
        <f>SMALL('Lineal Mixto'!$C$5:$C$2004,A931)</f>
      </c>
      <c r="C931" s="5" t="str">
        <f>A931/COUNT('Lineal Mixto'!$C$5:$C$2004)</f>
      </c>
      <c r="D931" s="5" t="str">
        <f>ABS(C931-B931)</f>
      </c>
    </row>
    <row r="932">
      <c r="A932" s="6">
        <v>908</v>
      </c>
      <c r="B932" s="6" t="str">
        <f>SMALL('Lineal Mixto'!$C$5:$C$2004,A932)</f>
      </c>
      <c r="C932" s="6" t="str">
        <f>A932/COUNT('Lineal Mixto'!$C$5:$C$2004)</f>
      </c>
      <c r="D932" s="6" t="str">
        <f>ABS(C932-B932)</f>
      </c>
    </row>
    <row r="933">
      <c r="A933" s="5">
        <v>909</v>
      </c>
      <c r="B933" s="5" t="str">
        <f>SMALL('Lineal Mixto'!$C$5:$C$2004,A933)</f>
      </c>
      <c r="C933" s="5" t="str">
        <f>A933/COUNT('Lineal Mixto'!$C$5:$C$2004)</f>
      </c>
      <c r="D933" s="5" t="str">
        <f>ABS(C933-B933)</f>
      </c>
    </row>
    <row r="934">
      <c r="A934" s="6">
        <v>910</v>
      </c>
      <c r="B934" s="6" t="str">
        <f>SMALL('Lineal Mixto'!$C$5:$C$2004,A934)</f>
      </c>
      <c r="C934" s="6" t="str">
        <f>A934/COUNT('Lineal Mixto'!$C$5:$C$2004)</f>
      </c>
      <c r="D934" s="6" t="str">
        <f>ABS(C934-B934)</f>
      </c>
    </row>
    <row r="935">
      <c r="A935" s="5">
        <v>911</v>
      </c>
      <c r="B935" s="5" t="str">
        <f>SMALL('Lineal Mixto'!$C$5:$C$2004,A935)</f>
      </c>
      <c r="C935" s="5" t="str">
        <f>A935/COUNT('Lineal Mixto'!$C$5:$C$2004)</f>
      </c>
      <c r="D935" s="5" t="str">
        <f>ABS(C935-B935)</f>
      </c>
    </row>
    <row r="936">
      <c r="A936" s="6">
        <v>912</v>
      </c>
      <c r="B936" s="6" t="str">
        <f>SMALL('Lineal Mixto'!$C$5:$C$2004,A936)</f>
      </c>
      <c r="C936" s="6" t="str">
        <f>A936/COUNT('Lineal Mixto'!$C$5:$C$2004)</f>
      </c>
      <c r="D936" s="6" t="str">
        <f>ABS(C936-B936)</f>
      </c>
    </row>
    <row r="937">
      <c r="A937" s="5">
        <v>913</v>
      </c>
      <c r="B937" s="5" t="str">
        <f>SMALL('Lineal Mixto'!$C$5:$C$2004,A937)</f>
      </c>
      <c r="C937" s="5" t="str">
        <f>A937/COUNT('Lineal Mixto'!$C$5:$C$2004)</f>
      </c>
      <c r="D937" s="5" t="str">
        <f>ABS(C937-B937)</f>
      </c>
    </row>
    <row r="938">
      <c r="A938" s="6">
        <v>914</v>
      </c>
      <c r="B938" s="6" t="str">
        <f>SMALL('Lineal Mixto'!$C$5:$C$2004,A938)</f>
      </c>
      <c r="C938" s="6" t="str">
        <f>A938/COUNT('Lineal Mixto'!$C$5:$C$2004)</f>
      </c>
      <c r="D938" s="6" t="str">
        <f>ABS(C938-B938)</f>
      </c>
    </row>
    <row r="939">
      <c r="A939" s="5">
        <v>915</v>
      </c>
      <c r="B939" s="5" t="str">
        <f>SMALL('Lineal Mixto'!$C$5:$C$2004,A939)</f>
      </c>
      <c r="C939" s="5" t="str">
        <f>A939/COUNT('Lineal Mixto'!$C$5:$C$2004)</f>
      </c>
      <c r="D939" s="5" t="str">
        <f>ABS(C939-B939)</f>
      </c>
    </row>
    <row r="940">
      <c r="A940" s="6">
        <v>916</v>
      </c>
      <c r="B940" s="6" t="str">
        <f>SMALL('Lineal Mixto'!$C$5:$C$2004,A940)</f>
      </c>
      <c r="C940" s="6" t="str">
        <f>A940/COUNT('Lineal Mixto'!$C$5:$C$2004)</f>
      </c>
      <c r="D940" s="6" t="str">
        <f>ABS(C940-B940)</f>
      </c>
    </row>
    <row r="941">
      <c r="A941" s="5">
        <v>917</v>
      </c>
      <c r="B941" s="5" t="str">
        <f>SMALL('Lineal Mixto'!$C$5:$C$2004,A941)</f>
      </c>
      <c r="C941" s="5" t="str">
        <f>A941/COUNT('Lineal Mixto'!$C$5:$C$2004)</f>
      </c>
      <c r="D941" s="5" t="str">
        <f>ABS(C941-B941)</f>
      </c>
    </row>
    <row r="942">
      <c r="A942" s="6">
        <v>918</v>
      </c>
      <c r="B942" s="6" t="str">
        <f>SMALL('Lineal Mixto'!$C$5:$C$2004,A942)</f>
      </c>
      <c r="C942" s="6" t="str">
        <f>A942/COUNT('Lineal Mixto'!$C$5:$C$2004)</f>
      </c>
      <c r="D942" s="6" t="str">
        <f>ABS(C942-B942)</f>
      </c>
    </row>
    <row r="943">
      <c r="A943" s="5">
        <v>919</v>
      </c>
      <c r="B943" s="5" t="str">
        <f>SMALL('Lineal Mixto'!$C$5:$C$2004,A943)</f>
      </c>
      <c r="C943" s="5" t="str">
        <f>A943/COUNT('Lineal Mixto'!$C$5:$C$2004)</f>
      </c>
      <c r="D943" s="5" t="str">
        <f>ABS(C943-B943)</f>
      </c>
    </row>
    <row r="944">
      <c r="A944" s="6">
        <v>920</v>
      </c>
      <c r="B944" s="6" t="str">
        <f>SMALL('Lineal Mixto'!$C$5:$C$2004,A944)</f>
      </c>
      <c r="C944" s="6" t="str">
        <f>A944/COUNT('Lineal Mixto'!$C$5:$C$2004)</f>
      </c>
      <c r="D944" s="6" t="str">
        <f>ABS(C944-B944)</f>
      </c>
    </row>
    <row r="945">
      <c r="A945" s="5">
        <v>921</v>
      </c>
      <c r="B945" s="5" t="str">
        <f>SMALL('Lineal Mixto'!$C$5:$C$2004,A945)</f>
      </c>
      <c r="C945" s="5" t="str">
        <f>A945/COUNT('Lineal Mixto'!$C$5:$C$2004)</f>
      </c>
      <c r="D945" s="5" t="str">
        <f>ABS(C945-B945)</f>
      </c>
    </row>
    <row r="946">
      <c r="A946" s="6">
        <v>922</v>
      </c>
      <c r="B946" s="6" t="str">
        <f>SMALL('Lineal Mixto'!$C$5:$C$2004,A946)</f>
      </c>
      <c r="C946" s="6" t="str">
        <f>A946/COUNT('Lineal Mixto'!$C$5:$C$2004)</f>
      </c>
      <c r="D946" s="6" t="str">
        <f>ABS(C946-B946)</f>
      </c>
    </row>
    <row r="947">
      <c r="A947" s="5">
        <v>923</v>
      </c>
      <c r="B947" s="5" t="str">
        <f>SMALL('Lineal Mixto'!$C$5:$C$2004,A947)</f>
      </c>
      <c r="C947" s="5" t="str">
        <f>A947/COUNT('Lineal Mixto'!$C$5:$C$2004)</f>
      </c>
      <c r="D947" s="5" t="str">
        <f>ABS(C947-B947)</f>
      </c>
    </row>
    <row r="948">
      <c r="A948" s="6">
        <v>924</v>
      </c>
      <c r="B948" s="6" t="str">
        <f>SMALL('Lineal Mixto'!$C$5:$C$2004,A948)</f>
      </c>
      <c r="C948" s="6" t="str">
        <f>A948/COUNT('Lineal Mixto'!$C$5:$C$2004)</f>
      </c>
      <c r="D948" s="6" t="str">
        <f>ABS(C948-B948)</f>
      </c>
    </row>
    <row r="949">
      <c r="A949" s="5">
        <v>925</v>
      </c>
      <c r="B949" s="5" t="str">
        <f>SMALL('Lineal Mixto'!$C$5:$C$2004,A949)</f>
      </c>
      <c r="C949" s="5" t="str">
        <f>A949/COUNT('Lineal Mixto'!$C$5:$C$2004)</f>
      </c>
      <c r="D949" s="5" t="str">
        <f>ABS(C949-B949)</f>
      </c>
    </row>
    <row r="950">
      <c r="A950" s="6">
        <v>926</v>
      </c>
      <c r="B950" s="6" t="str">
        <f>SMALL('Lineal Mixto'!$C$5:$C$2004,A950)</f>
      </c>
      <c r="C950" s="6" t="str">
        <f>A950/COUNT('Lineal Mixto'!$C$5:$C$2004)</f>
      </c>
      <c r="D950" s="6" t="str">
        <f>ABS(C950-B950)</f>
      </c>
    </row>
    <row r="951">
      <c r="A951" s="5">
        <v>927</v>
      </c>
      <c r="B951" s="5" t="str">
        <f>SMALL('Lineal Mixto'!$C$5:$C$2004,A951)</f>
      </c>
      <c r="C951" s="5" t="str">
        <f>A951/COUNT('Lineal Mixto'!$C$5:$C$2004)</f>
      </c>
      <c r="D951" s="5" t="str">
        <f>ABS(C951-B951)</f>
      </c>
    </row>
    <row r="952">
      <c r="A952" s="6">
        <v>928</v>
      </c>
      <c r="B952" s="6" t="str">
        <f>SMALL('Lineal Mixto'!$C$5:$C$2004,A952)</f>
      </c>
      <c r="C952" s="6" t="str">
        <f>A952/COUNT('Lineal Mixto'!$C$5:$C$2004)</f>
      </c>
      <c r="D952" s="6" t="str">
        <f>ABS(C952-B952)</f>
      </c>
    </row>
    <row r="953">
      <c r="A953" s="5">
        <v>929</v>
      </c>
      <c r="B953" s="5" t="str">
        <f>SMALL('Lineal Mixto'!$C$5:$C$2004,A953)</f>
      </c>
      <c r="C953" s="5" t="str">
        <f>A953/COUNT('Lineal Mixto'!$C$5:$C$2004)</f>
      </c>
      <c r="D953" s="5" t="str">
        <f>ABS(C953-B953)</f>
      </c>
    </row>
    <row r="954">
      <c r="A954" s="6">
        <v>930</v>
      </c>
      <c r="B954" s="6" t="str">
        <f>SMALL('Lineal Mixto'!$C$5:$C$2004,A954)</f>
      </c>
      <c r="C954" s="6" t="str">
        <f>A954/COUNT('Lineal Mixto'!$C$5:$C$2004)</f>
      </c>
      <c r="D954" s="6" t="str">
        <f>ABS(C954-B954)</f>
      </c>
    </row>
    <row r="955">
      <c r="A955" s="5">
        <v>931</v>
      </c>
      <c r="B955" s="5" t="str">
        <f>SMALL('Lineal Mixto'!$C$5:$C$2004,A955)</f>
      </c>
      <c r="C955" s="5" t="str">
        <f>A955/COUNT('Lineal Mixto'!$C$5:$C$2004)</f>
      </c>
      <c r="D955" s="5" t="str">
        <f>ABS(C955-B955)</f>
      </c>
    </row>
    <row r="956">
      <c r="A956" s="6">
        <v>932</v>
      </c>
      <c r="B956" s="6" t="str">
        <f>SMALL('Lineal Mixto'!$C$5:$C$2004,A956)</f>
      </c>
      <c r="C956" s="6" t="str">
        <f>A956/COUNT('Lineal Mixto'!$C$5:$C$2004)</f>
      </c>
      <c r="D956" s="6" t="str">
        <f>ABS(C956-B956)</f>
      </c>
    </row>
    <row r="957">
      <c r="A957" s="5">
        <v>933</v>
      </c>
      <c r="B957" s="5" t="str">
        <f>SMALL('Lineal Mixto'!$C$5:$C$2004,A957)</f>
      </c>
      <c r="C957" s="5" t="str">
        <f>A957/COUNT('Lineal Mixto'!$C$5:$C$2004)</f>
      </c>
      <c r="D957" s="5" t="str">
        <f>ABS(C957-B957)</f>
      </c>
    </row>
    <row r="958">
      <c r="A958" s="6">
        <v>934</v>
      </c>
      <c r="B958" s="6" t="str">
        <f>SMALL('Lineal Mixto'!$C$5:$C$2004,A958)</f>
      </c>
      <c r="C958" s="6" t="str">
        <f>A958/COUNT('Lineal Mixto'!$C$5:$C$2004)</f>
      </c>
      <c r="D958" s="6" t="str">
        <f>ABS(C958-B958)</f>
      </c>
    </row>
    <row r="959">
      <c r="A959" s="5">
        <v>935</v>
      </c>
      <c r="B959" s="5" t="str">
        <f>SMALL('Lineal Mixto'!$C$5:$C$2004,A959)</f>
      </c>
      <c r="C959" s="5" t="str">
        <f>A959/COUNT('Lineal Mixto'!$C$5:$C$2004)</f>
      </c>
      <c r="D959" s="5" t="str">
        <f>ABS(C959-B959)</f>
      </c>
    </row>
    <row r="960">
      <c r="A960" s="6">
        <v>936</v>
      </c>
      <c r="B960" s="6" t="str">
        <f>SMALL('Lineal Mixto'!$C$5:$C$2004,A960)</f>
      </c>
      <c r="C960" s="6" t="str">
        <f>A960/COUNT('Lineal Mixto'!$C$5:$C$2004)</f>
      </c>
      <c r="D960" s="6" t="str">
        <f>ABS(C960-B960)</f>
      </c>
    </row>
    <row r="961">
      <c r="A961" s="5">
        <v>937</v>
      </c>
      <c r="B961" s="5" t="str">
        <f>SMALL('Lineal Mixto'!$C$5:$C$2004,A961)</f>
      </c>
      <c r="C961" s="5" t="str">
        <f>A961/COUNT('Lineal Mixto'!$C$5:$C$2004)</f>
      </c>
      <c r="D961" s="5" t="str">
        <f>ABS(C961-B961)</f>
      </c>
    </row>
    <row r="962">
      <c r="A962" s="6">
        <v>938</v>
      </c>
      <c r="B962" s="6" t="str">
        <f>SMALL('Lineal Mixto'!$C$5:$C$2004,A962)</f>
      </c>
      <c r="C962" s="6" t="str">
        <f>A962/COUNT('Lineal Mixto'!$C$5:$C$2004)</f>
      </c>
      <c r="D962" s="6" t="str">
        <f>ABS(C962-B962)</f>
      </c>
    </row>
    <row r="963">
      <c r="A963" s="5">
        <v>939</v>
      </c>
      <c r="B963" s="5" t="str">
        <f>SMALL('Lineal Mixto'!$C$5:$C$2004,A963)</f>
      </c>
      <c r="C963" s="5" t="str">
        <f>A963/COUNT('Lineal Mixto'!$C$5:$C$2004)</f>
      </c>
      <c r="D963" s="5" t="str">
        <f>ABS(C963-B963)</f>
      </c>
    </row>
    <row r="964">
      <c r="A964" s="6">
        <v>940</v>
      </c>
      <c r="B964" s="6" t="str">
        <f>SMALL('Lineal Mixto'!$C$5:$C$2004,A964)</f>
      </c>
      <c r="C964" s="6" t="str">
        <f>A964/COUNT('Lineal Mixto'!$C$5:$C$2004)</f>
      </c>
      <c r="D964" s="6" t="str">
        <f>ABS(C964-B964)</f>
      </c>
    </row>
    <row r="965">
      <c r="A965" s="5">
        <v>941</v>
      </c>
      <c r="B965" s="5" t="str">
        <f>SMALL('Lineal Mixto'!$C$5:$C$2004,A965)</f>
      </c>
      <c r="C965" s="5" t="str">
        <f>A965/COUNT('Lineal Mixto'!$C$5:$C$2004)</f>
      </c>
      <c r="D965" s="5" t="str">
        <f>ABS(C965-B965)</f>
      </c>
    </row>
    <row r="966">
      <c r="A966" s="6">
        <v>942</v>
      </c>
      <c r="B966" s="6" t="str">
        <f>SMALL('Lineal Mixto'!$C$5:$C$2004,A966)</f>
      </c>
      <c r="C966" s="6" t="str">
        <f>A966/COUNT('Lineal Mixto'!$C$5:$C$2004)</f>
      </c>
      <c r="D966" s="6" t="str">
        <f>ABS(C966-B966)</f>
      </c>
    </row>
    <row r="967">
      <c r="A967" s="5">
        <v>943</v>
      </c>
      <c r="B967" s="5" t="str">
        <f>SMALL('Lineal Mixto'!$C$5:$C$2004,A967)</f>
      </c>
      <c r="C967" s="5" t="str">
        <f>A967/COUNT('Lineal Mixto'!$C$5:$C$2004)</f>
      </c>
      <c r="D967" s="5" t="str">
        <f>ABS(C967-B967)</f>
      </c>
    </row>
    <row r="968">
      <c r="A968" s="6">
        <v>944</v>
      </c>
      <c r="B968" s="6" t="str">
        <f>SMALL('Lineal Mixto'!$C$5:$C$2004,A968)</f>
      </c>
      <c r="C968" s="6" t="str">
        <f>A968/COUNT('Lineal Mixto'!$C$5:$C$2004)</f>
      </c>
      <c r="D968" s="6" t="str">
        <f>ABS(C968-B968)</f>
      </c>
    </row>
    <row r="969">
      <c r="A969" s="5">
        <v>945</v>
      </c>
      <c r="B969" s="5" t="str">
        <f>SMALL('Lineal Mixto'!$C$5:$C$2004,A969)</f>
      </c>
      <c r="C969" s="5" t="str">
        <f>A969/COUNT('Lineal Mixto'!$C$5:$C$2004)</f>
      </c>
      <c r="D969" s="5" t="str">
        <f>ABS(C969-B969)</f>
      </c>
    </row>
    <row r="970">
      <c r="A970" s="6">
        <v>946</v>
      </c>
      <c r="B970" s="6" t="str">
        <f>SMALL('Lineal Mixto'!$C$5:$C$2004,A970)</f>
      </c>
      <c r="C970" s="6" t="str">
        <f>A970/COUNT('Lineal Mixto'!$C$5:$C$2004)</f>
      </c>
      <c r="D970" s="6" t="str">
        <f>ABS(C970-B970)</f>
      </c>
    </row>
    <row r="971">
      <c r="A971" s="5">
        <v>947</v>
      </c>
      <c r="B971" s="5" t="str">
        <f>SMALL('Lineal Mixto'!$C$5:$C$2004,A971)</f>
      </c>
      <c r="C971" s="5" t="str">
        <f>A971/COUNT('Lineal Mixto'!$C$5:$C$2004)</f>
      </c>
      <c r="D971" s="5" t="str">
        <f>ABS(C971-B971)</f>
      </c>
    </row>
    <row r="972">
      <c r="A972" s="6">
        <v>948</v>
      </c>
      <c r="B972" s="6" t="str">
        <f>SMALL('Lineal Mixto'!$C$5:$C$2004,A972)</f>
      </c>
      <c r="C972" s="6" t="str">
        <f>A972/COUNT('Lineal Mixto'!$C$5:$C$2004)</f>
      </c>
      <c r="D972" s="6" t="str">
        <f>ABS(C972-B972)</f>
      </c>
    </row>
    <row r="973">
      <c r="A973" s="5">
        <v>949</v>
      </c>
      <c r="B973" s="5" t="str">
        <f>SMALL('Lineal Mixto'!$C$5:$C$2004,A973)</f>
      </c>
      <c r="C973" s="5" t="str">
        <f>A973/COUNT('Lineal Mixto'!$C$5:$C$2004)</f>
      </c>
      <c r="D973" s="5" t="str">
        <f>ABS(C973-B973)</f>
      </c>
    </row>
    <row r="974">
      <c r="A974" s="6">
        <v>950</v>
      </c>
      <c r="B974" s="6" t="str">
        <f>SMALL('Lineal Mixto'!$C$5:$C$2004,A974)</f>
      </c>
      <c r="C974" s="6" t="str">
        <f>A974/COUNT('Lineal Mixto'!$C$5:$C$2004)</f>
      </c>
      <c r="D974" s="6" t="str">
        <f>ABS(C974-B974)</f>
      </c>
    </row>
    <row r="975">
      <c r="A975" s="5">
        <v>951</v>
      </c>
      <c r="B975" s="5" t="str">
        <f>SMALL('Lineal Mixto'!$C$5:$C$2004,A975)</f>
      </c>
      <c r="C975" s="5" t="str">
        <f>A975/COUNT('Lineal Mixto'!$C$5:$C$2004)</f>
      </c>
      <c r="D975" s="5" t="str">
        <f>ABS(C975-B975)</f>
      </c>
    </row>
    <row r="976">
      <c r="A976" s="6">
        <v>952</v>
      </c>
      <c r="B976" s="6" t="str">
        <f>SMALL('Lineal Mixto'!$C$5:$C$2004,A976)</f>
      </c>
      <c r="C976" s="6" t="str">
        <f>A976/COUNT('Lineal Mixto'!$C$5:$C$2004)</f>
      </c>
      <c r="D976" s="6" t="str">
        <f>ABS(C976-B976)</f>
      </c>
    </row>
    <row r="977">
      <c r="A977" s="5">
        <v>953</v>
      </c>
      <c r="B977" s="5" t="str">
        <f>SMALL('Lineal Mixto'!$C$5:$C$2004,A977)</f>
      </c>
      <c r="C977" s="5" t="str">
        <f>A977/COUNT('Lineal Mixto'!$C$5:$C$2004)</f>
      </c>
      <c r="D977" s="5" t="str">
        <f>ABS(C977-B977)</f>
      </c>
    </row>
    <row r="978">
      <c r="A978" s="6">
        <v>954</v>
      </c>
      <c r="B978" s="6" t="str">
        <f>SMALL('Lineal Mixto'!$C$5:$C$2004,A978)</f>
      </c>
      <c r="C978" s="6" t="str">
        <f>A978/COUNT('Lineal Mixto'!$C$5:$C$2004)</f>
      </c>
      <c r="D978" s="6" t="str">
        <f>ABS(C978-B978)</f>
      </c>
    </row>
    <row r="979">
      <c r="A979" s="5">
        <v>955</v>
      </c>
      <c r="B979" s="5" t="str">
        <f>SMALL('Lineal Mixto'!$C$5:$C$2004,A979)</f>
      </c>
      <c r="C979" s="5" t="str">
        <f>A979/COUNT('Lineal Mixto'!$C$5:$C$2004)</f>
      </c>
      <c r="D979" s="5" t="str">
        <f>ABS(C979-B979)</f>
      </c>
    </row>
    <row r="980">
      <c r="A980" s="6">
        <v>956</v>
      </c>
      <c r="B980" s="6" t="str">
        <f>SMALL('Lineal Mixto'!$C$5:$C$2004,A980)</f>
      </c>
      <c r="C980" s="6" t="str">
        <f>A980/COUNT('Lineal Mixto'!$C$5:$C$2004)</f>
      </c>
      <c r="D980" s="6" t="str">
        <f>ABS(C980-B980)</f>
      </c>
    </row>
    <row r="981">
      <c r="A981" s="5">
        <v>957</v>
      </c>
      <c r="B981" s="5" t="str">
        <f>SMALL('Lineal Mixto'!$C$5:$C$2004,A981)</f>
      </c>
      <c r="C981" s="5" t="str">
        <f>A981/COUNT('Lineal Mixto'!$C$5:$C$2004)</f>
      </c>
      <c r="D981" s="5" t="str">
        <f>ABS(C981-B981)</f>
      </c>
    </row>
    <row r="982">
      <c r="A982" s="6">
        <v>958</v>
      </c>
      <c r="B982" s="6" t="str">
        <f>SMALL('Lineal Mixto'!$C$5:$C$2004,A982)</f>
      </c>
      <c r="C982" s="6" t="str">
        <f>A982/COUNT('Lineal Mixto'!$C$5:$C$2004)</f>
      </c>
      <c r="D982" s="6" t="str">
        <f>ABS(C982-B982)</f>
      </c>
    </row>
    <row r="983">
      <c r="A983" s="5">
        <v>959</v>
      </c>
      <c r="B983" s="5" t="str">
        <f>SMALL('Lineal Mixto'!$C$5:$C$2004,A983)</f>
      </c>
      <c r="C983" s="5" t="str">
        <f>A983/COUNT('Lineal Mixto'!$C$5:$C$2004)</f>
      </c>
      <c r="D983" s="5" t="str">
        <f>ABS(C983-B983)</f>
      </c>
    </row>
    <row r="984">
      <c r="A984" s="6">
        <v>960</v>
      </c>
      <c r="B984" s="6" t="str">
        <f>SMALL('Lineal Mixto'!$C$5:$C$2004,A984)</f>
      </c>
      <c r="C984" s="6" t="str">
        <f>A984/COUNT('Lineal Mixto'!$C$5:$C$2004)</f>
      </c>
      <c r="D984" s="6" t="str">
        <f>ABS(C984-B984)</f>
      </c>
    </row>
    <row r="985">
      <c r="A985" s="5">
        <v>961</v>
      </c>
      <c r="B985" s="5" t="str">
        <f>SMALL('Lineal Mixto'!$C$5:$C$2004,A985)</f>
      </c>
      <c r="C985" s="5" t="str">
        <f>A985/COUNT('Lineal Mixto'!$C$5:$C$2004)</f>
      </c>
      <c r="D985" s="5" t="str">
        <f>ABS(C985-B985)</f>
      </c>
    </row>
    <row r="986">
      <c r="A986" s="6">
        <v>962</v>
      </c>
      <c r="B986" s="6" t="str">
        <f>SMALL('Lineal Mixto'!$C$5:$C$2004,A986)</f>
      </c>
      <c r="C986" s="6" t="str">
        <f>A986/COUNT('Lineal Mixto'!$C$5:$C$2004)</f>
      </c>
      <c r="D986" s="6" t="str">
        <f>ABS(C986-B986)</f>
      </c>
    </row>
    <row r="987">
      <c r="A987" s="5">
        <v>963</v>
      </c>
      <c r="B987" s="5" t="str">
        <f>SMALL('Lineal Mixto'!$C$5:$C$2004,A987)</f>
      </c>
      <c r="C987" s="5" t="str">
        <f>A987/COUNT('Lineal Mixto'!$C$5:$C$2004)</f>
      </c>
      <c r="D987" s="5" t="str">
        <f>ABS(C987-B987)</f>
      </c>
    </row>
    <row r="988">
      <c r="A988" s="6">
        <v>964</v>
      </c>
      <c r="B988" s="6" t="str">
        <f>SMALL('Lineal Mixto'!$C$5:$C$2004,A988)</f>
      </c>
      <c r="C988" s="6" t="str">
        <f>A988/COUNT('Lineal Mixto'!$C$5:$C$2004)</f>
      </c>
      <c r="D988" s="6" t="str">
        <f>ABS(C988-B988)</f>
      </c>
    </row>
    <row r="989">
      <c r="A989" s="5">
        <v>965</v>
      </c>
      <c r="B989" s="5" t="str">
        <f>SMALL('Lineal Mixto'!$C$5:$C$2004,A989)</f>
      </c>
      <c r="C989" s="5" t="str">
        <f>A989/COUNT('Lineal Mixto'!$C$5:$C$2004)</f>
      </c>
      <c r="D989" s="5" t="str">
        <f>ABS(C989-B989)</f>
      </c>
    </row>
    <row r="990">
      <c r="A990" s="6">
        <v>966</v>
      </c>
      <c r="B990" s="6" t="str">
        <f>SMALL('Lineal Mixto'!$C$5:$C$2004,A990)</f>
      </c>
      <c r="C990" s="6" t="str">
        <f>A990/COUNT('Lineal Mixto'!$C$5:$C$2004)</f>
      </c>
      <c r="D990" s="6" t="str">
        <f>ABS(C990-B990)</f>
      </c>
    </row>
    <row r="991">
      <c r="A991" s="5">
        <v>967</v>
      </c>
      <c r="B991" s="5" t="str">
        <f>SMALL('Lineal Mixto'!$C$5:$C$2004,A991)</f>
      </c>
      <c r="C991" s="5" t="str">
        <f>A991/COUNT('Lineal Mixto'!$C$5:$C$2004)</f>
      </c>
      <c r="D991" s="5" t="str">
        <f>ABS(C991-B991)</f>
      </c>
    </row>
    <row r="992">
      <c r="A992" s="6">
        <v>968</v>
      </c>
      <c r="B992" s="6" t="str">
        <f>SMALL('Lineal Mixto'!$C$5:$C$2004,A992)</f>
      </c>
      <c r="C992" s="6" t="str">
        <f>A992/COUNT('Lineal Mixto'!$C$5:$C$2004)</f>
      </c>
      <c r="D992" s="6" t="str">
        <f>ABS(C992-B992)</f>
      </c>
    </row>
    <row r="993">
      <c r="A993" s="5">
        <v>969</v>
      </c>
      <c r="B993" s="5" t="str">
        <f>SMALL('Lineal Mixto'!$C$5:$C$2004,A993)</f>
      </c>
      <c r="C993" s="5" t="str">
        <f>A993/COUNT('Lineal Mixto'!$C$5:$C$2004)</f>
      </c>
      <c r="D993" s="5" t="str">
        <f>ABS(C993-B993)</f>
      </c>
    </row>
    <row r="994">
      <c r="A994" s="6">
        <v>970</v>
      </c>
      <c r="B994" s="6" t="str">
        <f>SMALL('Lineal Mixto'!$C$5:$C$2004,A994)</f>
      </c>
      <c r="C994" s="6" t="str">
        <f>A994/COUNT('Lineal Mixto'!$C$5:$C$2004)</f>
      </c>
      <c r="D994" s="6" t="str">
        <f>ABS(C994-B994)</f>
      </c>
    </row>
    <row r="995">
      <c r="A995" s="5">
        <v>971</v>
      </c>
      <c r="B995" s="5" t="str">
        <f>SMALL('Lineal Mixto'!$C$5:$C$2004,A995)</f>
      </c>
      <c r="C995" s="5" t="str">
        <f>A995/COUNT('Lineal Mixto'!$C$5:$C$2004)</f>
      </c>
      <c r="D995" s="5" t="str">
        <f>ABS(C995-B995)</f>
      </c>
    </row>
    <row r="996">
      <c r="A996" s="6">
        <v>972</v>
      </c>
      <c r="B996" s="6" t="str">
        <f>SMALL('Lineal Mixto'!$C$5:$C$2004,A996)</f>
      </c>
      <c r="C996" s="6" t="str">
        <f>A996/COUNT('Lineal Mixto'!$C$5:$C$2004)</f>
      </c>
      <c r="D996" s="6" t="str">
        <f>ABS(C996-B996)</f>
      </c>
    </row>
    <row r="997">
      <c r="A997" s="5">
        <v>973</v>
      </c>
      <c r="B997" s="5" t="str">
        <f>SMALL('Lineal Mixto'!$C$5:$C$2004,A997)</f>
      </c>
      <c r="C997" s="5" t="str">
        <f>A997/COUNT('Lineal Mixto'!$C$5:$C$2004)</f>
      </c>
      <c r="D997" s="5" t="str">
        <f>ABS(C997-B997)</f>
      </c>
    </row>
    <row r="998">
      <c r="A998" s="6">
        <v>974</v>
      </c>
      <c r="B998" s="6" t="str">
        <f>SMALL('Lineal Mixto'!$C$5:$C$2004,A998)</f>
      </c>
      <c r="C998" s="6" t="str">
        <f>A998/COUNT('Lineal Mixto'!$C$5:$C$2004)</f>
      </c>
      <c r="D998" s="6" t="str">
        <f>ABS(C998-B998)</f>
      </c>
    </row>
    <row r="999">
      <c r="A999" s="5">
        <v>975</v>
      </c>
      <c r="B999" s="5" t="str">
        <f>SMALL('Lineal Mixto'!$C$5:$C$2004,A999)</f>
      </c>
      <c r="C999" s="5" t="str">
        <f>A999/COUNT('Lineal Mixto'!$C$5:$C$2004)</f>
      </c>
      <c r="D999" s="5" t="str">
        <f>ABS(C999-B999)</f>
      </c>
    </row>
    <row r="1000">
      <c r="A1000" s="6">
        <v>976</v>
      </c>
      <c r="B1000" s="6" t="str">
        <f>SMALL('Lineal Mixto'!$C$5:$C$2004,A1000)</f>
      </c>
      <c r="C1000" s="6" t="str">
        <f>A1000/COUNT('Lineal Mixto'!$C$5:$C$2004)</f>
      </c>
      <c r="D1000" s="6" t="str">
        <f>ABS(C1000-B1000)</f>
      </c>
    </row>
    <row r="1001">
      <c r="A1001" s="5">
        <v>977</v>
      </c>
      <c r="B1001" s="5" t="str">
        <f>SMALL('Lineal Mixto'!$C$5:$C$2004,A1001)</f>
      </c>
      <c r="C1001" s="5" t="str">
        <f>A1001/COUNT('Lineal Mixto'!$C$5:$C$2004)</f>
      </c>
      <c r="D1001" s="5" t="str">
        <f>ABS(C1001-B1001)</f>
      </c>
    </row>
    <row r="1002">
      <c r="A1002" s="6">
        <v>978</v>
      </c>
      <c r="B1002" s="6" t="str">
        <f>SMALL('Lineal Mixto'!$C$5:$C$2004,A1002)</f>
      </c>
      <c r="C1002" s="6" t="str">
        <f>A1002/COUNT('Lineal Mixto'!$C$5:$C$2004)</f>
      </c>
      <c r="D1002" s="6" t="str">
        <f>ABS(C1002-B1002)</f>
      </c>
    </row>
    <row r="1003">
      <c r="A1003" s="5">
        <v>979</v>
      </c>
      <c r="B1003" s="5" t="str">
        <f>SMALL('Lineal Mixto'!$C$5:$C$2004,A1003)</f>
      </c>
      <c r="C1003" s="5" t="str">
        <f>A1003/COUNT('Lineal Mixto'!$C$5:$C$2004)</f>
      </c>
      <c r="D1003" s="5" t="str">
        <f>ABS(C1003-B1003)</f>
      </c>
    </row>
    <row r="1004">
      <c r="A1004" s="6">
        <v>980</v>
      </c>
      <c r="B1004" s="6" t="str">
        <f>SMALL('Lineal Mixto'!$C$5:$C$2004,A1004)</f>
      </c>
      <c r="C1004" s="6" t="str">
        <f>A1004/COUNT('Lineal Mixto'!$C$5:$C$2004)</f>
      </c>
      <c r="D1004" s="6" t="str">
        <f>ABS(C1004-B1004)</f>
      </c>
    </row>
    <row r="1005">
      <c r="A1005" s="5">
        <v>981</v>
      </c>
      <c r="B1005" s="5" t="str">
        <f>SMALL('Lineal Mixto'!$C$5:$C$2004,A1005)</f>
      </c>
      <c r="C1005" s="5" t="str">
        <f>A1005/COUNT('Lineal Mixto'!$C$5:$C$2004)</f>
      </c>
      <c r="D1005" s="5" t="str">
        <f>ABS(C1005-B1005)</f>
      </c>
    </row>
    <row r="1006">
      <c r="A1006" s="6">
        <v>982</v>
      </c>
      <c r="B1006" s="6" t="str">
        <f>SMALL('Lineal Mixto'!$C$5:$C$2004,A1006)</f>
      </c>
      <c r="C1006" s="6" t="str">
        <f>A1006/COUNT('Lineal Mixto'!$C$5:$C$2004)</f>
      </c>
      <c r="D1006" s="6" t="str">
        <f>ABS(C1006-B1006)</f>
      </c>
    </row>
    <row r="1007">
      <c r="A1007" s="5">
        <v>983</v>
      </c>
      <c r="B1007" s="5" t="str">
        <f>SMALL('Lineal Mixto'!$C$5:$C$2004,A1007)</f>
      </c>
      <c r="C1007" s="5" t="str">
        <f>A1007/COUNT('Lineal Mixto'!$C$5:$C$2004)</f>
      </c>
      <c r="D1007" s="5" t="str">
        <f>ABS(C1007-B1007)</f>
      </c>
    </row>
    <row r="1008">
      <c r="A1008" s="6">
        <v>984</v>
      </c>
      <c r="B1008" s="6" t="str">
        <f>SMALL('Lineal Mixto'!$C$5:$C$2004,A1008)</f>
      </c>
      <c r="C1008" s="6" t="str">
        <f>A1008/COUNT('Lineal Mixto'!$C$5:$C$2004)</f>
      </c>
      <c r="D1008" s="6" t="str">
        <f>ABS(C1008-B1008)</f>
      </c>
    </row>
    <row r="1009">
      <c r="A1009" s="5">
        <v>985</v>
      </c>
      <c r="B1009" s="5" t="str">
        <f>SMALL('Lineal Mixto'!$C$5:$C$2004,A1009)</f>
      </c>
      <c r="C1009" s="5" t="str">
        <f>A1009/COUNT('Lineal Mixto'!$C$5:$C$2004)</f>
      </c>
      <c r="D1009" s="5" t="str">
        <f>ABS(C1009-B1009)</f>
      </c>
    </row>
    <row r="1010">
      <c r="A1010" s="6">
        <v>986</v>
      </c>
      <c r="B1010" s="6" t="str">
        <f>SMALL('Lineal Mixto'!$C$5:$C$2004,A1010)</f>
      </c>
      <c r="C1010" s="6" t="str">
        <f>A1010/COUNT('Lineal Mixto'!$C$5:$C$2004)</f>
      </c>
      <c r="D1010" s="6" t="str">
        <f>ABS(C1010-B1010)</f>
      </c>
    </row>
    <row r="1011">
      <c r="A1011" s="5">
        <v>987</v>
      </c>
      <c r="B1011" s="5" t="str">
        <f>SMALL('Lineal Mixto'!$C$5:$C$2004,A1011)</f>
      </c>
      <c r="C1011" s="5" t="str">
        <f>A1011/COUNT('Lineal Mixto'!$C$5:$C$2004)</f>
      </c>
      <c r="D1011" s="5" t="str">
        <f>ABS(C1011-B1011)</f>
      </c>
    </row>
    <row r="1012">
      <c r="A1012" s="6">
        <v>988</v>
      </c>
      <c r="B1012" s="6" t="str">
        <f>SMALL('Lineal Mixto'!$C$5:$C$2004,A1012)</f>
      </c>
      <c r="C1012" s="6" t="str">
        <f>A1012/COUNT('Lineal Mixto'!$C$5:$C$2004)</f>
      </c>
      <c r="D1012" s="6" t="str">
        <f>ABS(C1012-B1012)</f>
      </c>
    </row>
    <row r="1013">
      <c r="A1013" s="5">
        <v>989</v>
      </c>
      <c r="B1013" s="5" t="str">
        <f>SMALL('Lineal Mixto'!$C$5:$C$2004,A1013)</f>
      </c>
      <c r="C1013" s="5" t="str">
        <f>A1013/COUNT('Lineal Mixto'!$C$5:$C$2004)</f>
      </c>
      <c r="D1013" s="5" t="str">
        <f>ABS(C1013-B1013)</f>
      </c>
    </row>
    <row r="1014">
      <c r="A1014" s="6">
        <v>990</v>
      </c>
      <c r="B1014" s="6" t="str">
        <f>SMALL('Lineal Mixto'!$C$5:$C$2004,A1014)</f>
      </c>
      <c r="C1014" s="6" t="str">
        <f>A1014/COUNT('Lineal Mixto'!$C$5:$C$2004)</f>
      </c>
      <c r="D1014" s="6" t="str">
        <f>ABS(C1014-B1014)</f>
      </c>
    </row>
    <row r="1015">
      <c r="A1015" s="5">
        <v>991</v>
      </c>
      <c r="B1015" s="5" t="str">
        <f>SMALL('Lineal Mixto'!$C$5:$C$2004,A1015)</f>
      </c>
      <c r="C1015" s="5" t="str">
        <f>A1015/COUNT('Lineal Mixto'!$C$5:$C$2004)</f>
      </c>
      <c r="D1015" s="5" t="str">
        <f>ABS(C1015-B1015)</f>
      </c>
    </row>
    <row r="1016">
      <c r="A1016" s="6">
        <v>992</v>
      </c>
      <c r="B1016" s="6" t="str">
        <f>SMALL('Lineal Mixto'!$C$5:$C$2004,A1016)</f>
      </c>
      <c r="C1016" s="6" t="str">
        <f>A1016/COUNT('Lineal Mixto'!$C$5:$C$2004)</f>
      </c>
      <c r="D1016" s="6" t="str">
        <f>ABS(C1016-B1016)</f>
      </c>
    </row>
    <row r="1017">
      <c r="A1017" s="5">
        <v>993</v>
      </c>
      <c r="B1017" s="5" t="str">
        <f>SMALL('Lineal Mixto'!$C$5:$C$2004,A1017)</f>
      </c>
      <c r="C1017" s="5" t="str">
        <f>A1017/COUNT('Lineal Mixto'!$C$5:$C$2004)</f>
      </c>
      <c r="D1017" s="5" t="str">
        <f>ABS(C1017-B1017)</f>
      </c>
    </row>
    <row r="1018">
      <c r="A1018" s="6">
        <v>994</v>
      </c>
      <c r="B1018" s="6" t="str">
        <f>SMALL('Lineal Mixto'!$C$5:$C$2004,A1018)</f>
      </c>
      <c r="C1018" s="6" t="str">
        <f>A1018/COUNT('Lineal Mixto'!$C$5:$C$2004)</f>
      </c>
      <c r="D1018" s="6" t="str">
        <f>ABS(C1018-B1018)</f>
      </c>
    </row>
    <row r="1019">
      <c r="A1019" s="5">
        <v>995</v>
      </c>
      <c r="B1019" s="5" t="str">
        <f>SMALL('Lineal Mixto'!$C$5:$C$2004,A1019)</f>
      </c>
      <c r="C1019" s="5" t="str">
        <f>A1019/COUNT('Lineal Mixto'!$C$5:$C$2004)</f>
      </c>
      <c r="D1019" s="5" t="str">
        <f>ABS(C1019-B1019)</f>
      </c>
    </row>
    <row r="1020">
      <c r="A1020" s="6">
        <v>996</v>
      </c>
      <c r="B1020" s="6" t="str">
        <f>SMALL('Lineal Mixto'!$C$5:$C$2004,A1020)</f>
      </c>
      <c r="C1020" s="6" t="str">
        <f>A1020/COUNT('Lineal Mixto'!$C$5:$C$2004)</f>
      </c>
      <c r="D1020" s="6" t="str">
        <f>ABS(C1020-B1020)</f>
      </c>
    </row>
    <row r="1021">
      <c r="A1021" s="5">
        <v>997</v>
      </c>
      <c r="B1021" s="5" t="str">
        <f>SMALL('Lineal Mixto'!$C$5:$C$2004,A1021)</f>
      </c>
      <c r="C1021" s="5" t="str">
        <f>A1021/COUNT('Lineal Mixto'!$C$5:$C$2004)</f>
      </c>
      <c r="D1021" s="5" t="str">
        <f>ABS(C1021-B1021)</f>
      </c>
    </row>
    <row r="1022">
      <c r="A1022" s="6">
        <v>998</v>
      </c>
      <c r="B1022" s="6" t="str">
        <f>SMALL('Lineal Mixto'!$C$5:$C$2004,A1022)</f>
      </c>
      <c r="C1022" s="6" t="str">
        <f>A1022/COUNT('Lineal Mixto'!$C$5:$C$2004)</f>
      </c>
      <c r="D1022" s="6" t="str">
        <f>ABS(C1022-B1022)</f>
      </c>
    </row>
    <row r="1023">
      <c r="A1023" s="5">
        <v>999</v>
      </c>
      <c r="B1023" s="5" t="str">
        <f>SMALL('Lineal Mixto'!$C$5:$C$2004,A1023)</f>
      </c>
      <c r="C1023" s="5" t="str">
        <f>A1023/COUNT('Lineal Mixto'!$C$5:$C$2004)</f>
      </c>
      <c r="D1023" s="5" t="str">
        <f>ABS(C1023-B1023)</f>
      </c>
    </row>
    <row r="1024">
      <c r="A1024" s="6">
        <v>1000</v>
      </c>
      <c r="B1024" s="6" t="str">
        <f>SMALL('Lineal Mixto'!$C$5:$C$2004,A1024)</f>
      </c>
      <c r="C1024" s="6" t="str">
        <f>A1024/COUNT('Lineal Mixto'!$C$5:$C$2004)</f>
      </c>
      <c r="D1024" s="6" t="str">
        <f>ABS(C1024-B1024)</f>
      </c>
    </row>
    <row r="1025">
      <c r="A1025" s="5">
        <v>1001</v>
      </c>
      <c r="B1025" s="5" t="str">
        <f>SMALL('Lineal Mixto'!$C$5:$C$2004,A1025)</f>
      </c>
      <c r="C1025" s="5" t="str">
        <f>A1025/COUNT('Lineal Mixto'!$C$5:$C$2004)</f>
      </c>
      <c r="D1025" s="5" t="str">
        <f>ABS(C1025-B1025)</f>
      </c>
    </row>
    <row r="1026">
      <c r="A1026" s="6">
        <v>1002</v>
      </c>
      <c r="B1026" s="6" t="str">
        <f>SMALL('Lineal Mixto'!$C$5:$C$2004,A1026)</f>
      </c>
      <c r="C1026" s="6" t="str">
        <f>A1026/COUNT('Lineal Mixto'!$C$5:$C$2004)</f>
      </c>
      <c r="D1026" s="6" t="str">
        <f>ABS(C1026-B1026)</f>
      </c>
    </row>
    <row r="1027">
      <c r="A1027" s="5">
        <v>1003</v>
      </c>
      <c r="B1027" s="5" t="str">
        <f>SMALL('Lineal Mixto'!$C$5:$C$2004,A1027)</f>
      </c>
      <c r="C1027" s="5" t="str">
        <f>A1027/COUNT('Lineal Mixto'!$C$5:$C$2004)</f>
      </c>
      <c r="D1027" s="5" t="str">
        <f>ABS(C1027-B1027)</f>
      </c>
    </row>
    <row r="1028">
      <c r="A1028" s="6">
        <v>1004</v>
      </c>
      <c r="B1028" s="6" t="str">
        <f>SMALL('Lineal Mixto'!$C$5:$C$2004,A1028)</f>
      </c>
      <c r="C1028" s="6" t="str">
        <f>A1028/COUNT('Lineal Mixto'!$C$5:$C$2004)</f>
      </c>
      <c r="D1028" s="6" t="str">
        <f>ABS(C1028-B1028)</f>
      </c>
    </row>
    <row r="1029">
      <c r="A1029" s="5">
        <v>1005</v>
      </c>
      <c r="B1029" s="5" t="str">
        <f>SMALL('Lineal Mixto'!$C$5:$C$2004,A1029)</f>
      </c>
      <c r="C1029" s="5" t="str">
        <f>A1029/COUNT('Lineal Mixto'!$C$5:$C$2004)</f>
      </c>
      <c r="D1029" s="5" t="str">
        <f>ABS(C1029-B1029)</f>
      </c>
    </row>
    <row r="1030">
      <c r="A1030" s="6">
        <v>1006</v>
      </c>
      <c r="B1030" s="6" t="str">
        <f>SMALL('Lineal Mixto'!$C$5:$C$2004,A1030)</f>
      </c>
      <c r="C1030" s="6" t="str">
        <f>A1030/COUNT('Lineal Mixto'!$C$5:$C$2004)</f>
      </c>
      <c r="D1030" s="6" t="str">
        <f>ABS(C1030-B1030)</f>
      </c>
    </row>
    <row r="1031">
      <c r="A1031" s="5">
        <v>1007</v>
      </c>
      <c r="B1031" s="5" t="str">
        <f>SMALL('Lineal Mixto'!$C$5:$C$2004,A1031)</f>
      </c>
      <c r="C1031" s="5" t="str">
        <f>A1031/COUNT('Lineal Mixto'!$C$5:$C$2004)</f>
      </c>
      <c r="D1031" s="5" t="str">
        <f>ABS(C1031-B1031)</f>
      </c>
    </row>
    <row r="1032">
      <c r="A1032" s="6">
        <v>1008</v>
      </c>
      <c r="B1032" s="6" t="str">
        <f>SMALL('Lineal Mixto'!$C$5:$C$2004,A1032)</f>
      </c>
      <c r="C1032" s="6" t="str">
        <f>A1032/COUNT('Lineal Mixto'!$C$5:$C$2004)</f>
      </c>
      <c r="D1032" s="6" t="str">
        <f>ABS(C1032-B1032)</f>
      </c>
    </row>
    <row r="1033">
      <c r="A1033" s="5">
        <v>1009</v>
      </c>
      <c r="B1033" s="5" t="str">
        <f>SMALL('Lineal Mixto'!$C$5:$C$2004,A1033)</f>
      </c>
      <c r="C1033" s="5" t="str">
        <f>A1033/COUNT('Lineal Mixto'!$C$5:$C$2004)</f>
      </c>
      <c r="D1033" s="5" t="str">
        <f>ABS(C1033-B1033)</f>
      </c>
    </row>
    <row r="1034">
      <c r="A1034" s="6">
        <v>1010</v>
      </c>
      <c r="B1034" s="6" t="str">
        <f>SMALL('Lineal Mixto'!$C$5:$C$2004,A1034)</f>
      </c>
      <c r="C1034" s="6" t="str">
        <f>A1034/COUNT('Lineal Mixto'!$C$5:$C$2004)</f>
      </c>
      <c r="D1034" s="6" t="str">
        <f>ABS(C1034-B1034)</f>
      </c>
    </row>
    <row r="1035">
      <c r="A1035" s="5">
        <v>1011</v>
      </c>
      <c r="B1035" s="5" t="str">
        <f>SMALL('Lineal Mixto'!$C$5:$C$2004,A1035)</f>
      </c>
      <c r="C1035" s="5" t="str">
        <f>A1035/COUNT('Lineal Mixto'!$C$5:$C$2004)</f>
      </c>
      <c r="D1035" s="5" t="str">
        <f>ABS(C1035-B1035)</f>
      </c>
    </row>
    <row r="1036">
      <c r="A1036" s="6">
        <v>1012</v>
      </c>
      <c r="B1036" s="6" t="str">
        <f>SMALL('Lineal Mixto'!$C$5:$C$2004,A1036)</f>
      </c>
      <c r="C1036" s="6" t="str">
        <f>A1036/COUNT('Lineal Mixto'!$C$5:$C$2004)</f>
      </c>
      <c r="D1036" s="6" t="str">
        <f>ABS(C1036-B1036)</f>
      </c>
    </row>
    <row r="1037">
      <c r="A1037" s="5">
        <v>1013</v>
      </c>
      <c r="B1037" s="5" t="str">
        <f>SMALL('Lineal Mixto'!$C$5:$C$2004,A1037)</f>
      </c>
      <c r="C1037" s="5" t="str">
        <f>A1037/COUNT('Lineal Mixto'!$C$5:$C$2004)</f>
      </c>
      <c r="D1037" s="5" t="str">
        <f>ABS(C1037-B1037)</f>
      </c>
    </row>
    <row r="1038">
      <c r="A1038" s="6">
        <v>1014</v>
      </c>
      <c r="B1038" s="6" t="str">
        <f>SMALL('Lineal Mixto'!$C$5:$C$2004,A1038)</f>
      </c>
      <c r="C1038" s="6" t="str">
        <f>A1038/COUNT('Lineal Mixto'!$C$5:$C$2004)</f>
      </c>
      <c r="D1038" s="6" t="str">
        <f>ABS(C1038-B1038)</f>
      </c>
    </row>
    <row r="1039">
      <c r="A1039" s="5">
        <v>1015</v>
      </c>
      <c r="B1039" s="5" t="str">
        <f>SMALL('Lineal Mixto'!$C$5:$C$2004,A1039)</f>
      </c>
      <c r="C1039" s="5" t="str">
        <f>A1039/COUNT('Lineal Mixto'!$C$5:$C$2004)</f>
      </c>
      <c r="D1039" s="5" t="str">
        <f>ABS(C1039-B1039)</f>
      </c>
    </row>
    <row r="1040">
      <c r="A1040" s="6">
        <v>1016</v>
      </c>
      <c r="B1040" s="6" t="str">
        <f>SMALL('Lineal Mixto'!$C$5:$C$2004,A1040)</f>
      </c>
      <c r="C1040" s="6" t="str">
        <f>A1040/COUNT('Lineal Mixto'!$C$5:$C$2004)</f>
      </c>
      <c r="D1040" s="6" t="str">
        <f>ABS(C1040-B1040)</f>
      </c>
    </row>
    <row r="1041">
      <c r="A1041" s="5">
        <v>1017</v>
      </c>
      <c r="B1041" s="5" t="str">
        <f>SMALL('Lineal Mixto'!$C$5:$C$2004,A1041)</f>
      </c>
      <c r="C1041" s="5" t="str">
        <f>A1041/COUNT('Lineal Mixto'!$C$5:$C$2004)</f>
      </c>
      <c r="D1041" s="5" t="str">
        <f>ABS(C1041-B1041)</f>
      </c>
    </row>
    <row r="1042">
      <c r="A1042" s="6">
        <v>1018</v>
      </c>
      <c r="B1042" s="6" t="str">
        <f>SMALL('Lineal Mixto'!$C$5:$C$2004,A1042)</f>
      </c>
      <c r="C1042" s="6" t="str">
        <f>A1042/COUNT('Lineal Mixto'!$C$5:$C$2004)</f>
      </c>
      <c r="D1042" s="6" t="str">
        <f>ABS(C1042-B1042)</f>
      </c>
    </row>
    <row r="1043">
      <c r="A1043" s="5">
        <v>1019</v>
      </c>
      <c r="B1043" s="5" t="str">
        <f>SMALL('Lineal Mixto'!$C$5:$C$2004,A1043)</f>
      </c>
      <c r="C1043" s="5" t="str">
        <f>A1043/COUNT('Lineal Mixto'!$C$5:$C$2004)</f>
      </c>
      <c r="D1043" s="5" t="str">
        <f>ABS(C1043-B1043)</f>
      </c>
    </row>
    <row r="1044">
      <c r="A1044" s="6">
        <v>1020</v>
      </c>
      <c r="B1044" s="6" t="str">
        <f>SMALL('Lineal Mixto'!$C$5:$C$2004,A1044)</f>
      </c>
      <c r="C1044" s="6" t="str">
        <f>A1044/COUNT('Lineal Mixto'!$C$5:$C$2004)</f>
      </c>
      <c r="D1044" s="6" t="str">
        <f>ABS(C1044-B1044)</f>
      </c>
    </row>
    <row r="1045">
      <c r="A1045" s="5">
        <v>1021</v>
      </c>
      <c r="B1045" s="5" t="str">
        <f>SMALL('Lineal Mixto'!$C$5:$C$2004,A1045)</f>
      </c>
      <c r="C1045" s="5" t="str">
        <f>A1045/COUNT('Lineal Mixto'!$C$5:$C$2004)</f>
      </c>
      <c r="D1045" s="5" t="str">
        <f>ABS(C1045-B1045)</f>
      </c>
    </row>
    <row r="1046">
      <c r="A1046" s="6">
        <v>1022</v>
      </c>
      <c r="B1046" s="6" t="str">
        <f>SMALL('Lineal Mixto'!$C$5:$C$2004,A1046)</f>
      </c>
      <c r="C1046" s="6" t="str">
        <f>A1046/COUNT('Lineal Mixto'!$C$5:$C$2004)</f>
      </c>
      <c r="D1046" s="6" t="str">
        <f>ABS(C1046-B1046)</f>
      </c>
    </row>
    <row r="1047">
      <c r="A1047" s="5">
        <v>1023</v>
      </c>
      <c r="B1047" s="5" t="str">
        <f>SMALL('Lineal Mixto'!$C$5:$C$2004,A1047)</f>
      </c>
      <c r="C1047" s="5" t="str">
        <f>A1047/COUNT('Lineal Mixto'!$C$5:$C$2004)</f>
      </c>
      <c r="D1047" s="5" t="str">
        <f>ABS(C1047-B1047)</f>
      </c>
    </row>
    <row r="1048">
      <c r="A1048" s="6">
        <v>1024</v>
      </c>
      <c r="B1048" s="6" t="str">
        <f>SMALL('Lineal Mixto'!$C$5:$C$2004,A1048)</f>
      </c>
      <c r="C1048" s="6" t="str">
        <f>A1048/COUNT('Lineal Mixto'!$C$5:$C$2004)</f>
      </c>
      <c r="D1048" s="6" t="str">
        <f>ABS(C1048-B1048)</f>
      </c>
    </row>
    <row r="1049">
      <c r="A1049" s="5">
        <v>1025</v>
      </c>
      <c r="B1049" s="5" t="str">
        <f>SMALL('Lineal Mixto'!$C$5:$C$2004,A1049)</f>
      </c>
      <c r="C1049" s="5" t="str">
        <f>A1049/COUNT('Lineal Mixto'!$C$5:$C$2004)</f>
      </c>
      <c r="D1049" s="5" t="str">
        <f>ABS(C1049-B1049)</f>
      </c>
    </row>
    <row r="1050">
      <c r="A1050" s="6">
        <v>1026</v>
      </c>
      <c r="B1050" s="6" t="str">
        <f>SMALL('Lineal Mixto'!$C$5:$C$2004,A1050)</f>
      </c>
      <c r="C1050" s="6" t="str">
        <f>A1050/COUNT('Lineal Mixto'!$C$5:$C$2004)</f>
      </c>
      <c r="D1050" s="6" t="str">
        <f>ABS(C1050-B1050)</f>
      </c>
    </row>
    <row r="1051">
      <c r="A1051" s="5">
        <v>1027</v>
      </c>
      <c r="B1051" s="5" t="str">
        <f>SMALL('Lineal Mixto'!$C$5:$C$2004,A1051)</f>
      </c>
      <c r="C1051" s="5" t="str">
        <f>A1051/COUNT('Lineal Mixto'!$C$5:$C$2004)</f>
      </c>
      <c r="D1051" s="5" t="str">
        <f>ABS(C1051-B1051)</f>
      </c>
    </row>
    <row r="1052">
      <c r="A1052" s="6">
        <v>1028</v>
      </c>
      <c r="B1052" s="6" t="str">
        <f>SMALL('Lineal Mixto'!$C$5:$C$2004,A1052)</f>
      </c>
      <c r="C1052" s="6" t="str">
        <f>A1052/COUNT('Lineal Mixto'!$C$5:$C$2004)</f>
      </c>
      <c r="D1052" s="6" t="str">
        <f>ABS(C1052-B1052)</f>
      </c>
    </row>
    <row r="1053">
      <c r="A1053" s="5">
        <v>1029</v>
      </c>
      <c r="B1053" s="5" t="str">
        <f>SMALL('Lineal Mixto'!$C$5:$C$2004,A1053)</f>
      </c>
      <c r="C1053" s="5" t="str">
        <f>A1053/COUNT('Lineal Mixto'!$C$5:$C$2004)</f>
      </c>
      <c r="D1053" s="5" t="str">
        <f>ABS(C1053-B1053)</f>
      </c>
    </row>
    <row r="1054">
      <c r="A1054" s="6">
        <v>1030</v>
      </c>
      <c r="B1054" s="6" t="str">
        <f>SMALL('Lineal Mixto'!$C$5:$C$2004,A1054)</f>
      </c>
      <c r="C1054" s="6" t="str">
        <f>A1054/COUNT('Lineal Mixto'!$C$5:$C$2004)</f>
      </c>
      <c r="D1054" s="6" t="str">
        <f>ABS(C1054-B1054)</f>
      </c>
    </row>
    <row r="1055">
      <c r="A1055" s="5">
        <v>1031</v>
      </c>
      <c r="B1055" s="5" t="str">
        <f>SMALL('Lineal Mixto'!$C$5:$C$2004,A1055)</f>
      </c>
      <c r="C1055" s="5" t="str">
        <f>A1055/COUNT('Lineal Mixto'!$C$5:$C$2004)</f>
      </c>
      <c r="D1055" s="5" t="str">
        <f>ABS(C1055-B1055)</f>
      </c>
    </row>
    <row r="1056">
      <c r="A1056" s="6">
        <v>1032</v>
      </c>
      <c r="B1056" s="6" t="str">
        <f>SMALL('Lineal Mixto'!$C$5:$C$2004,A1056)</f>
      </c>
      <c r="C1056" s="6" t="str">
        <f>A1056/COUNT('Lineal Mixto'!$C$5:$C$2004)</f>
      </c>
      <c r="D1056" s="6" t="str">
        <f>ABS(C1056-B1056)</f>
      </c>
    </row>
    <row r="1057">
      <c r="A1057" s="5">
        <v>1033</v>
      </c>
      <c r="B1057" s="5" t="str">
        <f>SMALL('Lineal Mixto'!$C$5:$C$2004,A1057)</f>
      </c>
      <c r="C1057" s="5" t="str">
        <f>A1057/COUNT('Lineal Mixto'!$C$5:$C$2004)</f>
      </c>
      <c r="D1057" s="5" t="str">
        <f>ABS(C1057-B1057)</f>
      </c>
    </row>
    <row r="1058">
      <c r="A1058" s="6">
        <v>1034</v>
      </c>
      <c r="B1058" s="6" t="str">
        <f>SMALL('Lineal Mixto'!$C$5:$C$2004,A1058)</f>
      </c>
      <c r="C1058" s="6" t="str">
        <f>A1058/COUNT('Lineal Mixto'!$C$5:$C$2004)</f>
      </c>
      <c r="D1058" s="6" t="str">
        <f>ABS(C1058-B1058)</f>
      </c>
    </row>
    <row r="1059">
      <c r="A1059" s="5">
        <v>1035</v>
      </c>
      <c r="B1059" s="5" t="str">
        <f>SMALL('Lineal Mixto'!$C$5:$C$2004,A1059)</f>
      </c>
      <c r="C1059" s="5" t="str">
        <f>A1059/COUNT('Lineal Mixto'!$C$5:$C$2004)</f>
      </c>
      <c r="D1059" s="5" t="str">
        <f>ABS(C1059-B1059)</f>
      </c>
    </row>
    <row r="1060">
      <c r="A1060" s="6">
        <v>1036</v>
      </c>
      <c r="B1060" s="6" t="str">
        <f>SMALL('Lineal Mixto'!$C$5:$C$2004,A1060)</f>
      </c>
      <c r="C1060" s="6" t="str">
        <f>A1060/COUNT('Lineal Mixto'!$C$5:$C$2004)</f>
      </c>
      <c r="D1060" s="6" t="str">
        <f>ABS(C1060-B1060)</f>
      </c>
    </row>
    <row r="1061">
      <c r="A1061" s="5">
        <v>1037</v>
      </c>
      <c r="B1061" s="5" t="str">
        <f>SMALL('Lineal Mixto'!$C$5:$C$2004,A1061)</f>
      </c>
      <c r="C1061" s="5" t="str">
        <f>A1061/COUNT('Lineal Mixto'!$C$5:$C$2004)</f>
      </c>
      <c r="D1061" s="5" t="str">
        <f>ABS(C1061-B1061)</f>
      </c>
    </row>
    <row r="1062">
      <c r="A1062" s="6">
        <v>1038</v>
      </c>
      <c r="B1062" s="6" t="str">
        <f>SMALL('Lineal Mixto'!$C$5:$C$2004,A1062)</f>
      </c>
      <c r="C1062" s="6" t="str">
        <f>A1062/COUNT('Lineal Mixto'!$C$5:$C$2004)</f>
      </c>
      <c r="D1062" s="6" t="str">
        <f>ABS(C1062-B1062)</f>
      </c>
    </row>
    <row r="1063">
      <c r="A1063" s="5">
        <v>1039</v>
      </c>
      <c r="B1063" s="5" t="str">
        <f>SMALL('Lineal Mixto'!$C$5:$C$2004,A1063)</f>
      </c>
      <c r="C1063" s="5" t="str">
        <f>A1063/COUNT('Lineal Mixto'!$C$5:$C$2004)</f>
      </c>
      <c r="D1063" s="5" t="str">
        <f>ABS(C1063-B1063)</f>
      </c>
    </row>
    <row r="1064">
      <c r="A1064" s="6">
        <v>1040</v>
      </c>
      <c r="B1064" s="6" t="str">
        <f>SMALL('Lineal Mixto'!$C$5:$C$2004,A1064)</f>
      </c>
      <c r="C1064" s="6" t="str">
        <f>A1064/COUNT('Lineal Mixto'!$C$5:$C$2004)</f>
      </c>
      <c r="D1064" s="6" t="str">
        <f>ABS(C1064-B1064)</f>
      </c>
    </row>
    <row r="1065">
      <c r="A1065" s="5">
        <v>1041</v>
      </c>
      <c r="B1065" s="5" t="str">
        <f>SMALL('Lineal Mixto'!$C$5:$C$2004,A1065)</f>
      </c>
      <c r="C1065" s="5" t="str">
        <f>A1065/COUNT('Lineal Mixto'!$C$5:$C$2004)</f>
      </c>
      <c r="D1065" s="5" t="str">
        <f>ABS(C1065-B1065)</f>
      </c>
    </row>
    <row r="1066">
      <c r="A1066" s="6">
        <v>1042</v>
      </c>
      <c r="B1066" s="6" t="str">
        <f>SMALL('Lineal Mixto'!$C$5:$C$2004,A1066)</f>
      </c>
      <c r="C1066" s="6" t="str">
        <f>A1066/COUNT('Lineal Mixto'!$C$5:$C$2004)</f>
      </c>
      <c r="D1066" s="6" t="str">
        <f>ABS(C1066-B1066)</f>
      </c>
    </row>
    <row r="1067">
      <c r="A1067" s="5">
        <v>1043</v>
      </c>
      <c r="B1067" s="5" t="str">
        <f>SMALL('Lineal Mixto'!$C$5:$C$2004,A1067)</f>
      </c>
      <c r="C1067" s="5" t="str">
        <f>A1067/COUNT('Lineal Mixto'!$C$5:$C$2004)</f>
      </c>
      <c r="D1067" s="5" t="str">
        <f>ABS(C1067-B1067)</f>
      </c>
    </row>
    <row r="1068">
      <c r="A1068" s="6">
        <v>1044</v>
      </c>
      <c r="B1068" s="6" t="str">
        <f>SMALL('Lineal Mixto'!$C$5:$C$2004,A1068)</f>
      </c>
      <c r="C1068" s="6" t="str">
        <f>A1068/COUNT('Lineal Mixto'!$C$5:$C$2004)</f>
      </c>
      <c r="D1068" s="6" t="str">
        <f>ABS(C1068-B1068)</f>
      </c>
    </row>
    <row r="1069">
      <c r="A1069" s="5">
        <v>1045</v>
      </c>
      <c r="B1069" s="5" t="str">
        <f>SMALL('Lineal Mixto'!$C$5:$C$2004,A1069)</f>
      </c>
      <c r="C1069" s="5" t="str">
        <f>A1069/COUNT('Lineal Mixto'!$C$5:$C$2004)</f>
      </c>
      <c r="D1069" s="5" t="str">
        <f>ABS(C1069-B1069)</f>
      </c>
    </row>
    <row r="1070">
      <c r="A1070" s="6">
        <v>1046</v>
      </c>
      <c r="B1070" s="6" t="str">
        <f>SMALL('Lineal Mixto'!$C$5:$C$2004,A1070)</f>
      </c>
      <c r="C1070" s="6" t="str">
        <f>A1070/COUNT('Lineal Mixto'!$C$5:$C$2004)</f>
      </c>
      <c r="D1070" s="6" t="str">
        <f>ABS(C1070-B1070)</f>
      </c>
    </row>
    <row r="1071">
      <c r="A1071" s="5">
        <v>1047</v>
      </c>
      <c r="B1071" s="5" t="str">
        <f>SMALL('Lineal Mixto'!$C$5:$C$2004,A1071)</f>
      </c>
      <c r="C1071" s="5" t="str">
        <f>A1071/COUNT('Lineal Mixto'!$C$5:$C$2004)</f>
      </c>
      <c r="D1071" s="5" t="str">
        <f>ABS(C1071-B1071)</f>
      </c>
    </row>
    <row r="1072">
      <c r="A1072" s="6">
        <v>1048</v>
      </c>
      <c r="B1072" s="6" t="str">
        <f>SMALL('Lineal Mixto'!$C$5:$C$2004,A1072)</f>
      </c>
      <c r="C1072" s="6" t="str">
        <f>A1072/COUNT('Lineal Mixto'!$C$5:$C$2004)</f>
      </c>
      <c r="D1072" s="6" t="str">
        <f>ABS(C1072-B1072)</f>
      </c>
    </row>
    <row r="1073">
      <c r="A1073" s="5">
        <v>1049</v>
      </c>
      <c r="B1073" s="5" t="str">
        <f>SMALL('Lineal Mixto'!$C$5:$C$2004,A1073)</f>
      </c>
      <c r="C1073" s="5" t="str">
        <f>A1073/COUNT('Lineal Mixto'!$C$5:$C$2004)</f>
      </c>
      <c r="D1073" s="5" t="str">
        <f>ABS(C1073-B1073)</f>
      </c>
    </row>
    <row r="1074">
      <c r="A1074" s="6">
        <v>1050</v>
      </c>
      <c r="B1074" s="6" t="str">
        <f>SMALL('Lineal Mixto'!$C$5:$C$2004,A1074)</f>
      </c>
      <c r="C1074" s="6" t="str">
        <f>A1074/COUNT('Lineal Mixto'!$C$5:$C$2004)</f>
      </c>
      <c r="D1074" s="6" t="str">
        <f>ABS(C1074-B1074)</f>
      </c>
    </row>
    <row r="1075">
      <c r="A1075" s="5">
        <v>1051</v>
      </c>
      <c r="B1075" s="5" t="str">
        <f>SMALL('Lineal Mixto'!$C$5:$C$2004,A1075)</f>
      </c>
      <c r="C1075" s="5" t="str">
        <f>A1075/COUNT('Lineal Mixto'!$C$5:$C$2004)</f>
      </c>
      <c r="D1075" s="5" t="str">
        <f>ABS(C1075-B1075)</f>
      </c>
    </row>
    <row r="1076">
      <c r="A1076" s="6">
        <v>1052</v>
      </c>
      <c r="B1076" s="6" t="str">
        <f>SMALL('Lineal Mixto'!$C$5:$C$2004,A1076)</f>
      </c>
      <c r="C1076" s="6" t="str">
        <f>A1076/COUNT('Lineal Mixto'!$C$5:$C$2004)</f>
      </c>
      <c r="D1076" s="6" t="str">
        <f>ABS(C1076-B1076)</f>
      </c>
    </row>
    <row r="1077">
      <c r="A1077" s="5">
        <v>1053</v>
      </c>
      <c r="B1077" s="5" t="str">
        <f>SMALL('Lineal Mixto'!$C$5:$C$2004,A1077)</f>
      </c>
      <c r="C1077" s="5" t="str">
        <f>A1077/COUNT('Lineal Mixto'!$C$5:$C$2004)</f>
      </c>
      <c r="D1077" s="5" t="str">
        <f>ABS(C1077-B1077)</f>
      </c>
    </row>
    <row r="1078">
      <c r="A1078" s="6">
        <v>1054</v>
      </c>
      <c r="B1078" s="6" t="str">
        <f>SMALL('Lineal Mixto'!$C$5:$C$2004,A1078)</f>
      </c>
      <c r="C1078" s="6" t="str">
        <f>A1078/COUNT('Lineal Mixto'!$C$5:$C$2004)</f>
      </c>
      <c r="D1078" s="6" t="str">
        <f>ABS(C1078-B1078)</f>
      </c>
    </row>
    <row r="1079">
      <c r="A1079" s="5">
        <v>1055</v>
      </c>
      <c r="B1079" s="5" t="str">
        <f>SMALL('Lineal Mixto'!$C$5:$C$2004,A1079)</f>
      </c>
      <c r="C1079" s="5" t="str">
        <f>A1079/COUNT('Lineal Mixto'!$C$5:$C$2004)</f>
      </c>
      <c r="D1079" s="5" t="str">
        <f>ABS(C1079-B1079)</f>
      </c>
    </row>
    <row r="1080">
      <c r="A1080" s="6">
        <v>1056</v>
      </c>
      <c r="B1080" s="6" t="str">
        <f>SMALL('Lineal Mixto'!$C$5:$C$2004,A1080)</f>
      </c>
      <c r="C1080" s="6" t="str">
        <f>A1080/COUNT('Lineal Mixto'!$C$5:$C$2004)</f>
      </c>
      <c r="D1080" s="6" t="str">
        <f>ABS(C1080-B1080)</f>
      </c>
    </row>
    <row r="1081">
      <c r="A1081" s="5">
        <v>1057</v>
      </c>
      <c r="B1081" s="5" t="str">
        <f>SMALL('Lineal Mixto'!$C$5:$C$2004,A1081)</f>
      </c>
      <c r="C1081" s="5" t="str">
        <f>A1081/COUNT('Lineal Mixto'!$C$5:$C$2004)</f>
      </c>
      <c r="D1081" s="5" t="str">
        <f>ABS(C1081-B1081)</f>
      </c>
    </row>
    <row r="1082">
      <c r="A1082" s="6">
        <v>1058</v>
      </c>
      <c r="B1082" s="6" t="str">
        <f>SMALL('Lineal Mixto'!$C$5:$C$2004,A1082)</f>
      </c>
      <c r="C1082" s="6" t="str">
        <f>A1082/COUNT('Lineal Mixto'!$C$5:$C$2004)</f>
      </c>
      <c r="D1082" s="6" t="str">
        <f>ABS(C1082-B1082)</f>
      </c>
    </row>
    <row r="1083">
      <c r="A1083" s="5">
        <v>1059</v>
      </c>
      <c r="B1083" s="5" t="str">
        <f>SMALL('Lineal Mixto'!$C$5:$C$2004,A1083)</f>
      </c>
      <c r="C1083" s="5" t="str">
        <f>A1083/COUNT('Lineal Mixto'!$C$5:$C$2004)</f>
      </c>
      <c r="D1083" s="5" t="str">
        <f>ABS(C1083-B1083)</f>
      </c>
    </row>
    <row r="1084">
      <c r="A1084" s="6">
        <v>1060</v>
      </c>
      <c r="B1084" s="6" t="str">
        <f>SMALL('Lineal Mixto'!$C$5:$C$2004,A1084)</f>
      </c>
      <c r="C1084" s="6" t="str">
        <f>A1084/COUNT('Lineal Mixto'!$C$5:$C$2004)</f>
      </c>
      <c r="D1084" s="6" t="str">
        <f>ABS(C1084-B1084)</f>
      </c>
    </row>
    <row r="1085">
      <c r="A1085" s="5">
        <v>1061</v>
      </c>
      <c r="B1085" s="5" t="str">
        <f>SMALL('Lineal Mixto'!$C$5:$C$2004,A1085)</f>
      </c>
      <c r="C1085" s="5" t="str">
        <f>A1085/COUNT('Lineal Mixto'!$C$5:$C$2004)</f>
      </c>
      <c r="D1085" s="5" t="str">
        <f>ABS(C1085-B1085)</f>
      </c>
    </row>
    <row r="1086">
      <c r="A1086" s="6">
        <v>1062</v>
      </c>
      <c r="B1086" s="6" t="str">
        <f>SMALL('Lineal Mixto'!$C$5:$C$2004,A1086)</f>
      </c>
      <c r="C1086" s="6" t="str">
        <f>A1086/COUNT('Lineal Mixto'!$C$5:$C$2004)</f>
      </c>
      <c r="D1086" s="6" t="str">
        <f>ABS(C1086-B1086)</f>
      </c>
    </row>
    <row r="1087">
      <c r="A1087" s="5">
        <v>1063</v>
      </c>
      <c r="B1087" s="5" t="str">
        <f>SMALL('Lineal Mixto'!$C$5:$C$2004,A1087)</f>
      </c>
      <c r="C1087" s="5" t="str">
        <f>A1087/COUNT('Lineal Mixto'!$C$5:$C$2004)</f>
      </c>
      <c r="D1087" s="5" t="str">
        <f>ABS(C1087-B1087)</f>
      </c>
    </row>
    <row r="1088">
      <c r="A1088" s="6">
        <v>1064</v>
      </c>
      <c r="B1088" s="6" t="str">
        <f>SMALL('Lineal Mixto'!$C$5:$C$2004,A1088)</f>
      </c>
      <c r="C1088" s="6" t="str">
        <f>A1088/COUNT('Lineal Mixto'!$C$5:$C$2004)</f>
      </c>
      <c r="D1088" s="6" t="str">
        <f>ABS(C1088-B1088)</f>
      </c>
    </row>
    <row r="1089">
      <c r="A1089" s="5">
        <v>1065</v>
      </c>
      <c r="B1089" s="5" t="str">
        <f>SMALL('Lineal Mixto'!$C$5:$C$2004,A1089)</f>
      </c>
      <c r="C1089" s="5" t="str">
        <f>A1089/COUNT('Lineal Mixto'!$C$5:$C$2004)</f>
      </c>
      <c r="D1089" s="5" t="str">
        <f>ABS(C1089-B1089)</f>
      </c>
    </row>
    <row r="1090">
      <c r="A1090" s="6">
        <v>1066</v>
      </c>
      <c r="B1090" s="6" t="str">
        <f>SMALL('Lineal Mixto'!$C$5:$C$2004,A1090)</f>
      </c>
      <c r="C1090" s="6" t="str">
        <f>A1090/COUNT('Lineal Mixto'!$C$5:$C$2004)</f>
      </c>
      <c r="D1090" s="6" t="str">
        <f>ABS(C1090-B1090)</f>
      </c>
    </row>
    <row r="1091">
      <c r="A1091" s="5">
        <v>1067</v>
      </c>
      <c r="B1091" s="5" t="str">
        <f>SMALL('Lineal Mixto'!$C$5:$C$2004,A1091)</f>
      </c>
      <c r="C1091" s="5" t="str">
        <f>A1091/COUNT('Lineal Mixto'!$C$5:$C$2004)</f>
      </c>
      <c r="D1091" s="5" t="str">
        <f>ABS(C1091-B1091)</f>
      </c>
    </row>
    <row r="1092">
      <c r="A1092" s="6">
        <v>1068</v>
      </c>
      <c r="B1092" s="6" t="str">
        <f>SMALL('Lineal Mixto'!$C$5:$C$2004,A1092)</f>
      </c>
      <c r="C1092" s="6" t="str">
        <f>A1092/COUNT('Lineal Mixto'!$C$5:$C$2004)</f>
      </c>
      <c r="D1092" s="6" t="str">
        <f>ABS(C1092-B1092)</f>
      </c>
    </row>
    <row r="1093">
      <c r="A1093" s="5">
        <v>1069</v>
      </c>
      <c r="B1093" s="5" t="str">
        <f>SMALL('Lineal Mixto'!$C$5:$C$2004,A1093)</f>
      </c>
      <c r="C1093" s="5" t="str">
        <f>A1093/COUNT('Lineal Mixto'!$C$5:$C$2004)</f>
      </c>
      <c r="D1093" s="5" t="str">
        <f>ABS(C1093-B1093)</f>
      </c>
    </row>
    <row r="1094">
      <c r="A1094" s="6">
        <v>1070</v>
      </c>
      <c r="B1094" s="6" t="str">
        <f>SMALL('Lineal Mixto'!$C$5:$C$2004,A1094)</f>
      </c>
      <c r="C1094" s="6" t="str">
        <f>A1094/COUNT('Lineal Mixto'!$C$5:$C$2004)</f>
      </c>
      <c r="D1094" s="6" t="str">
        <f>ABS(C1094-B1094)</f>
      </c>
    </row>
    <row r="1095">
      <c r="A1095" s="5">
        <v>1071</v>
      </c>
      <c r="B1095" s="5" t="str">
        <f>SMALL('Lineal Mixto'!$C$5:$C$2004,A1095)</f>
      </c>
      <c r="C1095" s="5" t="str">
        <f>A1095/COUNT('Lineal Mixto'!$C$5:$C$2004)</f>
      </c>
      <c r="D1095" s="5" t="str">
        <f>ABS(C1095-B1095)</f>
      </c>
    </row>
    <row r="1096">
      <c r="A1096" s="6">
        <v>1072</v>
      </c>
      <c r="B1096" s="6" t="str">
        <f>SMALL('Lineal Mixto'!$C$5:$C$2004,A1096)</f>
      </c>
      <c r="C1096" s="6" t="str">
        <f>A1096/COUNT('Lineal Mixto'!$C$5:$C$2004)</f>
      </c>
      <c r="D1096" s="6" t="str">
        <f>ABS(C1096-B1096)</f>
      </c>
    </row>
    <row r="1097">
      <c r="A1097" s="5">
        <v>1073</v>
      </c>
      <c r="B1097" s="5" t="str">
        <f>SMALL('Lineal Mixto'!$C$5:$C$2004,A1097)</f>
      </c>
      <c r="C1097" s="5" t="str">
        <f>A1097/COUNT('Lineal Mixto'!$C$5:$C$2004)</f>
      </c>
      <c r="D1097" s="5" t="str">
        <f>ABS(C1097-B1097)</f>
      </c>
    </row>
    <row r="1098">
      <c r="A1098" s="6">
        <v>1074</v>
      </c>
      <c r="B1098" s="6" t="str">
        <f>SMALL('Lineal Mixto'!$C$5:$C$2004,A1098)</f>
      </c>
      <c r="C1098" s="6" t="str">
        <f>A1098/COUNT('Lineal Mixto'!$C$5:$C$2004)</f>
      </c>
      <c r="D1098" s="6" t="str">
        <f>ABS(C1098-B1098)</f>
      </c>
    </row>
    <row r="1099">
      <c r="A1099" s="5">
        <v>1075</v>
      </c>
      <c r="B1099" s="5" t="str">
        <f>SMALL('Lineal Mixto'!$C$5:$C$2004,A1099)</f>
      </c>
      <c r="C1099" s="5" t="str">
        <f>A1099/COUNT('Lineal Mixto'!$C$5:$C$2004)</f>
      </c>
      <c r="D1099" s="5" t="str">
        <f>ABS(C1099-B1099)</f>
      </c>
    </row>
    <row r="1100">
      <c r="A1100" s="6">
        <v>1076</v>
      </c>
      <c r="B1100" s="6" t="str">
        <f>SMALL('Lineal Mixto'!$C$5:$C$2004,A1100)</f>
      </c>
      <c r="C1100" s="6" t="str">
        <f>A1100/COUNT('Lineal Mixto'!$C$5:$C$2004)</f>
      </c>
      <c r="D1100" s="6" t="str">
        <f>ABS(C1100-B1100)</f>
      </c>
    </row>
    <row r="1101">
      <c r="A1101" s="5">
        <v>1077</v>
      </c>
      <c r="B1101" s="5" t="str">
        <f>SMALL('Lineal Mixto'!$C$5:$C$2004,A1101)</f>
      </c>
      <c r="C1101" s="5" t="str">
        <f>A1101/COUNT('Lineal Mixto'!$C$5:$C$2004)</f>
      </c>
      <c r="D1101" s="5" t="str">
        <f>ABS(C1101-B1101)</f>
      </c>
    </row>
    <row r="1102">
      <c r="A1102" s="6">
        <v>1078</v>
      </c>
      <c r="B1102" s="6" t="str">
        <f>SMALL('Lineal Mixto'!$C$5:$C$2004,A1102)</f>
      </c>
      <c r="C1102" s="6" t="str">
        <f>A1102/COUNT('Lineal Mixto'!$C$5:$C$2004)</f>
      </c>
      <c r="D1102" s="6" t="str">
        <f>ABS(C1102-B1102)</f>
      </c>
    </row>
    <row r="1103">
      <c r="A1103" s="5">
        <v>1079</v>
      </c>
      <c r="B1103" s="5" t="str">
        <f>SMALL('Lineal Mixto'!$C$5:$C$2004,A1103)</f>
      </c>
      <c r="C1103" s="5" t="str">
        <f>A1103/COUNT('Lineal Mixto'!$C$5:$C$2004)</f>
      </c>
      <c r="D1103" s="5" t="str">
        <f>ABS(C1103-B1103)</f>
      </c>
    </row>
    <row r="1104">
      <c r="A1104" s="6">
        <v>1080</v>
      </c>
      <c r="B1104" s="6" t="str">
        <f>SMALL('Lineal Mixto'!$C$5:$C$2004,A1104)</f>
      </c>
      <c r="C1104" s="6" t="str">
        <f>A1104/COUNT('Lineal Mixto'!$C$5:$C$2004)</f>
      </c>
      <c r="D1104" s="6" t="str">
        <f>ABS(C1104-B1104)</f>
      </c>
    </row>
    <row r="1105">
      <c r="A1105" s="5">
        <v>1081</v>
      </c>
      <c r="B1105" s="5" t="str">
        <f>SMALL('Lineal Mixto'!$C$5:$C$2004,A1105)</f>
      </c>
      <c r="C1105" s="5" t="str">
        <f>A1105/COUNT('Lineal Mixto'!$C$5:$C$2004)</f>
      </c>
      <c r="D1105" s="5" t="str">
        <f>ABS(C1105-B1105)</f>
      </c>
    </row>
    <row r="1106">
      <c r="A1106" s="6">
        <v>1082</v>
      </c>
      <c r="B1106" s="6" t="str">
        <f>SMALL('Lineal Mixto'!$C$5:$C$2004,A1106)</f>
      </c>
      <c r="C1106" s="6" t="str">
        <f>A1106/COUNT('Lineal Mixto'!$C$5:$C$2004)</f>
      </c>
      <c r="D1106" s="6" t="str">
        <f>ABS(C1106-B1106)</f>
      </c>
    </row>
    <row r="1107">
      <c r="A1107" s="5">
        <v>1083</v>
      </c>
      <c r="B1107" s="5" t="str">
        <f>SMALL('Lineal Mixto'!$C$5:$C$2004,A1107)</f>
      </c>
      <c r="C1107" s="5" t="str">
        <f>A1107/COUNT('Lineal Mixto'!$C$5:$C$2004)</f>
      </c>
      <c r="D1107" s="5" t="str">
        <f>ABS(C1107-B1107)</f>
      </c>
    </row>
    <row r="1108">
      <c r="A1108" s="6">
        <v>1084</v>
      </c>
      <c r="B1108" s="6" t="str">
        <f>SMALL('Lineal Mixto'!$C$5:$C$2004,A1108)</f>
      </c>
      <c r="C1108" s="6" t="str">
        <f>A1108/COUNT('Lineal Mixto'!$C$5:$C$2004)</f>
      </c>
      <c r="D1108" s="6" t="str">
        <f>ABS(C1108-B1108)</f>
      </c>
    </row>
    <row r="1109">
      <c r="A1109" s="5">
        <v>1085</v>
      </c>
      <c r="B1109" s="5" t="str">
        <f>SMALL('Lineal Mixto'!$C$5:$C$2004,A1109)</f>
      </c>
      <c r="C1109" s="5" t="str">
        <f>A1109/COUNT('Lineal Mixto'!$C$5:$C$2004)</f>
      </c>
      <c r="D1109" s="5" t="str">
        <f>ABS(C1109-B1109)</f>
      </c>
    </row>
    <row r="1110">
      <c r="A1110" s="6">
        <v>1086</v>
      </c>
      <c r="B1110" s="6" t="str">
        <f>SMALL('Lineal Mixto'!$C$5:$C$2004,A1110)</f>
      </c>
      <c r="C1110" s="6" t="str">
        <f>A1110/COUNT('Lineal Mixto'!$C$5:$C$2004)</f>
      </c>
      <c r="D1110" s="6" t="str">
        <f>ABS(C1110-B1110)</f>
      </c>
    </row>
    <row r="1111">
      <c r="A1111" s="5">
        <v>1087</v>
      </c>
      <c r="B1111" s="5" t="str">
        <f>SMALL('Lineal Mixto'!$C$5:$C$2004,A1111)</f>
      </c>
      <c r="C1111" s="5" t="str">
        <f>A1111/COUNT('Lineal Mixto'!$C$5:$C$2004)</f>
      </c>
      <c r="D1111" s="5" t="str">
        <f>ABS(C1111-B1111)</f>
      </c>
    </row>
    <row r="1112">
      <c r="A1112" s="6">
        <v>1088</v>
      </c>
      <c r="B1112" s="6" t="str">
        <f>SMALL('Lineal Mixto'!$C$5:$C$2004,A1112)</f>
      </c>
      <c r="C1112" s="6" t="str">
        <f>A1112/COUNT('Lineal Mixto'!$C$5:$C$2004)</f>
      </c>
      <c r="D1112" s="6" t="str">
        <f>ABS(C1112-B1112)</f>
      </c>
    </row>
    <row r="1113">
      <c r="A1113" s="5">
        <v>1089</v>
      </c>
      <c r="B1113" s="5" t="str">
        <f>SMALL('Lineal Mixto'!$C$5:$C$2004,A1113)</f>
      </c>
      <c r="C1113" s="5" t="str">
        <f>A1113/COUNT('Lineal Mixto'!$C$5:$C$2004)</f>
      </c>
      <c r="D1113" s="5" t="str">
        <f>ABS(C1113-B1113)</f>
      </c>
    </row>
    <row r="1114">
      <c r="A1114" s="6">
        <v>1090</v>
      </c>
      <c r="B1114" s="6" t="str">
        <f>SMALL('Lineal Mixto'!$C$5:$C$2004,A1114)</f>
      </c>
      <c r="C1114" s="6" t="str">
        <f>A1114/COUNT('Lineal Mixto'!$C$5:$C$2004)</f>
      </c>
      <c r="D1114" s="6" t="str">
        <f>ABS(C1114-B1114)</f>
      </c>
    </row>
    <row r="1115">
      <c r="A1115" s="5">
        <v>1091</v>
      </c>
      <c r="B1115" s="5" t="str">
        <f>SMALL('Lineal Mixto'!$C$5:$C$2004,A1115)</f>
      </c>
      <c r="C1115" s="5" t="str">
        <f>A1115/COUNT('Lineal Mixto'!$C$5:$C$2004)</f>
      </c>
      <c r="D1115" s="5" t="str">
        <f>ABS(C1115-B1115)</f>
      </c>
    </row>
    <row r="1116">
      <c r="A1116" s="6">
        <v>1092</v>
      </c>
      <c r="B1116" s="6" t="str">
        <f>SMALL('Lineal Mixto'!$C$5:$C$2004,A1116)</f>
      </c>
      <c r="C1116" s="6" t="str">
        <f>A1116/COUNT('Lineal Mixto'!$C$5:$C$2004)</f>
      </c>
      <c r="D1116" s="6" t="str">
        <f>ABS(C1116-B1116)</f>
      </c>
    </row>
    <row r="1117">
      <c r="A1117" s="5">
        <v>1093</v>
      </c>
      <c r="B1117" s="5" t="str">
        <f>SMALL('Lineal Mixto'!$C$5:$C$2004,A1117)</f>
      </c>
      <c r="C1117" s="5" t="str">
        <f>A1117/COUNT('Lineal Mixto'!$C$5:$C$2004)</f>
      </c>
      <c r="D1117" s="5" t="str">
        <f>ABS(C1117-B1117)</f>
      </c>
    </row>
    <row r="1118">
      <c r="A1118" s="6">
        <v>1094</v>
      </c>
      <c r="B1118" s="6" t="str">
        <f>SMALL('Lineal Mixto'!$C$5:$C$2004,A1118)</f>
      </c>
      <c r="C1118" s="6" t="str">
        <f>A1118/COUNT('Lineal Mixto'!$C$5:$C$2004)</f>
      </c>
      <c r="D1118" s="6" t="str">
        <f>ABS(C1118-B1118)</f>
      </c>
    </row>
    <row r="1119">
      <c r="A1119" s="5">
        <v>1095</v>
      </c>
      <c r="B1119" s="5" t="str">
        <f>SMALL('Lineal Mixto'!$C$5:$C$2004,A1119)</f>
      </c>
      <c r="C1119" s="5" t="str">
        <f>A1119/COUNT('Lineal Mixto'!$C$5:$C$2004)</f>
      </c>
      <c r="D1119" s="5" t="str">
        <f>ABS(C1119-B1119)</f>
      </c>
    </row>
    <row r="1120">
      <c r="A1120" s="6">
        <v>1096</v>
      </c>
      <c r="B1120" s="6" t="str">
        <f>SMALL('Lineal Mixto'!$C$5:$C$2004,A1120)</f>
      </c>
      <c r="C1120" s="6" t="str">
        <f>A1120/COUNT('Lineal Mixto'!$C$5:$C$2004)</f>
      </c>
      <c r="D1120" s="6" t="str">
        <f>ABS(C1120-B1120)</f>
      </c>
    </row>
    <row r="1121">
      <c r="A1121" s="5">
        <v>1097</v>
      </c>
      <c r="B1121" s="5" t="str">
        <f>SMALL('Lineal Mixto'!$C$5:$C$2004,A1121)</f>
      </c>
      <c r="C1121" s="5" t="str">
        <f>A1121/COUNT('Lineal Mixto'!$C$5:$C$2004)</f>
      </c>
      <c r="D1121" s="5" t="str">
        <f>ABS(C1121-B1121)</f>
      </c>
    </row>
    <row r="1122">
      <c r="A1122" s="6">
        <v>1098</v>
      </c>
      <c r="B1122" s="6" t="str">
        <f>SMALL('Lineal Mixto'!$C$5:$C$2004,A1122)</f>
      </c>
      <c r="C1122" s="6" t="str">
        <f>A1122/COUNT('Lineal Mixto'!$C$5:$C$2004)</f>
      </c>
      <c r="D1122" s="6" t="str">
        <f>ABS(C1122-B1122)</f>
      </c>
    </row>
    <row r="1123">
      <c r="A1123" s="5">
        <v>1099</v>
      </c>
      <c r="B1123" s="5" t="str">
        <f>SMALL('Lineal Mixto'!$C$5:$C$2004,A1123)</f>
      </c>
      <c r="C1123" s="5" t="str">
        <f>A1123/COUNT('Lineal Mixto'!$C$5:$C$2004)</f>
      </c>
      <c r="D1123" s="5" t="str">
        <f>ABS(C1123-B1123)</f>
      </c>
    </row>
    <row r="1124">
      <c r="A1124" s="6">
        <v>1100</v>
      </c>
      <c r="B1124" s="6" t="str">
        <f>SMALL('Lineal Mixto'!$C$5:$C$2004,A1124)</f>
      </c>
      <c r="C1124" s="6" t="str">
        <f>A1124/COUNT('Lineal Mixto'!$C$5:$C$2004)</f>
      </c>
      <c r="D1124" s="6" t="str">
        <f>ABS(C1124-B1124)</f>
      </c>
    </row>
    <row r="1125">
      <c r="A1125" s="5">
        <v>1101</v>
      </c>
      <c r="B1125" s="5" t="str">
        <f>SMALL('Lineal Mixto'!$C$5:$C$2004,A1125)</f>
      </c>
      <c r="C1125" s="5" t="str">
        <f>A1125/COUNT('Lineal Mixto'!$C$5:$C$2004)</f>
      </c>
      <c r="D1125" s="5" t="str">
        <f>ABS(C1125-B1125)</f>
      </c>
    </row>
    <row r="1126">
      <c r="A1126" s="6">
        <v>1102</v>
      </c>
      <c r="B1126" s="6" t="str">
        <f>SMALL('Lineal Mixto'!$C$5:$C$2004,A1126)</f>
      </c>
      <c r="C1126" s="6" t="str">
        <f>A1126/COUNT('Lineal Mixto'!$C$5:$C$2004)</f>
      </c>
      <c r="D1126" s="6" t="str">
        <f>ABS(C1126-B1126)</f>
      </c>
    </row>
    <row r="1127">
      <c r="A1127" s="5">
        <v>1103</v>
      </c>
      <c r="B1127" s="5" t="str">
        <f>SMALL('Lineal Mixto'!$C$5:$C$2004,A1127)</f>
      </c>
      <c r="C1127" s="5" t="str">
        <f>A1127/COUNT('Lineal Mixto'!$C$5:$C$2004)</f>
      </c>
      <c r="D1127" s="5" t="str">
        <f>ABS(C1127-B1127)</f>
      </c>
    </row>
    <row r="1128">
      <c r="A1128" s="6">
        <v>1104</v>
      </c>
      <c r="B1128" s="6" t="str">
        <f>SMALL('Lineal Mixto'!$C$5:$C$2004,A1128)</f>
      </c>
      <c r="C1128" s="6" t="str">
        <f>A1128/COUNT('Lineal Mixto'!$C$5:$C$2004)</f>
      </c>
      <c r="D1128" s="6" t="str">
        <f>ABS(C1128-B1128)</f>
      </c>
    </row>
    <row r="1129">
      <c r="A1129" s="5">
        <v>1105</v>
      </c>
      <c r="B1129" s="5" t="str">
        <f>SMALL('Lineal Mixto'!$C$5:$C$2004,A1129)</f>
      </c>
      <c r="C1129" s="5" t="str">
        <f>A1129/COUNT('Lineal Mixto'!$C$5:$C$2004)</f>
      </c>
      <c r="D1129" s="5" t="str">
        <f>ABS(C1129-B1129)</f>
      </c>
    </row>
    <row r="1130">
      <c r="A1130" s="6">
        <v>1106</v>
      </c>
      <c r="B1130" s="6" t="str">
        <f>SMALL('Lineal Mixto'!$C$5:$C$2004,A1130)</f>
      </c>
      <c r="C1130" s="6" t="str">
        <f>A1130/COUNT('Lineal Mixto'!$C$5:$C$2004)</f>
      </c>
      <c r="D1130" s="6" t="str">
        <f>ABS(C1130-B1130)</f>
      </c>
    </row>
    <row r="1131">
      <c r="A1131" s="5">
        <v>1107</v>
      </c>
      <c r="B1131" s="5" t="str">
        <f>SMALL('Lineal Mixto'!$C$5:$C$2004,A1131)</f>
      </c>
      <c r="C1131" s="5" t="str">
        <f>A1131/COUNT('Lineal Mixto'!$C$5:$C$2004)</f>
      </c>
      <c r="D1131" s="5" t="str">
        <f>ABS(C1131-B1131)</f>
      </c>
    </row>
    <row r="1132">
      <c r="A1132" s="6">
        <v>1108</v>
      </c>
      <c r="B1132" s="6" t="str">
        <f>SMALL('Lineal Mixto'!$C$5:$C$2004,A1132)</f>
      </c>
      <c r="C1132" s="6" t="str">
        <f>A1132/COUNT('Lineal Mixto'!$C$5:$C$2004)</f>
      </c>
      <c r="D1132" s="6" t="str">
        <f>ABS(C1132-B1132)</f>
      </c>
    </row>
    <row r="1133">
      <c r="A1133" s="5">
        <v>1109</v>
      </c>
      <c r="B1133" s="5" t="str">
        <f>SMALL('Lineal Mixto'!$C$5:$C$2004,A1133)</f>
      </c>
      <c r="C1133" s="5" t="str">
        <f>A1133/COUNT('Lineal Mixto'!$C$5:$C$2004)</f>
      </c>
      <c r="D1133" s="5" t="str">
        <f>ABS(C1133-B1133)</f>
      </c>
    </row>
    <row r="1134">
      <c r="A1134" s="6">
        <v>1110</v>
      </c>
      <c r="B1134" s="6" t="str">
        <f>SMALL('Lineal Mixto'!$C$5:$C$2004,A1134)</f>
      </c>
      <c r="C1134" s="6" t="str">
        <f>A1134/COUNT('Lineal Mixto'!$C$5:$C$2004)</f>
      </c>
      <c r="D1134" s="6" t="str">
        <f>ABS(C1134-B1134)</f>
      </c>
    </row>
    <row r="1135">
      <c r="A1135" s="5">
        <v>1111</v>
      </c>
      <c r="B1135" s="5" t="str">
        <f>SMALL('Lineal Mixto'!$C$5:$C$2004,A1135)</f>
      </c>
      <c r="C1135" s="5" t="str">
        <f>A1135/COUNT('Lineal Mixto'!$C$5:$C$2004)</f>
      </c>
      <c r="D1135" s="5" t="str">
        <f>ABS(C1135-B1135)</f>
      </c>
    </row>
    <row r="1136">
      <c r="A1136" s="6">
        <v>1112</v>
      </c>
      <c r="B1136" s="6" t="str">
        <f>SMALL('Lineal Mixto'!$C$5:$C$2004,A1136)</f>
      </c>
      <c r="C1136" s="6" t="str">
        <f>A1136/COUNT('Lineal Mixto'!$C$5:$C$2004)</f>
      </c>
      <c r="D1136" s="6" t="str">
        <f>ABS(C1136-B1136)</f>
      </c>
    </row>
    <row r="1137">
      <c r="A1137" s="5">
        <v>1113</v>
      </c>
      <c r="B1137" s="5" t="str">
        <f>SMALL('Lineal Mixto'!$C$5:$C$2004,A1137)</f>
      </c>
      <c r="C1137" s="5" t="str">
        <f>A1137/COUNT('Lineal Mixto'!$C$5:$C$2004)</f>
      </c>
      <c r="D1137" s="5" t="str">
        <f>ABS(C1137-B1137)</f>
      </c>
    </row>
    <row r="1138">
      <c r="A1138" s="6">
        <v>1114</v>
      </c>
      <c r="B1138" s="6" t="str">
        <f>SMALL('Lineal Mixto'!$C$5:$C$2004,A1138)</f>
      </c>
      <c r="C1138" s="6" t="str">
        <f>A1138/COUNT('Lineal Mixto'!$C$5:$C$2004)</f>
      </c>
      <c r="D1138" s="6" t="str">
        <f>ABS(C1138-B1138)</f>
      </c>
    </row>
    <row r="1139">
      <c r="A1139" s="5">
        <v>1115</v>
      </c>
      <c r="B1139" s="5" t="str">
        <f>SMALL('Lineal Mixto'!$C$5:$C$2004,A1139)</f>
      </c>
      <c r="C1139" s="5" t="str">
        <f>A1139/COUNT('Lineal Mixto'!$C$5:$C$2004)</f>
      </c>
      <c r="D1139" s="5" t="str">
        <f>ABS(C1139-B1139)</f>
      </c>
    </row>
    <row r="1140">
      <c r="A1140" s="6">
        <v>1116</v>
      </c>
      <c r="B1140" s="6" t="str">
        <f>SMALL('Lineal Mixto'!$C$5:$C$2004,A1140)</f>
      </c>
      <c r="C1140" s="6" t="str">
        <f>A1140/COUNT('Lineal Mixto'!$C$5:$C$2004)</f>
      </c>
      <c r="D1140" s="6" t="str">
        <f>ABS(C1140-B1140)</f>
      </c>
    </row>
    <row r="1141">
      <c r="A1141" s="5">
        <v>1117</v>
      </c>
      <c r="B1141" s="5" t="str">
        <f>SMALL('Lineal Mixto'!$C$5:$C$2004,A1141)</f>
      </c>
      <c r="C1141" s="5" t="str">
        <f>A1141/COUNT('Lineal Mixto'!$C$5:$C$2004)</f>
      </c>
      <c r="D1141" s="5" t="str">
        <f>ABS(C1141-B1141)</f>
      </c>
    </row>
    <row r="1142">
      <c r="A1142" s="6">
        <v>1118</v>
      </c>
      <c r="B1142" s="6" t="str">
        <f>SMALL('Lineal Mixto'!$C$5:$C$2004,A1142)</f>
      </c>
      <c r="C1142" s="6" t="str">
        <f>A1142/COUNT('Lineal Mixto'!$C$5:$C$2004)</f>
      </c>
      <c r="D1142" s="6" t="str">
        <f>ABS(C1142-B1142)</f>
      </c>
    </row>
    <row r="1143">
      <c r="A1143" s="5">
        <v>1119</v>
      </c>
      <c r="B1143" s="5" t="str">
        <f>SMALL('Lineal Mixto'!$C$5:$C$2004,A1143)</f>
      </c>
      <c r="C1143" s="5" t="str">
        <f>A1143/COUNT('Lineal Mixto'!$C$5:$C$2004)</f>
      </c>
      <c r="D1143" s="5" t="str">
        <f>ABS(C1143-B1143)</f>
      </c>
    </row>
    <row r="1144">
      <c r="A1144" s="6">
        <v>1120</v>
      </c>
      <c r="B1144" s="6" t="str">
        <f>SMALL('Lineal Mixto'!$C$5:$C$2004,A1144)</f>
      </c>
      <c r="C1144" s="6" t="str">
        <f>A1144/COUNT('Lineal Mixto'!$C$5:$C$2004)</f>
      </c>
      <c r="D1144" s="6" t="str">
        <f>ABS(C1144-B1144)</f>
      </c>
    </row>
    <row r="1145">
      <c r="A1145" s="5">
        <v>1121</v>
      </c>
      <c r="B1145" s="5" t="str">
        <f>SMALL('Lineal Mixto'!$C$5:$C$2004,A1145)</f>
      </c>
      <c r="C1145" s="5" t="str">
        <f>A1145/COUNT('Lineal Mixto'!$C$5:$C$2004)</f>
      </c>
      <c r="D1145" s="5" t="str">
        <f>ABS(C1145-B1145)</f>
      </c>
    </row>
    <row r="1146">
      <c r="A1146" s="6">
        <v>1122</v>
      </c>
      <c r="B1146" s="6" t="str">
        <f>SMALL('Lineal Mixto'!$C$5:$C$2004,A1146)</f>
      </c>
      <c r="C1146" s="6" t="str">
        <f>A1146/COUNT('Lineal Mixto'!$C$5:$C$2004)</f>
      </c>
      <c r="D1146" s="6" t="str">
        <f>ABS(C1146-B1146)</f>
      </c>
    </row>
    <row r="1147">
      <c r="A1147" s="5">
        <v>1123</v>
      </c>
      <c r="B1147" s="5" t="str">
        <f>SMALL('Lineal Mixto'!$C$5:$C$2004,A1147)</f>
      </c>
      <c r="C1147" s="5" t="str">
        <f>A1147/COUNT('Lineal Mixto'!$C$5:$C$2004)</f>
      </c>
      <c r="D1147" s="5" t="str">
        <f>ABS(C1147-B1147)</f>
      </c>
    </row>
    <row r="1148">
      <c r="A1148" s="6">
        <v>1124</v>
      </c>
      <c r="B1148" s="6" t="str">
        <f>SMALL('Lineal Mixto'!$C$5:$C$2004,A1148)</f>
      </c>
      <c r="C1148" s="6" t="str">
        <f>A1148/COUNT('Lineal Mixto'!$C$5:$C$2004)</f>
      </c>
      <c r="D1148" s="6" t="str">
        <f>ABS(C1148-B1148)</f>
      </c>
    </row>
    <row r="1149">
      <c r="A1149" s="5">
        <v>1125</v>
      </c>
      <c r="B1149" s="5" t="str">
        <f>SMALL('Lineal Mixto'!$C$5:$C$2004,A1149)</f>
      </c>
      <c r="C1149" s="5" t="str">
        <f>A1149/COUNT('Lineal Mixto'!$C$5:$C$2004)</f>
      </c>
      <c r="D1149" s="5" t="str">
        <f>ABS(C1149-B1149)</f>
      </c>
    </row>
    <row r="1150">
      <c r="A1150" s="6">
        <v>1126</v>
      </c>
      <c r="B1150" s="6" t="str">
        <f>SMALL('Lineal Mixto'!$C$5:$C$2004,A1150)</f>
      </c>
      <c r="C1150" s="6" t="str">
        <f>A1150/COUNT('Lineal Mixto'!$C$5:$C$2004)</f>
      </c>
      <c r="D1150" s="6" t="str">
        <f>ABS(C1150-B1150)</f>
      </c>
    </row>
    <row r="1151">
      <c r="A1151" s="5">
        <v>1127</v>
      </c>
      <c r="B1151" s="5" t="str">
        <f>SMALL('Lineal Mixto'!$C$5:$C$2004,A1151)</f>
      </c>
      <c r="C1151" s="5" t="str">
        <f>A1151/COUNT('Lineal Mixto'!$C$5:$C$2004)</f>
      </c>
      <c r="D1151" s="5" t="str">
        <f>ABS(C1151-B1151)</f>
      </c>
    </row>
    <row r="1152">
      <c r="A1152" s="6">
        <v>1128</v>
      </c>
      <c r="B1152" s="6" t="str">
        <f>SMALL('Lineal Mixto'!$C$5:$C$2004,A1152)</f>
      </c>
      <c r="C1152" s="6" t="str">
        <f>A1152/COUNT('Lineal Mixto'!$C$5:$C$2004)</f>
      </c>
      <c r="D1152" s="6" t="str">
        <f>ABS(C1152-B1152)</f>
      </c>
    </row>
    <row r="1153">
      <c r="A1153" s="5">
        <v>1129</v>
      </c>
      <c r="B1153" s="5" t="str">
        <f>SMALL('Lineal Mixto'!$C$5:$C$2004,A1153)</f>
      </c>
      <c r="C1153" s="5" t="str">
        <f>A1153/COUNT('Lineal Mixto'!$C$5:$C$2004)</f>
      </c>
      <c r="D1153" s="5" t="str">
        <f>ABS(C1153-B1153)</f>
      </c>
    </row>
    <row r="1154">
      <c r="A1154" s="6">
        <v>1130</v>
      </c>
      <c r="B1154" s="6" t="str">
        <f>SMALL('Lineal Mixto'!$C$5:$C$2004,A1154)</f>
      </c>
      <c r="C1154" s="6" t="str">
        <f>A1154/COUNT('Lineal Mixto'!$C$5:$C$2004)</f>
      </c>
      <c r="D1154" s="6" t="str">
        <f>ABS(C1154-B1154)</f>
      </c>
    </row>
    <row r="1155">
      <c r="A1155" s="5">
        <v>1131</v>
      </c>
      <c r="B1155" s="5" t="str">
        <f>SMALL('Lineal Mixto'!$C$5:$C$2004,A1155)</f>
      </c>
      <c r="C1155" s="5" t="str">
        <f>A1155/COUNT('Lineal Mixto'!$C$5:$C$2004)</f>
      </c>
      <c r="D1155" s="5" t="str">
        <f>ABS(C1155-B1155)</f>
      </c>
    </row>
    <row r="1156">
      <c r="A1156" s="6">
        <v>1132</v>
      </c>
      <c r="B1156" s="6" t="str">
        <f>SMALL('Lineal Mixto'!$C$5:$C$2004,A1156)</f>
      </c>
      <c r="C1156" s="6" t="str">
        <f>A1156/COUNT('Lineal Mixto'!$C$5:$C$2004)</f>
      </c>
      <c r="D1156" s="6" t="str">
        <f>ABS(C1156-B1156)</f>
      </c>
    </row>
    <row r="1157">
      <c r="A1157" s="5">
        <v>1133</v>
      </c>
      <c r="B1157" s="5" t="str">
        <f>SMALL('Lineal Mixto'!$C$5:$C$2004,A1157)</f>
      </c>
      <c r="C1157" s="5" t="str">
        <f>A1157/COUNT('Lineal Mixto'!$C$5:$C$2004)</f>
      </c>
      <c r="D1157" s="5" t="str">
        <f>ABS(C1157-B1157)</f>
      </c>
    </row>
    <row r="1158">
      <c r="A1158" s="6">
        <v>1134</v>
      </c>
      <c r="B1158" s="6" t="str">
        <f>SMALL('Lineal Mixto'!$C$5:$C$2004,A1158)</f>
      </c>
      <c r="C1158" s="6" t="str">
        <f>A1158/COUNT('Lineal Mixto'!$C$5:$C$2004)</f>
      </c>
      <c r="D1158" s="6" t="str">
        <f>ABS(C1158-B1158)</f>
      </c>
    </row>
    <row r="1159">
      <c r="A1159" s="5">
        <v>1135</v>
      </c>
      <c r="B1159" s="5" t="str">
        <f>SMALL('Lineal Mixto'!$C$5:$C$2004,A1159)</f>
      </c>
      <c r="C1159" s="5" t="str">
        <f>A1159/COUNT('Lineal Mixto'!$C$5:$C$2004)</f>
      </c>
      <c r="D1159" s="5" t="str">
        <f>ABS(C1159-B1159)</f>
      </c>
    </row>
    <row r="1160">
      <c r="A1160" s="6">
        <v>1136</v>
      </c>
      <c r="B1160" s="6" t="str">
        <f>SMALL('Lineal Mixto'!$C$5:$C$2004,A1160)</f>
      </c>
      <c r="C1160" s="6" t="str">
        <f>A1160/COUNT('Lineal Mixto'!$C$5:$C$2004)</f>
      </c>
      <c r="D1160" s="6" t="str">
        <f>ABS(C1160-B1160)</f>
      </c>
    </row>
    <row r="1161">
      <c r="A1161" s="5">
        <v>1137</v>
      </c>
      <c r="B1161" s="5" t="str">
        <f>SMALL('Lineal Mixto'!$C$5:$C$2004,A1161)</f>
      </c>
      <c r="C1161" s="5" t="str">
        <f>A1161/COUNT('Lineal Mixto'!$C$5:$C$2004)</f>
      </c>
      <c r="D1161" s="5" t="str">
        <f>ABS(C1161-B1161)</f>
      </c>
    </row>
    <row r="1162">
      <c r="A1162" s="6">
        <v>1138</v>
      </c>
      <c r="B1162" s="6" t="str">
        <f>SMALL('Lineal Mixto'!$C$5:$C$2004,A1162)</f>
      </c>
      <c r="C1162" s="6" t="str">
        <f>A1162/COUNT('Lineal Mixto'!$C$5:$C$2004)</f>
      </c>
      <c r="D1162" s="6" t="str">
        <f>ABS(C1162-B1162)</f>
      </c>
    </row>
    <row r="1163">
      <c r="A1163" s="5">
        <v>1139</v>
      </c>
      <c r="B1163" s="5" t="str">
        <f>SMALL('Lineal Mixto'!$C$5:$C$2004,A1163)</f>
      </c>
      <c r="C1163" s="5" t="str">
        <f>A1163/COUNT('Lineal Mixto'!$C$5:$C$2004)</f>
      </c>
      <c r="D1163" s="5" t="str">
        <f>ABS(C1163-B1163)</f>
      </c>
    </row>
    <row r="1164">
      <c r="A1164" s="6">
        <v>1140</v>
      </c>
      <c r="B1164" s="6" t="str">
        <f>SMALL('Lineal Mixto'!$C$5:$C$2004,A1164)</f>
      </c>
      <c r="C1164" s="6" t="str">
        <f>A1164/COUNT('Lineal Mixto'!$C$5:$C$2004)</f>
      </c>
      <c r="D1164" s="6" t="str">
        <f>ABS(C1164-B1164)</f>
      </c>
    </row>
    <row r="1165">
      <c r="A1165" s="5">
        <v>1141</v>
      </c>
      <c r="B1165" s="5" t="str">
        <f>SMALL('Lineal Mixto'!$C$5:$C$2004,A1165)</f>
      </c>
      <c r="C1165" s="5" t="str">
        <f>A1165/COUNT('Lineal Mixto'!$C$5:$C$2004)</f>
      </c>
      <c r="D1165" s="5" t="str">
        <f>ABS(C1165-B1165)</f>
      </c>
    </row>
    <row r="1166">
      <c r="A1166" s="6">
        <v>1142</v>
      </c>
      <c r="B1166" s="6" t="str">
        <f>SMALL('Lineal Mixto'!$C$5:$C$2004,A1166)</f>
      </c>
      <c r="C1166" s="6" t="str">
        <f>A1166/COUNT('Lineal Mixto'!$C$5:$C$2004)</f>
      </c>
      <c r="D1166" s="6" t="str">
        <f>ABS(C1166-B1166)</f>
      </c>
    </row>
    <row r="1167">
      <c r="A1167" s="5">
        <v>1143</v>
      </c>
      <c r="B1167" s="5" t="str">
        <f>SMALL('Lineal Mixto'!$C$5:$C$2004,A1167)</f>
      </c>
      <c r="C1167" s="5" t="str">
        <f>A1167/COUNT('Lineal Mixto'!$C$5:$C$2004)</f>
      </c>
      <c r="D1167" s="5" t="str">
        <f>ABS(C1167-B1167)</f>
      </c>
    </row>
    <row r="1168">
      <c r="A1168" s="6">
        <v>1144</v>
      </c>
      <c r="B1168" s="6" t="str">
        <f>SMALL('Lineal Mixto'!$C$5:$C$2004,A1168)</f>
      </c>
      <c r="C1168" s="6" t="str">
        <f>A1168/COUNT('Lineal Mixto'!$C$5:$C$2004)</f>
      </c>
      <c r="D1168" s="6" t="str">
        <f>ABS(C1168-B1168)</f>
      </c>
    </row>
    <row r="1169">
      <c r="A1169" s="5">
        <v>1145</v>
      </c>
      <c r="B1169" s="5" t="str">
        <f>SMALL('Lineal Mixto'!$C$5:$C$2004,A1169)</f>
      </c>
      <c r="C1169" s="5" t="str">
        <f>A1169/COUNT('Lineal Mixto'!$C$5:$C$2004)</f>
      </c>
      <c r="D1169" s="5" t="str">
        <f>ABS(C1169-B1169)</f>
      </c>
    </row>
    <row r="1170">
      <c r="A1170" s="6">
        <v>1146</v>
      </c>
      <c r="B1170" s="6" t="str">
        <f>SMALL('Lineal Mixto'!$C$5:$C$2004,A1170)</f>
      </c>
      <c r="C1170" s="6" t="str">
        <f>A1170/COUNT('Lineal Mixto'!$C$5:$C$2004)</f>
      </c>
      <c r="D1170" s="6" t="str">
        <f>ABS(C1170-B1170)</f>
      </c>
    </row>
    <row r="1171">
      <c r="A1171" s="5">
        <v>1147</v>
      </c>
      <c r="B1171" s="5" t="str">
        <f>SMALL('Lineal Mixto'!$C$5:$C$2004,A1171)</f>
      </c>
      <c r="C1171" s="5" t="str">
        <f>A1171/COUNT('Lineal Mixto'!$C$5:$C$2004)</f>
      </c>
      <c r="D1171" s="5" t="str">
        <f>ABS(C1171-B1171)</f>
      </c>
    </row>
    <row r="1172">
      <c r="A1172" s="6">
        <v>1148</v>
      </c>
      <c r="B1172" s="6" t="str">
        <f>SMALL('Lineal Mixto'!$C$5:$C$2004,A1172)</f>
      </c>
      <c r="C1172" s="6" t="str">
        <f>A1172/COUNT('Lineal Mixto'!$C$5:$C$2004)</f>
      </c>
      <c r="D1172" s="6" t="str">
        <f>ABS(C1172-B1172)</f>
      </c>
    </row>
    <row r="1173">
      <c r="A1173" s="5">
        <v>1149</v>
      </c>
      <c r="B1173" s="5" t="str">
        <f>SMALL('Lineal Mixto'!$C$5:$C$2004,A1173)</f>
      </c>
      <c r="C1173" s="5" t="str">
        <f>A1173/COUNT('Lineal Mixto'!$C$5:$C$2004)</f>
      </c>
      <c r="D1173" s="5" t="str">
        <f>ABS(C1173-B1173)</f>
      </c>
    </row>
    <row r="1174">
      <c r="A1174" s="6">
        <v>1150</v>
      </c>
      <c r="B1174" s="6" t="str">
        <f>SMALL('Lineal Mixto'!$C$5:$C$2004,A1174)</f>
      </c>
      <c r="C1174" s="6" t="str">
        <f>A1174/COUNT('Lineal Mixto'!$C$5:$C$2004)</f>
      </c>
      <c r="D1174" s="6" t="str">
        <f>ABS(C1174-B1174)</f>
      </c>
    </row>
    <row r="1175">
      <c r="A1175" s="5">
        <v>1151</v>
      </c>
      <c r="B1175" s="5" t="str">
        <f>SMALL('Lineal Mixto'!$C$5:$C$2004,A1175)</f>
      </c>
      <c r="C1175" s="5" t="str">
        <f>A1175/COUNT('Lineal Mixto'!$C$5:$C$2004)</f>
      </c>
      <c r="D1175" s="5" t="str">
        <f>ABS(C1175-B1175)</f>
      </c>
    </row>
    <row r="1176">
      <c r="A1176" s="6">
        <v>1152</v>
      </c>
      <c r="B1176" s="6" t="str">
        <f>SMALL('Lineal Mixto'!$C$5:$C$2004,A1176)</f>
      </c>
      <c r="C1176" s="6" t="str">
        <f>A1176/COUNT('Lineal Mixto'!$C$5:$C$2004)</f>
      </c>
      <c r="D1176" s="6" t="str">
        <f>ABS(C1176-B1176)</f>
      </c>
    </row>
    <row r="1177">
      <c r="A1177" s="5">
        <v>1153</v>
      </c>
      <c r="B1177" s="5" t="str">
        <f>SMALL('Lineal Mixto'!$C$5:$C$2004,A1177)</f>
      </c>
      <c r="C1177" s="5" t="str">
        <f>A1177/COUNT('Lineal Mixto'!$C$5:$C$2004)</f>
      </c>
      <c r="D1177" s="5" t="str">
        <f>ABS(C1177-B1177)</f>
      </c>
    </row>
    <row r="1178">
      <c r="A1178" s="6">
        <v>1154</v>
      </c>
      <c r="B1178" s="6" t="str">
        <f>SMALL('Lineal Mixto'!$C$5:$C$2004,A1178)</f>
      </c>
      <c r="C1178" s="6" t="str">
        <f>A1178/COUNT('Lineal Mixto'!$C$5:$C$2004)</f>
      </c>
      <c r="D1178" s="6" t="str">
        <f>ABS(C1178-B1178)</f>
      </c>
    </row>
    <row r="1179">
      <c r="A1179" s="5">
        <v>1155</v>
      </c>
      <c r="B1179" s="5" t="str">
        <f>SMALL('Lineal Mixto'!$C$5:$C$2004,A1179)</f>
      </c>
      <c r="C1179" s="5" t="str">
        <f>A1179/COUNT('Lineal Mixto'!$C$5:$C$2004)</f>
      </c>
      <c r="D1179" s="5" t="str">
        <f>ABS(C1179-B1179)</f>
      </c>
    </row>
    <row r="1180">
      <c r="A1180" s="6">
        <v>1156</v>
      </c>
      <c r="B1180" s="6" t="str">
        <f>SMALL('Lineal Mixto'!$C$5:$C$2004,A1180)</f>
      </c>
      <c r="C1180" s="6" t="str">
        <f>A1180/COUNT('Lineal Mixto'!$C$5:$C$2004)</f>
      </c>
      <c r="D1180" s="6" t="str">
        <f>ABS(C1180-B1180)</f>
      </c>
    </row>
    <row r="1181">
      <c r="A1181" s="5">
        <v>1157</v>
      </c>
      <c r="B1181" s="5" t="str">
        <f>SMALL('Lineal Mixto'!$C$5:$C$2004,A1181)</f>
      </c>
      <c r="C1181" s="5" t="str">
        <f>A1181/COUNT('Lineal Mixto'!$C$5:$C$2004)</f>
      </c>
      <c r="D1181" s="5" t="str">
        <f>ABS(C1181-B1181)</f>
      </c>
    </row>
    <row r="1182">
      <c r="A1182" s="6">
        <v>1158</v>
      </c>
      <c r="B1182" s="6" t="str">
        <f>SMALL('Lineal Mixto'!$C$5:$C$2004,A1182)</f>
      </c>
      <c r="C1182" s="6" t="str">
        <f>A1182/COUNT('Lineal Mixto'!$C$5:$C$2004)</f>
      </c>
      <c r="D1182" s="6" t="str">
        <f>ABS(C1182-B1182)</f>
      </c>
    </row>
    <row r="1183">
      <c r="A1183" s="5">
        <v>1159</v>
      </c>
      <c r="B1183" s="5" t="str">
        <f>SMALL('Lineal Mixto'!$C$5:$C$2004,A1183)</f>
      </c>
      <c r="C1183" s="5" t="str">
        <f>A1183/COUNT('Lineal Mixto'!$C$5:$C$2004)</f>
      </c>
      <c r="D1183" s="5" t="str">
        <f>ABS(C1183-B1183)</f>
      </c>
    </row>
    <row r="1184">
      <c r="A1184" s="6">
        <v>1160</v>
      </c>
      <c r="B1184" s="6" t="str">
        <f>SMALL('Lineal Mixto'!$C$5:$C$2004,A1184)</f>
      </c>
      <c r="C1184" s="6" t="str">
        <f>A1184/COUNT('Lineal Mixto'!$C$5:$C$2004)</f>
      </c>
      <c r="D1184" s="6" t="str">
        <f>ABS(C1184-B1184)</f>
      </c>
    </row>
    <row r="1185">
      <c r="A1185" s="5">
        <v>1161</v>
      </c>
      <c r="B1185" s="5" t="str">
        <f>SMALL('Lineal Mixto'!$C$5:$C$2004,A1185)</f>
      </c>
      <c r="C1185" s="5" t="str">
        <f>A1185/COUNT('Lineal Mixto'!$C$5:$C$2004)</f>
      </c>
      <c r="D1185" s="5" t="str">
        <f>ABS(C1185-B1185)</f>
      </c>
    </row>
    <row r="1186">
      <c r="A1186" s="6">
        <v>1162</v>
      </c>
      <c r="B1186" s="6" t="str">
        <f>SMALL('Lineal Mixto'!$C$5:$C$2004,A1186)</f>
      </c>
      <c r="C1186" s="6" t="str">
        <f>A1186/COUNT('Lineal Mixto'!$C$5:$C$2004)</f>
      </c>
      <c r="D1186" s="6" t="str">
        <f>ABS(C1186-B1186)</f>
      </c>
    </row>
    <row r="1187">
      <c r="A1187" s="5">
        <v>1163</v>
      </c>
      <c r="B1187" s="5" t="str">
        <f>SMALL('Lineal Mixto'!$C$5:$C$2004,A1187)</f>
      </c>
      <c r="C1187" s="5" t="str">
        <f>A1187/COUNT('Lineal Mixto'!$C$5:$C$2004)</f>
      </c>
      <c r="D1187" s="5" t="str">
        <f>ABS(C1187-B1187)</f>
      </c>
    </row>
    <row r="1188">
      <c r="A1188" s="6">
        <v>1164</v>
      </c>
      <c r="B1188" s="6" t="str">
        <f>SMALL('Lineal Mixto'!$C$5:$C$2004,A1188)</f>
      </c>
      <c r="C1188" s="6" t="str">
        <f>A1188/COUNT('Lineal Mixto'!$C$5:$C$2004)</f>
      </c>
      <c r="D1188" s="6" t="str">
        <f>ABS(C1188-B1188)</f>
      </c>
    </row>
    <row r="1189">
      <c r="A1189" s="5">
        <v>1165</v>
      </c>
      <c r="B1189" s="5" t="str">
        <f>SMALL('Lineal Mixto'!$C$5:$C$2004,A1189)</f>
      </c>
      <c r="C1189" s="5" t="str">
        <f>A1189/COUNT('Lineal Mixto'!$C$5:$C$2004)</f>
      </c>
      <c r="D1189" s="5" t="str">
        <f>ABS(C1189-B1189)</f>
      </c>
    </row>
    <row r="1190">
      <c r="A1190" s="6">
        <v>1166</v>
      </c>
      <c r="B1190" s="6" t="str">
        <f>SMALL('Lineal Mixto'!$C$5:$C$2004,A1190)</f>
      </c>
      <c r="C1190" s="6" t="str">
        <f>A1190/COUNT('Lineal Mixto'!$C$5:$C$2004)</f>
      </c>
      <c r="D1190" s="6" t="str">
        <f>ABS(C1190-B1190)</f>
      </c>
    </row>
    <row r="1191">
      <c r="A1191" s="5">
        <v>1167</v>
      </c>
      <c r="B1191" s="5" t="str">
        <f>SMALL('Lineal Mixto'!$C$5:$C$2004,A1191)</f>
      </c>
      <c r="C1191" s="5" t="str">
        <f>A1191/COUNT('Lineal Mixto'!$C$5:$C$2004)</f>
      </c>
      <c r="D1191" s="5" t="str">
        <f>ABS(C1191-B1191)</f>
      </c>
    </row>
    <row r="1192">
      <c r="A1192" s="6">
        <v>1168</v>
      </c>
      <c r="B1192" s="6" t="str">
        <f>SMALL('Lineal Mixto'!$C$5:$C$2004,A1192)</f>
      </c>
      <c r="C1192" s="6" t="str">
        <f>A1192/COUNT('Lineal Mixto'!$C$5:$C$2004)</f>
      </c>
      <c r="D1192" s="6" t="str">
        <f>ABS(C1192-B1192)</f>
      </c>
    </row>
    <row r="1193">
      <c r="A1193" s="5">
        <v>1169</v>
      </c>
      <c r="B1193" s="5" t="str">
        <f>SMALL('Lineal Mixto'!$C$5:$C$2004,A1193)</f>
      </c>
      <c r="C1193" s="5" t="str">
        <f>A1193/COUNT('Lineal Mixto'!$C$5:$C$2004)</f>
      </c>
      <c r="D1193" s="5" t="str">
        <f>ABS(C1193-B1193)</f>
      </c>
    </row>
    <row r="1194">
      <c r="A1194" s="6">
        <v>1170</v>
      </c>
      <c r="B1194" s="6" t="str">
        <f>SMALL('Lineal Mixto'!$C$5:$C$2004,A1194)</f>
      </c>
      <c r="C1194" s="6" t="str">
        <f>A1194/COUNT('Lineal Mixto'!$C$5:$C$2004)</f>
      </c>
      <c r="D1194" s="6" t="str">
        <f>ABS(C1194-B1194)</f>
      </c>
    </row>
    <row r="1195">
      <c r="A1195" s="5">
        <v>1171</v>
      </c>
      <c r="B1195" s="5" t="str">
        <f>SMALL('Lineal Mixto'!$C$5:$C$2004,A1195)</f>
      </c>
      <c r="C1195" s="5" t="str">
        <f>A1195/COUNT('Lineal Mixto'!$C$5:$C$2004)</f>
      </c>
      <c r="D1195" s="5" t="str">
        <f>ABS(C1195-B1195)</f>
      </c>
    </row>
    <row r="1196">
      <c r="A1196" s="6">
        <v>1172</v>
      </c>
      <c r="B1196" s="6" t="str">
        <f>SMALL('Lineal Mixto'!$C$5:$C$2004,A1196)</f>
      </c>
      <c r="C1196" s="6" t="str">
        <f>A1196/COUNT('Lineal Mixto'!$C$5:$C$2004)</f>
      </c>
      <c r="D1196" s="6" t="str">
        <f>ABS(C1196-B1196)</f>
      </c>
    </row>
    <row r="1197">
      <c r="A1197" s="5">
        <v>1173</v>
      </c>
      <c r="B1197" s="5" t="str">
        <f>SMALL('Lineal Mixto'!$C$5:$C$2004,A1197)</f>
      </c>
      <c r="C1197" s="5" t="str">
        <f>A1197/COUNT('Lineal Mixto'!$C$5:$C$2004)</f>
      </c>
      <c r="D1197" s="5" t="str">
        <f>ABS(C1197-B1197)</f>
      </c>
    </row>
    <row r="1198">
      <c r="A1198" s="6">
        <v>1174</v>
      </c>
      <c r="B1198" s="6" t="str">
        <f>SMALL('Lineal Mixto'!$C$5:$C$2004,A1198)</f>
      </c>
      <c r="C1198" s="6" t="str">
        <f>A1198/COUNT('Lineal Mixto'!$C$5:$C$2004)</f>
      </c>
      <c r="D1198" s="6" t="str">
        <f>ABS(C1198-B1198)</f>
      </c>
    </row>
    <row r="1199">
      <c r="A1199" s="5">
        <v>1175</v>
      </c>
      <c r="B1199" s="5" t="str">
        <f>SMALL('Lineal Mixto'!$C$5:$C$2004,A1199)</f>
      </c>
      <c r="C1199" s="5" t="str">
        <f>A1199/COUNT('Lineal Mixto'!$C$5:$C$2004)</f>
      </c>
      <c r="D1199" s="5" t="str">
        <f>ABS(C1199-B1199)</f>
      </c>
    </row>
    <row r="1200">
      <c r="A1200" s="6">
        <v>1176</v>
      </c>
      <c r="B1200" s="6" t="str">
        <f>SMALL('Lineal Mixto'!$C$5:$C$2004,A1200)</f>
      </c>
      <c r="C1200" s="6" t="str">
        <f>A1200/COUNT('Lineal Mixto'!$C$5:$C$2004)</f>
      </c>
      <c r="D1200" s="6" t="str">
        <f>ABS(C1200-B1200)</f>
      </c>
    </row>
    <row r="1201">
      <c r="A1201" s="5">
        <v>1177</v>
      </c>
      <c r="B1201" s="5" t="str">
        <f>SMALL('Lineal Mixto'!$C$5:$C$2004,A1201)</f>
      </c>
      <c r="C1201" s="5" t="str">
        <f>A1201/COUNT('Lineal Mixto'!$C$5:$C$2004)</f>
      </c>
      <c r="D1201" s="5" t="str">
        <f>ABS(C1201-B1201)</f>
      </c>
    </row>
    <row r="1202">
      <c r="A1202" s="6">
        <v>1178</v>
      </c>
      <c r="B1202" s="6" t="str">
        <f>SMALL('Lineal Mixto'!$C$5:$C$2004,A1202)</f>
      </c>
      <c r="C1202" s="6" t="str">
        <f>A1202/COUNT('Lineal Mixto'!$C$5:$C$2004)</f>
      </c>
      <c r="D1202" s="6" t="str">
        <f>ABS(C1202-B1202)</f>
      </c>
    </row>
    <row r="1203">
      <c r="A1203" s="5">
        <v>1179</v>
      </c>
      <c r="B1203" s="5" t="str">
        <f>SMALL('Lineal Mixto'!$C$5:$C$2004,A1203)</f>
      </c>
      <c r="C1203" s="5" t="str">
        <f>A1203/COUNT('Lineal Mixto'!$C$5:$C$2004)</f>
      </c>
      <c r="D1203" s="5" t="str">
        <f>ABS(C1203-B1203)</f>
      </c>
    </row>
    <row r="1204">
      <c r="A1204" s="6">
        <v>1180</v>
      </c>
      <c r="B1204" s="6" t="str">
        <f>SMALL('Lineal Mixto'!$C$5:$C$2004,A1204)</f>
      </c>
      <c r="C1204" s="6" t="str">
        <f>A1204/COUNT('Lineal Mixto'!$C$5:$C$2004)</f>
      </c>
      <c r="D1204" s="6" t="str">
        <f>ABS(C1204-B1204)</f>
      </c>
    </row>
    <row r="1205">
      <c r="A1205" s="5">
        <v>1181</v>
      </c>
      <c r="B1205" s="5" t="str">
        <f>SMALL('Lineal Mixto'!$C$5:$C$2004,A1205)</f>
      </c>
      <c r="C1205" s="5" t="str">
        <f>A1205/COUNT('Lineal Mixto'!$C$5:$C$2004)</f>
      </c>
      <c r="D1205" s="5" t="str">
        <f>ABS(C1205-B1205)</f>
      </c>
    </row>
    <row r="1206">
      <c r="A1206" s="6">
        <v>1182</v>
      </c>
      <c r="B1206" s="6" t="str">
        <f>SMALL('Lineal Mixto'!$C$5:$C$2004,A1206)</f>
      </c>
      <c r="C1206" s="6" t="str">
        <f>A1206/COUNT('Lineal Mixto'!$C$5:$C$2004)</f>
      </c>
      <c r="D1206" s="6" t="str">
        <f>ABS(C1206-B1206)</f>
      </c>
    </row>
    <row r="1207">
      <c r="A1207" s="5">
        <v>1183</v>
      </c>
      <c r="B1207" s="5" t="str">
        <f>SMALL('Lineal Mixto'!$C$5:$C$2004,A1207)</f>
      </c>
      <c r="C1207" s="5" t="str">
        <f>A1207/COUNT('Lineal Mixto'!$C$5:$C$2004)</f>
      </c>
      <c r="D1207" s="5" t="str">
        <f>ABS(C1207-B1207)</f>
      </c>
    </row>
    <row r="1208">
      <c r="A1208" s="6">
        <v>1184</v>
      </c>
      <c r="B1208" s="6" t="str">
        <f>SMALL('Lineal Mixto'!$C$5:$C$2004,A1208)</f>
      </c>
      <c r="C1208" s="6" t="str">
        <f>A1208/COUNT('Lineal Mixto'!$C$5:$C$2004)</f>
      </c>
      <c r="D1208" s="6" t="str">
        <f>ABS(C1208-B1208)</f>
      </c>
    </row>
    <row r="1209">
      <c r="A1209" s="5">
        <v>1185</v>
      </c>
      <c r="B1209" s="5" t="str">
        <f>SMALL('Lineal Mixto'!$C$5:$C$2004,A1209)</f>
      </c>
      <c r="C1209" s="5" t="str">
        <f>A1209/COUNT('Lineal Mixto'!$C$5:$C$2004)</f>
      </c>
      <c r="D1209" s="5" t="str">
        <f>ABS(C1209-B1209)</f>
      </c>
    </row>
    <row r="1210">
      <c r="A1210" s="6">
        <v>1186</v>
      </c>
      <c r="B1210" s="6" t="str">
        <f>SMALL('Lineal Mixto'!$C$5:$C$2004,A1210)</f>
      </c>
      <c r="C1210" s="6" t="str">
        <f>A1210/COUNT('Lineal Mixto'!$C$5:$C$2004)</f>
      </c>
      <c r="D1210" s="6" t="str">
        <f>ABS(C1210-B1210)</f>
      </c>
    </row>
    <row r="1211">
      <c r="A1211" s="5">
        <v>1187</v>
      </c>
      <c r="B1211" s="5" t="str">
        <f>SMALL('Lineal Mixto'!$C$5:$C$2004,A1211)</f>
      </c>
      <c r="C1211" s="5" t="str">
        <f>A1211/COUNT('Lineal Mixto'!$C$5:$C$2004)</f>
      </c>
      <c r="D1211" s="5" t="str">
        <f>ABS(C1211-B1211)</f>
      </c>
    </row>
    <row r="1212">
      <c r="A1212" s="6">
        <v>1188</v>
      </c>
      <c r="B1212" s="6" t="str">
        <f>SMALL('Lineal Mixto'!$C$5:$C$2004,A1212)</f>
      </c>
      <c r="C1212" s="6" t="str">
        <f>A1212/COUNT('Lineal Mixto'!$C$5:$C$2004)</f>
      </c>
      <c r="D1212" s="6" t="str">
        <f>ABS(C1212-B1212)</f>
      </c>
    </row>
    <row r="1213">
      <c r="A1213" s="5">
        <v>1189</v>
      </c>
      <c r="B1213" s="5" t="str">
        <f>SMALL('Lineal Mixto'!$C$5:$C$2004,A1213)</f>
      </c>
      <c r="C1213" s="5" t="str">
        <f>A1213/COUNT('Lineal Mixto'!$C$5:$C$2004)</f>
      </c>
      <c r="D1213" s="5" t="str">
        <f>ABS(C1213-B1213)</f>
      </c>
    </row>
    <row r="1214">
      <c r="A1214" s="6">
        <v>1190</v>
      </c>
      <c r="B1214" s="6" t="str">
        <f>SMALL('Lineal Mixto'!$C$5:$C$2004,A1214)</f>
      </c>
      <c r="C1214" s="6" t="str">
        <f>A1214/COUNT('Lineal Mixto'!$C$5:$C$2004)</f>
      </c>
      <c r="D1214" s="6" t="str">
        <f>ABS(C1214-B1214)</f>
      </c>
    </row>
    <row r="1215">
      <c r="A1215" s="5">
        <v>1191</v>
      </c>
      <c r="B1215" s="5" t="str">
        <f>SMALL('Lineal Mixto'!$C$5:$C$2004,A1215)</f>
      </c>
      <c r="C1215" s="5" t="str">
        <f>A1215/COUNT('Lineal Mixto'!$C$5:$C$2004)</f>
      </c>
      <c r="D1215" s="5" t="str">
        <f>ABS(C1215-B1215)</f>
      </c>
    </row>
    <row r="1216">
      <c r="A1216" s="6">
        <v>1192</v>
      </c>
      <c r="B1216" s="6" t="str">
        <f>SMALL('Lineal Mixto'!$C$5:$C$2004,A1216)</f>
      </c>
      <c r="C1216" s="6" t="str">
        <f>A1216/COUNT('Lineal Mixto'!$C$5:$C$2004)</f>
      </c>
      <c r="D1216" s="6" t="str">
        <f>ABS(C1216-B1216)</f>
      </c>
    </row>
    <row r="1217">
      <c r="A1217" s="5">
        <v>1193</v>
      </c>
      <c r="B1217" s="5" t="str">
        <f>SMALL('Lineal Mixto'!$C$5:$C$2004,A1217)</f>
      </c>
      <c r="C1217" s="5" t="str">
        <f>A1217/COUNT('Lineal Mixto'!$C$5:$C$2004)</f>
      </c>
      <c r="D1217" s="5" t="str">
        <f>ABS(C1217-B1217)</f>
      </c>
    </row>
    <row r="1218">
      <c r="A1218" s="6">
        <v>1194</v>
      </c>
      <c r="B1218" s="6" t="str">
        <f>SMALL('Lineal Mixto'!$C$5:$C$2004,A1218)</f>
      </c>
      <c r="C1218" s="6" t="str">
        <f>A1218/COUNT('Lineal Mixto'!$C$5:$C$2004)</f>
      </c>
      <c r="D1218" s="6" t="str">
        <f>ABS(C1218-B1218)</f>
      </c>
    </row>
    <row r="1219">
      <c r="A1219" s="5">
        <v>1195</v>
      </c>
      <c r="B1219" s="5" t="str">
        <f>SMALL('Lineal Mixto'!$C$5:$C$2004,A1219)</f>
      </c>
      <c r="C1219" s="5" t="str">
        <f>A1219/COUNT('Lineal Mixto'!$C$5:$C$2004)</f>
      </c>
      <c r="D1219" s="5" t="str">
        <f>ABS(C1219-B1219)</f>
      </c>
    </row>
    <row r="1220">
      <c r="A1220" s="6">
        <v>1196</v>
      </c>
      <c r="B1220" s="6" t="str">
        <f>SMALL('Lineal Mixto'!$C$5:$C$2004,A1220)</f>
      </c>
      <c r="C1220" s="6" t="str">
        <f>A1220/COUNT('Lineal Mixto'!$C$5:$C$2004)</f>
      </c>
      <c r="D1220" s="6" t="str">
        <f>ABS(C1220-B1220)</f>
      </c>
    </row>
    <row r="1221">
      <c r="A1221" s="5">
        <v>1197</v>
      </c>
      <c r="B1221" s="5" t="str">
        <f>SMALL('Lineal Mixto'!$C$5:$C$2004,A1221)</f>
      </c>
      <c r="C1221" s="5" t="str">
        <f>A1221/COUNT('Lineal Mixto'!$C$5:$C$2004)</f>
      </c>
      <c r="D1221" s="5" t="str">
        <f>ABS(C1221-B1221)</f>
      </c>
    </row>
    <row r="1222">
      <c r="A1222" s="6">
        <v>1198</v>
      </c>
      <c r="B1222" s="6" t="str">
        <f>SMALL('Lineal Mixto'!$C$5:$C$2004,A1222)</f>
      </c>
      <c r="C1222" s="6" t="str">
        <f>A1222/COUNT('Lineal Mixto'!$C$5:$C$2004)</f>
      </c>
      <c r="D1222" s="6" t="str">
        <f>ABS(C1222-B1222)</f>
      </c>
    </row>
    <row r="1223">
      <c r="A1223" s="5">
        <v>1199</v>
      </c>
      <c r="B1223" s="5" t="str">
        <f>SMALL('Lineal Mixto'!$C$5:$C$2004,A1223)</f>
      </c>
      <c r="C1223" s="5" t="str">
        <f>A1223/COUNT('Lineal Mixto'!$C$5:$C$2004)</f>
      </c>
      <c r="D1223" s="5" t="str">
        <f>ABS(C1223-B1223)</f>
      </c>
    </row>
    <row r="1224">
      <c r="A1224" s="6">
        <v>1200</v>
      </c>
      <c r="B1224" s="6" t="str">
        <f>SMALL('Lineal Mixto'!$C$5:$C$2004,A1224)</f>
      </c>
      <c r="C1224" s="6" t="str">
        <f>A1224/COUNT('Lineal Mixto'!$C$5:$C$2004)</f>
      </c>
      <c r="D1224" s="6" t="str">
        <f>ABS(C1224-B1224)</f>
      </c>
    </row>
    <row r="1225">
      <c r="A1225" s="5">
        <v>1201</v>
      </c>
      <c r="B1225" s="5" t="str">
        <f>SMALL('Lineal Mixto'!$C$5:$C$2004,A1225)</f>
      </c>
      <c r="C1225" s="5" t="str">
        <f>A1225/COUNT('Lineal Mixto'!$C$5:$C$2004)</f>
      </c>
      <c r="D1225" s="5" t="str">
        <f>ABS(C1225-B1225)</f>
      </c>
    </row>
    <row r="1226">
      <c r="A1226" s="6">
        <v>1202</v>
      </c>
      <c r="B1226" s="6" t="str">
        <f>SMALL('Lineal Mixto'!$C$5:$C$2004,A1226)</f>
      </c>
      <c r="C1226" s="6" t="str">
        <f>A1226/COUNT('Lineal Mixto'!$C$5:$C$2004)</f>
      </c>
      <c r="D1226" s="6" t="str">
        <f>ABS(C1226-B1226)</f>
      </c>
    </row>
    <row r="1227">
      <c r="A1227" s="5">
        <v>1203</v>
      </c>
      <c r="B1227" s="5" t="str">
        <f>SMALL('Lineal Mixto'!$C$5:$C$2004,A1227)</f>
      </c>
      <c r="C1227" s="5" t="str">
        <f>A1227/COUNT('Lineal Mixto'!$C$5:$C$2004)</f>
      </c>
      <c r="D1227" s="5" t="str">
        <f>ABS(C1227-B1227)</f>
      </c>
    </row>
    <row r="1228">
      <c r="A1228" s="6">
        <v>1204</v>
      </c>
      <c r="B1228" s="6" t="str">
        <f>SMALL('Lineal Mixto'!$C$5:$C$2004,A1228)</f>
      </c>
      <c r="C1228" s="6" t="str">
        <f>A1228/COUNT('Lineal Mixto'!$C$5:$C$2004)</f>
      </c>
      <c r="D1228" s="6" t="str">
        <f>ABS(C1228-B1228)</f>
      </c>
    </row>
    <row r="1229">
      <c r="A1229" s="5">
        <v>1205</v>
      </c>
      <c r="B1229" s="5" t="str">
        <f>SMALL('Lineal Mixto'!$C$5:$C$2004,A1229)</f>
      </c>
      <c r="C1229" s="5" t="str">
        <f>A1229/COUNT('Lineal Mixto'!$C$5:$C$2004)</f>
      </c>
      <c r="D1229" s="5" t="str">
        <f>ABS(C1229-B1229)</f>
      </c>
    </row>
    <row r="1230">
      <c r="A1230" s="6">
        <v>1206</v>
      </c>
      <c r="B1230" s="6" t="str">
        <f>SMALL('Lineal Mixto'!$C$5:$C$2004,A1230)</f>
      </c>
      <c r="C1230" s="6" t="str">
        <f>A1230/COUNT('Lineal Mixto'!$C$5:$C$2004)</f>
      </c>
      <c r="D1230" s="6" t="str">
        <f>ABS(C1230-B1230)</f>
      </c>
    </row>
    <row r="1231">
      <c r="A1231" s="5">
        <v>1207</v>
      </c>
      <c r="B1231" s="5" t="str">
        <f>SMALL('Lineal Mixto'!$C$5:$C$2004,A1231)</f>
      </c>
      <c r="C1231" s="5" t="str">
        <f>A1231/COUNT('Lineal Mixto'!$C$5:$C$2004)</f>
      </c>
      <c r="D1231" s="5" t="str">
        <f>ABS(C1231-B1231)</f>
      </c>
    </row>
    <row r="1232">
      <c r="A1232" s="6">
        <v>1208</v>
      </c>
      <c r="B1232" s="6" t="str">
        <f>SMALL('Lineal Mixto'!$C$5:$C$2004,A1232)</f>
      </c>
      <c r="C1232" s="6" t="str">
        <f>A1232/COUNT('Lineal Mixto'!$C$5:$C$2004)</f>
      </c>
      <c r="D1232" s="6" t="str">
        <f>ABS(C1232-B1232)</f>
      </c>
    </row>
    <row r="1233">
      <c r="A1233" s="5">
        <v>1209</v>
      </c>
      <c r="B1233" s="5" t="str">
        <f>SMALL('Lineal Mixto'!$C$5:$C$2004,A1233)</f>
      </c>
      <c r="C1233" s="5" t="str">
        <f>A1233/COUNT('Lineal Mixto'!$C$5:$C$2004)</f>
      </c>
      <c r="D1233" s="5" t="str">
        <f>ABS(C1233-B1233)</f>
      </c>
    </row>
    <row r="1234">
      <c r="A1234" s="6">
        <v>1210</v>
      </c>
      <c r="B1234" s="6" t="str">
        <f>SMALL('Lineal Mixto'!$C$5:$C$2004,A1234)</f>
      </c>
      <c r="C1234" s="6" t="str">
        <f>A1234/COUNT('Lineal Mixto'!$C$5:$C$2004)</f>
      </c>
      <c r="D1234" s="6" t="str">
        <f>ABS(C1234-B1234)</f>
      </c>
    </row>
    <row r="1235">
      <c r="A1235" s="5">
        <v>1211</v>
      </c>
      <c r="B1235" s="5" t="str">
        <f>SMALL('Lineal Mixto'!$C$5:$C$2004,A1235)</f>
      </c>
      <c r="C1235" s="5" t="str">
        <f>A1235/COUNT('Lineal Mixto'!$C$5:$C$2004)</f>
      </c>
      <c r="D1235" s="5" t="str">
        <f>ABS(C1235-B1235)</f>
      </c>
    </row>
    <row r="1236">
      <c r="A1236" s="6">
        <v>1212</v>
      </c>
      <c r="B1236" s="6" t="str">
        <f>SMALL('Lineal Mixto'!$C$5:$C$2004,A1236)</f>
      </c>
      <c r="C1236" s="6" t="str">
        <f>A1236/COUNT('Lineal Mixto'!$C$5:$C$2004)</f>
      </c>
      <c r="D1236" s="6" t="str">
        <f>ABS(C1236-B1236)</f>
      </c>
    </row>
    <row r="1237">
      <c r="A1237" s="5">
        <v>1213</v>
      </c>
      <c r="B1237" s="5" t="str">
        <f>SMALL('Lineal Mixto'!$C$5:$C$2004,A1237)</f>
      </c>
      <c r="C1237" s="5" t="str">
        <f>A1237/COUNT('Lineal Mixto'!$C$5:$C$2004)</f>
      </c>
      <c r="D1237" s="5" t="str">
        <f>ABS(C1237-B1237)</f>
      </c>
    </row>
    <row r="1238">
      <c r="A1238" s="6">
        <v>1214</v>
      </c>
      <c r="B1238" s="6" t="str">
        <f>SMALL('Lineal Mixto'!$C$5:$C$2004,A1238)</f>
      </c>
      <c r="C1238" s="6" t="str">
        <f>A1238/COUNT('Lineal Mixto'!$C$5:$C$2004)</f>
      </c>
      <c r="D1238" s="6" t="str">
        <f>ABS(C1238-B1238)</f>
      </c>
    </row>
    <row r="1239">
      <c r="A1239" s="5">
        <v>1215</v>
      </c>
      <c r="B1239" s="5" t="str">
        <f>SMALL('Lineal Mixto'!$C$5:$C$2004,A1239)</f>
      </c>
      <c r="C1239" s="5" t="str">
        <f>A1239/COUNT('Lineal Mixto'!$C$5:$C$2004)</f>
      </c>
      <c r="D1239" s="5" t="str">
        <f>ABS(C1239-B1239)</f>
      </c>
    </row>
    <row r="1240">
      <c r="A1240" s="6">
        <v>1216</v>
      </c>
      <c r="B1240" s="6" t="str">
        <f>SMALL('Lineal Mixto'!$C$5:$C$2004,A1240)</f>
      </c>
      <c r="C1240" s="6" t="str">
        <f>A1240/COUNT('Lineal Mixto'!$C$5:$C$2004)</f>
      </c>
      <c r="D1240" s="6" t="str">
        <f>ABS(C1240-B1240)</f>
      </c>
    </row>
    <row r="1241">
      <c r="A1241" s="5">
        <v>1217</v>
      </c>
      <c r="B1241" s="5" t="str">
        <f>SMALL('Lineal Mixto'!$C$5:$C$2004,A1241)</f>
      </c>
      <c r="C1241" s="5" t="str">
        <f>A1241/COUNT('Lineal Mixto'!$C$5:$C$2004)</f>
      </c>
      <c r="D1241" s="5" t="str">
        <f>ABS(C1241-B1241)</f>
      </c>
    </row>
    <row r="1242">
      <c r="A1242" s="6">
        <v>1218</v>
      </c>
      <c r="B1242" s="6" t="str">
        <f>SMALL('Lineal Mixto'!$C$5:$C$2004,A1242)</f>
      </c>
      <c r="C1242" s="6" t="str">
        <f>A1242/COUNT('Lineal Mixto'!$C$5:$C$2004)</f>
      </c>
      <c r="D1242" s="6" t="str">
        <f>ABS(C1242-B1242)</f>
      </c>
    </row>
    <row r="1243">
      <c r="A1243" s="5">
        <v>1219</v>
      </c>
      <c r="B1243" s="5" t="str">
        <f>SMALL('Lineal Mixto'!$C$5:$C$2004,A1243)</f>
      </c>
      <c r="C1243" s="5" t="str">
        <f>A1243/COUNT('Lineal Mixto'!$C$5:$C$2004)</f>
      </c>
      <c r="D1243" s="5" t="str">
        <f>ABS(C1243-B1243)</f>
      </c>
    </row>
    <row r="1244">
      <c r="A1244" s="6">
        <v>1220</v>
      </c>
      <c r="B1244" s="6" t="str">
        <f>SMALL('Lineal Mixto'!$C$5:$C$2004,A1244)</f>
      </c>
      <c r="C1244" s="6" t="str">
        <f>A1244/COUNT('Lineal Mixto'!$C$5:$C$2004)</f>
      </c>
      <c r="D1244" s="6" t="str">
        <f>ABS(C1244-B1244)</f>
      </c>
    </row>
    <row r="1245">
      <c r="A1245" s="5">
        <v>1221</v>
      </c>
      <c r="B1245" s="5" t="str">
        <f>SMALL('Lineal Mixto'!$C$5:$C$2004,A1245)</f>
      </c>
      <c r="C1245" s="5" t="str">
        <f>A1245/COUNT('Lineal Mixto'!$C$5:$C$2004)</f>
      </c>
      <c r="D1245" s="5" t="str">
        <f>ABS(C1245-B1245)</f>
      </c>
    </row>
    <row r="1246">
      <c r="A1246" s="6">
        <v>1222</v>
      </c>
      <c r="B1246" s="6" t="str">
        <f>SMALL('Lineal Mixto'!$C$5:$C$2004,A1246)</f>
      </c>
      <c r="C1246" s="6" t="str">
        <f>A1246/COUNT('Lineal Mixto'!$C$5:$C$2004)</f>
      </c>
      <c r="D1246" s="6" t="str">
        <f>ABS(C1246-B1246)</f>
      </c>
    </row>
    <row r="1247">
      <c r="A1247" s="5">
        <v>1223</v>
      </c>
      <c r="B1247" s="5" t="str">
        <f>SMALL('Lineal Mixto'!$C$5:$C$2004,A1247)</f>
      </c>
      <c r="C1247" s="5" t="str">
        <f>A1247/COUNT('Lineal Mixto'!$C$5:$C$2004)</f>
      </c>
      <c r="D1247" s="5" t="str">
        <f>ABS(C1247-B1247)</f>
      </c>
    </row>
    <row r="1248">
      <c r="A1248" s="6">
        <v>1224</v>
      </c>
      <c r="B1248" s="6" t="str">
        <f>SMALL('Lineal Mixto'!$C$5:$C$2004,A1248)</f>
      </c>
      <c r="C1248" s="6" t="str">
        <f>A1248/COUNT('Lineal Mixto'!$C$5:$C$2004)</f>
      </c>
      <c r="D1248" s="6" t="str">
        <f>ABS(C1248-B1248)</f>
      </c>
    </row>
    <row r="1249">
      <c r="A1249" s="5">
        <v>1225</v>
      </c>
      <c r="B1249" s="5" t="str">
        <f>SMALL('Lineal Mixto'!$C$5:$C$2004,A1249)</f>
      </c>
      <c r="C1249" s="5" t="str">
        <f>A1249/COUNT('Lineal Mixto'!$C$5:$C$2004)</f>
      </c>
      <c r="D1249" s="5" t="str">
        <f>ABS(C1249-B1249)</f>
      </c>
    </row>
    <row r="1250">
      <c r="A1250" s="6">
        <v>1226</v>
      </c>
      <c r="B1250" s="6" t="str">
        <f>SMALL('Lineal Mixto'!$C$5:$C$2004,A1250)</f>
      </c>
      <c r="C1250" s="6" t="str">
        <f>A1250/COUNT('Lineal Mixto'!$C$5:$C$2004)</f>
      </c>
      <c r="D1250" s="6" t="str">
        <f>ABS(C1250-B1250)</f>
      </c>
    </row>
    <row r="1251">
      <c r="A1251" s="5">
        <v>1227</v>
      </c>
      <c r="B1251" s="5" t="str">
        <f>SMALL('Lineal Mixto'!$C$5:$C$2004,A1251)</f>
      </c>
      <c r="C1251" s="5" t="str">
        <f>A1251/COUNT('Lineal Mixto'!$C$5:$C$2004)</f>
      </c>
      <c r="D1251" s="5" t="str">
        <f>ABS(C1251-B1251)</f>
      </c>
    </row>
    <row r="1252">
      <c r="A1252" s="6">
        <v>1228</v>
      </c>
      <c r="B1252" s="6" t="str">
        <f>SMALL('Lineal Mixto'!$C$5:$C$2004,A1252)</f>
      </c>
      <c r="C1252" s="6" t="str">
        <f>A1252/COUNT('Lineal Mixto'!$C$5:$C$2004)</f>
      </c>
      <c r="D1252" s="6" t="str">
        <f>ABS(C1252-B1252)</f>
      </c>
    </row>
    <row r="1253">
      <c r="A1253" s="5">
        <v>1229</v>
      </c>
      <c r="B1253" s="5" t="str">
        <f>SMALL('Lineal Mixto'!$C$5:$C$2004,A1253)</f>
      </c>
      <c r="C1253" s="5" t="str">
        <f>A1253/COUNT('Lineal Mixto'!$C$5:$C$2004)</f>
      </c>
      <c r="D1253" s="5" t="str">
        <f>ABS(C1253-B1253)</f>
      </c>
    </row>
    <row r="1254">
      <c r="A1254" s="6">
        <v>1230</v>
      </c>
      <c r="B1254" s="6" t="str">
        <f>SMALL('Lineal Mixto'!$C$5:$C$2004,A1254)</f>
      </c>
      <c r="C1254" s="6" t="str">
        <f>A1254/COUNT('Lineal Mixto'!$C$5:$C$2004)</f>
      </c>
      <c r="D1254" s="6" t="str">
        <f>ABS(C1254-B1254)</f>
      </c>
    </row>
    <row r="1255">
      <c r="A1255" s="5">
        <v>1231</v>
      </c>
      <c r="B1255" s="5" t="str">
        <f>SMALL('Lineal Mixto'!$C$5:$C$2004,A1255)</f>
      </c>
      <c r="C1255" s="5" t="str">
        <f>A1255/COUNT('Lineal Mixto'!$C$5:$C$2004)</f>
      </c>
      <c r="D1255" s="5" t="str">
        <f>ABS(C1255-B1255)</f>
      </c>
    </row>
    <row r="1256">
      <c r="A1256" s="6">
        <v>1232</v>
      </c>
      <c r="B1256" s="6" t="str">
        <f>SMALL('Lineal Mixto'!$C$5:$C$2004,A1256)</f>
      </c>
      <c r="C1256" s="6" t="str">
        <f>A1256/COUNT('Lineal Mixto'!$C$5:$C$2004)</f>
      </c>
      <c r="D1256" s="6" t="str">
        <f>ABS(C1256-B1256)</f>
      </c>
    </row>
    <row r="1257">
      <c r="A1257" s="5">
        <v>1233</v>
      </c>
      <c r="B1257" s="5" t="str">
        <f>SMALL('Lineal Mixto'!$C$5:$C$2004,A1257)</f>
      </c>
      <c r="C1257" s="5" t="str">
        <f>A1257/COUNT('Lineal Mixto'!$C$5:$C$2004)</f>
      </c>
      <c r="D1257" s="5" t="str">
        <f>ABS(C1257-B1257)</f>
      </c>
    </row>
    <row r="1258">
      <c r="A1258" s="6">
        <v>1234</v>
      </c>
      <c r="B1258" s="6" t="str">
        <f>SMALL('Lineal Mixto'!$C$5:$C$2004,A1258)</f>
      </c>
      <c r="C1258" s="6" t="str">
        <f>A1258/COUNT('Lineal Mixto'!$C$5:$C$2004)</f>
      </c>
      <c r="D1258" s="6" t="str">
        <f>ABS(C1258-B1258)</f>
      </c>
    </row>
    <row r="1259">
      <c r="A1259" s="5">
        <v>1235</v>
      </c>
      <c r="B1259" s="5" t="str">
        <f>SMALL('Lineal Mixto'!$C$5:$C$2004,A1259)</f>
      </c>
      <c r="C1259" s="5" t="str">
        <f>A1259/COUNT('Lineal Mixto'!$C$5:$C$2004)</f>
      </c>
      <c r="D1259" s="5" t="str">
        <f>ABS(C1259-B1259)</f>
      </c>
    </row>
    <row r="1260">
      <c r="A1260" s="6">
        <v>1236</v>
      </c>
      <c r="B1260" s="6" t="str">
        <f>SMALL('Lineal Mixto'!$C$5:$C$2004,A1260)</f>
      </c>
      <c r="C1260" s="6" t="str">
        <f>A1260/COUNT('Lineal Mixto'!$C$5:$C$2004)</f>
      </c>
      <c r="D1260" s="6" t="str">
        <f>ABS(C1260-B1260)</f>
      </c>
    </row>
    <row r="1261">
      <c r="A1261" s="5">
        <v>1237</v>
      </c>
      <c r="B1261" s="5" t="str">
        <f>SMALL('Lineal Mixto'!$C$5:$C$2004,A1261)</f>
      </c>
      <c r="C1261" s="5" t="str">
        <f>A1261/COUNT('Lineal Mixto'!$C$5:$C$2004)</f>
      </c>
      <c r="D1261" s="5" t="str">
        <f>ABS(C1261-B1261)</f>
      </c>
    </row>
    <row r="1262">
      <c r="A1262" s="6">
        <v>1238</v>
      </c>
      <c r="B1262" s="6" t="str">
        <f>SMALL('Lineal Mixto'!$C$5:$C$2004,A1262)</f>
      </c>
      <c r="C1262" s="6" t="str">
        <f>A1262/COUNT('Lineal Mixto'!$C$5:$C$2004)</f>
      </c>
      <c r="D1262" s="6" t="str">
        <f>ABS(C1262-B1262)</f>
      </c>
    </row>
    <row r="1263">
      <c r="A1263" s="5">
        <v>1239</v>
      </c>
      <c r="B1263" s="5" t="str">
        <f>SMALL('Lineal Mixto'!$C$5:$C$2004,A1263)</f>
      </c>
      <c r="C1263" s="5" t="str">
        <f>A1263/COUNT('Lineal Mixto'!$C$5:$C$2004)</f>
      </c>
      <c r="D1263" s="5" t="str">
        <f>ABS(C1263-B1263)</f>
      </c>
    </row>
    <row r="1264">
      <c r="A1264" s="6">
        <v>1240</v>
      </c>
      <c r="B1264" s="6" t="str">
        <f>SMALL('Lineal Mixto'!$C$5:$C$2004,A1264)</f>
      </c>
      <c r="C1264" s="6" t="str">
        <f>A1264/COUNT('Lineal Mixto'!$C$5:$C$2004)</f>
      </c>
      <c r="D1264" s="6" t="str">
        <f>ABS(C1264-B1264)</f>
      </c>
    </row>
    <row r="1265">
      <c r="A1265" s="5">
        <v>1241</v>
      </c>
      <c r="B1265" s="5" t="str">
        <f>SMALL('Lineal Mixto'!$C$5:$C$2004,A1265)</f>
      </c>
      <c r="C1265" s="5" t="str">
        <f>A1265/COUNT('Lineal Mixto'!$C$5:$C$2004)</f>
      </c>
      <c r="D1265" s="5" t="str">
        <f>ABS(C1265-B1265)</f>
      </c>
    </row>
    <row r="1266">
      <c r="A1266" s="6">
        <v>1242</v>
      </c>
      <c r="B1266" s="6" t="str">
        <f>SMALL('Lineal Mixto'!$C$5:$C$2004,A1266)</f>
      </c>
      <c r="C1266" s="6" t="str">
        <f>A1266/COUNT('Lineal Mixto'!$C$5:$C$2004)</f>
      </c>
      <c r="D1266" s="6" t="str">
        <f>ABS(C1266-B1266)</f>
      </c>
    </row>
    <row r="1267">
      <c r="A1267" s="5">
        <v>1243</v>
      </c>
      <c r="B1267" s="5" t="str">
        <f>SMALL('Lineal Mixto'!$C$5:$C$2004,A1267)</f>
      </c>
      <c r="C1267" s="5" t="str">
        <f>A1267/COUNT('Lineal Mixto'!$C$5:$C$2004)</f>
      </c>
      <c r="D1267" s="5" t="str">
        <f>ABS(C1267-B1267)</f>
      </c>
    </row>
    <row r="1268">
      <c r="A1268" s="6">
        <v>1244</v>
      </c>
      <c r="B1268" s="6" t="str">
        <f>SMALL('Lineal Mixto'!$C$5:$C$2004,A1268)</f>
      </c>
      <c r="C1268" s="6" t="str">
        <f>A1268/COUNT('Lineal Mixto'!$C$5:$C$2004)</f>
      </c>
      <c r="D1268" s="6" t="str">
        <f>ABS(C1268-B1268)</f>
      </c>
    </row>
    <row r="1269">
      <c r="A1269" s="5">
        <v>1245</v>
      </c>
      <c r="B1269" s="5" t="str">
        <f>SMALL('Lineal Mixto'!$C$5:$C$2004,A1269)</f>
      </c>
      <c r="C1269" s="5" t="str">
        <f>A1269/COUNT('Lineal Mixto'!$C$5:$C$2004)</f>
      </c>
      <c r="D1269" s="5" t="str">
        <f>ABS(C1269-B1269)</f>
      </c>
    </row>
    <row r="1270">
      <c r="A1270" s="6">
        <v>1246</v>
      </c>
      <c r="B1270" s="6" t="str">
        <f>SMALL('Lineal Mixto'!$C$5:$C$2004,A1270)</f>
      </c>
      <c r="C1270" s="6" t="str">
        <f>A1270/COUNT('Lineal Mixto'!$C$5:$C$2004)</f>
      </c>
      <c r="D1270" s="6" t="str">
        <f>ABS(C1270-B1270)</f>
      </c>
    </row>
    <row r="1271">
      <c r="A1271" s="5">
        <v>1247</v>
      </c>
      <c r="B1271" s="5" t="str">
        <f>SMALL('Lineal Mixto'!$C$5:$C$2004,A1271)</f>
      </c>
      <c r="C1271" s="5" t="str">
        <f>A1271/COUNT('Lineal Mixto'!$C$5:$C$2004)</f>
      </c>
      <c r="D1271" s="5" t="str">
        <f>ABS(C1271-B1271)</f>
      </c>
    </row>
    <row r="1272">
      <c r="A1272" s="6">
        <v>1248</v>
      </c>
      <c r="B1272" s="6" t="str">
        <f>SMALL('Lineal Mixto'!$C$5:$C$2004,A1272)</f>
      </c>
      <c r="C1272" s="6" t="str">
        <f>A1272/COUNT('Lineal Mixto'!$C$5:$C$2004)</f>
      </c>
      <c r="D1272" s="6" t="str">
        <f>ABS(C1272-B1272)</f>
      </c>
    </row>
    <row r="1273">
      <c r="A1273" s="5">
        <v>1249</v>
      </c>
      <c r="B1273" s="5" t="str">
        <f>SMALL('Lineal Mixto'!$C$5:$C$2004,A1273)</f>
      </c>
      <c r="C1273" s="5" t="str">
        <f>A1273/COUNT('Lineal Mixto'!$C$5:$C$2004)</f>
      </c>
      <c r="D1273" s="5" t="str">
        <f>ABS(C1273-B1273)</f>
      </c>
    </row>
    <row r="1274">
      <c r="A1274" s="6">
        <v>1250</v>
      </c>
      <c r="B1274" s="6" t="str">
        <f>SMALL('Lineal Mixto'!$C$5:$C$2004,A1274)</f>
      </c>
      <c r="C1274" s="6" t="str">
        <f>A1274/COUNT('Lineal Mixto'!$C$5:$C$2004)</f>
      </c>
      <c r="D1274" s="6" t="str">
        <f>ABS(C1274-B1274)</f>
      </c>
    </row>
    <row r="1275">
      <c r="A1275" s="5">
        <v>1251</v>
      </c>
      <c r="B1275" s="5" t="str">
        <f>SMALL('Lineal Mixto'!$C$5:$C$2004,A1275)</f>
      </c>
      <c r="C1275" s="5" t="str">
        <f>A1275/COUNT('Lineal Mixto'!$C$5:$C$2004)</f>
      </c>
      <c r="D1275" s="5" t="str">
        <f>ABS(C1275-B1275)</f>
      </c>
    </row>
    <row r="1276">
      <c r="A1276" s="6">
        <v>1252</v>
      </c>
      <c r="B1276" s="6" t="str">
        <f>SMALL('Lineal Mixto'!$C$5:$C$2004,A1276)</f>
      </c>
      <c r="C1276" s="6" t="str">
        <f>A1276/COUNT('Lineal Mixto'!$C$5:$C$2004)</f>
      </c>
      <c r="D1276" s="6" t="str">
        <f>ABS(C1276-B1276)</f>
      </c>
    </row>
    <row r="1277">
      <c r="A1277" s="5">
        <v>1253</v>
      </c>
      <c r="B1277" s="5" t="str">
        <f>SMALL('Lineal Mixto'!$C$5:$C$2004,A1277)</f>
      </c>
      <c r="C1277" s="5" t="str">
        <f>A1277/COUNT('Lineal Mixto'!$C$5:$C$2004)</f>
      </c>
      <c r="D1277" s="5" t="str">
        <f>ABS(C1277-B1277)</f>
      </c>
    </row>
    <row r="1278">
      <c r="A1278" s="6">
        <v>1254</v>
      </c>
      <c r="B1278" s="6" t="str">
        <f>SMALL('Lineal Mixto'!$C$5:$C$2004,A1278)</f>
      </c>
      <c r="C1278" s="6" t="str">
        <f>A1278/COUNT('Lineal Mixto'!$C$5:$C$2004)</f>
      </c>
      <c r="D1278" s="6" t="str">
        <f>ABS(C1278-B1278)</f>
      </c>
    </row>
    <row r="1279">
      <c r="A1279" s="5">
        <v>1255</v>
      </c>
      <c r="B1279" s="5" t="str">
        <f>SMALL('Lineal Mixto'!$C$5:$C$2004,A1279)</f>
      </c>
      <c r="C1279" s="5" t="str">
        <f>A1279/COUNT('Lineal Mixto'!$C$5:$C$2004)</f>
      </c>
      <c r="D1279" s="5" t="str">
        <f>ABS(C1279-B1279)</f>
      </c>
    </row>
    <row r="1280">
      <c r="A1280" s="6">
        <v>1256</v>
      </c>
      <c r="B1280" s="6" t="str">
        <f>SMALL('Lineal Mixto'!$C$5:$C$2004,A1280)</f>
      </c>
      <c r="C1280" s="6" t="str">
        <f>A1280/COUNT('Lineal Mixto'!$C$5:$C$2004)</f>
      </c>
      <c r="D1280" s="6" t="str">
        <f>ABS(C1280-B1280)</f>
      </c>
    </row>
    <row r="1281">
      <c r="A1281" s="5">
        <v>1257</v>
      </c>
      <c r="B1281" s="5" t="str">
        <f>SMALL('Lineal Mixto'!$C$5:$C$2004,A1281)</f>
      </c>
      <c r="C1281" s="5" t="str">
        <f>A1281/COUNT('Lineal Mixto'!$C$5:$C$2004)</f>
      </c>
      <c r="D1281" s="5" t="str">
        <f>ABS(C1281-B1281)</f>
      </c>
    </row>
    <row r="1282">
      <c r="A1282" s="6">
        <v>1258</v>
      </c>
      <c r="B1282" s="6" t="str">
        <f>SMALL('Lineal Mixto'!$C$5:$C$2004,A1282)</f>
      </c>
      <c r="C1282" s="6" t="str">
        <f>A1282/COUNT('Lineal Mixto'!$C$5:$C$2004)</f>
      </c>
      <c r="D1282" s="6" t="str">
        <f>ABS(C1282-B1282)</f>
      </c>
    </row>
    <row r="1283">
      <c r="A1283" s="5">
        <v>1259</v>
      </c>
      <c r="B1283" s="5" t="str">
        <f>SMALL('Lineal Mixto'!$C$5:$C$2004,A1283)</f>
      </c>
      <c r="C1283" s="5" t="str">
        <f>A1283/COUNT('Lineal Mixto'!$C$5:$C$2004)</f>
      </c>
      <c r="D1283" s="5" t="str">
        <f>ABS(C1283-B1283)</f>
      </c>
    </row>
    <row r="1284">
      <c r="A1284" s="6">
        <v>1260</v>
      </c>
      <c r="B1284" s="6" t="str">
        <f>SMALL('Lineal Mixto'!$C$5:$C$2004,A1284)</f>
      </c>
      <c r="C1284" s="6" t="str">
        <f>A1284/COUNT('Lineal Mixto'!$C$5:$C$2004)</f>
      </c>
      <c r="D1284" s="6" t="str">
        <f>ABS(C1284-B1284)</f>
      </c>
    </row>
    <row r="1285">
      <c r="A1285" s="5">
        <v>1261</v>
      </c>
      <c r="B1285" s="5" t="str">
        <f>SMALL('Lineal Mixto'!$C$5:$C$2004,A1285)</f>
      </c>
      <c r="C1285" s="5" t="str">
        <f>A1285/COUNT('Lineal Mixto'!$C$5:$C$2004)</f>
      </c>
      <c r="D1285" s="5" t="str">
        <f>ABS(C1285-B1285)</f>
      </c>
    </row>
    <row r="1286">
      <c r="A1286" s="6">
        <v>1262</v>
      </c>
      <c r="B1286" s="6" t="str">
        <f>SMALL('Lineal Mixto'!$C$5:$C$2004,A1286)</f>
      </c>
      <c r="C1286" s="6" t="str">
        <f>A1286/COUNT('Lineal Mixto'!$C$5:$C$2004)</f>
      </c>
      <c r="D1286" s="6" t="str">
        <f>ABS(C1286-B1286)</f>
      </c>
    </row>
    <row r="1287">
      <c r="A1287" s="5">
        <v>1263</v>
      </c>
      <c r="B1287" s="5" t="str">
        <f>SMALL('Lineal Mixto'!$C$5:$C$2004,A1287)</f>
      </c>
      <c r="C1287" s="5" t="str">
        <f>A1287/COUNT('Lineal Mixto'!$C$5:$C$2004)</f>
      </c>
      <c r="D1287" s="5" t="str">
        <f>ABS(C1287-B1287)</f>
      </c>
    </row>
    <row r="1288">
      <c r="A1288" s="6">
        <v>1264</v>
      </c>
      <c r="B1288" s="6" t="str">
        <f>SMALL('Lineal Mixto'!$C$5:$C$2004,A1288)</f>
      </c>
      <c r="C1288" s="6" t="str">
        <f>A1288/COUNT('Lineal Mixto'!$C$5:$C$2004)</f>
      </c>
      <c r="D1288" s="6" t="str">
        <f>ABS(C1288-B1288)</f>
      </c>
    </row>
    <row r="1289">
      <c r="A1289" s="5">
        <v>1265</v>
      </c>
      <c r="B1289" s="5" t="str">
        <f>SMALL('Lineal Mixto'!$C$5:$C$2004,A1289)</f>
      </c>
      <c r="C1289" s="5" t="str">
        <f>A1289/COUNT('Lineal Mixto'!$C$5:$C$2004)</f>
      </c>
      <c r="D1289" s="5" t="str">
        <f>ABS(C1289-B1289)</f>
      </c>
    </row>
    <row r="1290">
      <c r="A1290" s="6">
        <v>1266</v>
      </c>
      <c r="B1290" s="6" t="str">
        <f>SMALL('Lineal Mixto'!$C$5:$C$2004,A1290)</f>
      </c>
      <c r="C1290" s="6" t="str">
        <f>A1290/COUNT('Lineal Mixto'!$C$5:$C$2004)</f>
      </c>
      <c r="D1290" s="6" t="str">
        <f>ABS(C1290-B1290)</f>
      </c>
    </row>
    <row r="1291">
      <c r="A1291" s="5">
        <v>1267</v>
      </c>
      <c r="B1291" s="5" t="str">
        <f>SMALL('Lineal Mixto'!$C$5:$C$2004,A1291)</f>
      </c>
      <c r="C1291" s="5" t="str">
        <f>A1291/COUNT('Lineal Mixto'!$C$5:$C$2004)</f>
      </c>
      <c r="D1291" s="5" t="str">
        <f>ABS(C1291-B1291)</f>
      </c>
    </row>
    <row r="1292">
      <c r="A1292" s="6">
        <v>1268</v>
      </c>
      <c r="B1292" s="6" t="str">
        <f>SMALL('Lineal Mixto'!$C$5:$C$2004,A1292)</f>
      </c>
      <c r="C1292" s="6" t="str">
        <f>A1292/COUNT('Lineal Mixto'!$C$5:$C$2004)</f>
      </c>
      <c r="D1292" s="6" t="str">
        <f>ABS(C1292-B1292)</f>
      </c>
    </row>
    <row r="1293">
      <c r="A1293" s="5">
        <v>1269</v>
      </c>
      <c r="B1293" s="5" t="str">
        <f>SMALL('Lineal Mixto'!$C$5:$C$2004,A1293)</f>
      </c>
      <c r="C1293" s="5" t="str">
        <f>A1293/COUNT('Lineal Mixto'!$C$5:$C$2004)</f>
      </c>
      <c r="D1293" s="5" t="str">
        <f>ABS(C1293-B1293)</f>
      </c>
    </row>
    <row r="1294">
      <c r="A1294" s="6">
        <v>1270</v>
      </c>
      <c r="B1294" s="6" t="str">
        <f>SMALL('Lineal Mixto'!$C$5:$C$2004,A1294)</f>
      </c>
      <c r="C1294" s="6" t="str">
        <f>A1294/COUNT('Lineal Mixto'!$C$5:$C$2004)</f>
      </c>
      <c r="D1294" s="6" t="str">
        <f>ABS(C1294-B1294)</f>
      </c>
    </row>
    <row r="1295">
      <c r="A1295" s="5">
        <v>1271</v>
      </c>
      <c r="B1295" s="5" t="str">
        <f>SMALL('Lineal Mixto'!$C$5:$C$2004,A1295)</f>
      </c>
      <c r="C1295" s="5" t="str">
        <f>A1295/COUNT('Lineal Mixto'!$C$5:$C$2004)</f>
      </c>
      <c r="D1295" s="5" t="str">
        <f>ABS(C1295-B1295)</f>
      </c>
    </row>
    <row r="1296">
      <c r="A1296" s="6">
        <v>1272</v>
      </c>
      <c r="B1296" s="6" t="str">
        <f>SMALL('Lineal Mixto'!$C$5:$C$2004,A1296)</f>
      </c>
      <c r="C1296" s="6" t="str">
        <f>A1296/COUNT('Lineal Mixto'!$C$5:$C$2004)</f>
      </c>
      <c r="D1296" s="6" t="str">
        <f>ABS(C1296-B1296)</f>
      </c>
    </row>
    <row r="1297">
      <c r="A1297" s="5">
        <v>1273</v>
      </c>
      <c r="B1297" s="5" t="str">
        <f>SMALL('Lineal Mixto'!$C$5:$C$2004,A1297)</f>
      </c>
      <c r="C1297" s="5" t="str">
        <f>A1297/COUNT('Lineal Mixto'!$C$5:$C$2004)</f>
      </c>
      <c r="D1297" s="5" t="str">
        <f>ABS(C1297-B1297)</f>
      </c>
    </row>
    <row r="1298">
      <c r="A1298" s="6">
        <v>1274</v>
      </c>
      <c r="B1298" s="6" t="str">
        <f>SMALL('Lineal Mixto'!$C$5:$C$2004,A1298)</f>
      </c>
      <c r="C1298" s="6" t="str">
        <f>A1298/COUNT('Lineal Mixto'!$C$5:$C$2004)</f>
      </c>
      <c r="D1298" s="6" t="str">
        <f>ABS(C1298-B1298)</f>
      </c>
    </row>
    <row r="1299">
      <c r="A1299" s="5">
        <v>1275</v>
      </c>
      <c r="B1299" s="5" t="str">
        <f>SMALL('Lineal Mixto'!$C$5:$C$2004,A1299)</f>
      </c>
      <c r="C1299" s="5" t="str">
        <f>A1299/COUNT('Lineal Mixto'!$C$5:$C$2004)</f>
      </c>
      <c r="D1299" s="5" t="str">
        <f>ABS(C1299-B1299)</f>
      </c>
    </row>
    <row r="1300">
      <c r="A1300" s="6">
        <v>1276</v>
      </c>
      <c r="B1300" s="6" t="str">
        <f>SMALL('Lineal Mixto'!$C$5:$C$2004,A1300)</f>
      </c>
      <c r="C1300" s="6" t="str">
        <f>A1300/COUNT('Lineal Mixto'!$C$5:$C$2004)</f>
      </c>
      <c r="D1300" s="6" t="str">
        <f>ABS(C1300-B1300)</f>
      </c>
    </row>
    <row r="1301">
      <c r="A1301" s="5">
        <v>1277</v>
      </c>
      <c r="B1301" s="5" t="str">
        <f>SMALL('Lineal Mixto'!$C$5:$C$2004,A1301)</f>
      </c>
      <c r="C1301" s="5" t="str">
        <f>A1301/COUNT('Lineal Mixto'!$C$5:$C$2004)</f>
      </c>
      <c r="D1301" s="5" t="str">
        <f>ABS(C1301-B1301)</f>
      </c>
    </row>
    <row r="1302">
      <c r="A1302" s="6">
        <v>1278</v>
      </c>
      <c r="B1302" s="6" t="str">
        <f>SMALL('Lineal Mixto'!$C$5:$C$2004,A1302)</f>
      </c>
      <c r="C1302" s="6" t="str">
        <f>A1302/COUNT('Lineal Mixto'!$C$5:$C$2004)</f>
      </c>
      <c r="D1302" s="6" t="str">
        <f>ABS(C1302-B1302)</f>
      </c>
    </row>
    <row r="1303">
      <c r="A1303" s="5">
        <v>1279</v>
      </c>
      <c r="B1303" s="5" t="str">
        <f>SMALL('Lineal Mixto'!$C$5:$C$2004,A1303)</f>
      </c>
      <c r="C1303" s="5" t="str">
        <f>A1303/COUNT('Lineal Mixto'!$C$5:$C$2004)</f>
      </c>
      <c r="D1303" s="5" t="str">
        <f>ABS(C1303-B1303)</f>
      </c>
    </row>
    <row r="1304">
      <c r="A1304" s="6">
        <v>1280</v>
      </c>
      <c r="B1304" s="6" t="str">
        <f>SMALL('Lineal Mixto'!$C$5:$C$2004,A1304)</f>
      </c>
      <c r="C1304" s="6" t="str">
        <f>A1304/COUNT('Lineal Mixto'!$C$5:$C$2004)</f>
      </c>
      <c r="D1304" s="6" t="str">
        <f>ABS(C1304-B1304)</f>
      </c>
    </row>
    <row r="1305">
      <c r="A1305" s="5">
        <v>1281</v>
      </c>
      <c r="B1305" s="5" t="str">
        <f>SMALL('Lineal Mixto'!$C$5:$C$2004,A1305)</f>
      </c>
      <c r="C1305" s="5" t="str">
        <f>A1305/COUNT('Lineal Mixto'!$C$5:$C$2004)</f>
      </c>
      <c r="D1305" s="5" t="str">
        <f>ABS(C1305-B1305)</f>
      </c>
    </row>
    <row r="1306">
      <c r="A1306" s="6">
        <v>1282</v>
      </c>
      <c r="B1306" s="6" t="str">
        <f>SMALL('Lineal Mixto'!$C$5:$C$2004,A1306)</f>
      </c>
      <c r="C1306" s="6" t="str">
        <f>A1306/COUNT('Lineal Mixto'!$C$5:$C$2004)</f>
      </c>
      <c r="D1306" s="6" t="str">
        <f>ABS(C1306-B1306)</f>
      </c>
    </row>
    <row r="1307">
      <c r="A1307" s="5">
        <v>1283</v>
      </c>
      <c r="B1307" s="5" t="str">
        <f>SMALL('Lineal Mixto'!$C$5:$C$2004,A1307)</f>
      </c>
      <c r="C1307" s="5" t="str">
        <f>A1307/COUNT('Lineal Mixto'!$C$5:$C$2004)</f>
      </c>
      <c r="D1307" s="5" t="str">
        <f>ABS(C1307-B1307)</f>
      </c>
    </row>
    <row r="1308">
      <c r="A1308" s="6">
        <v>1284</v>
      </c>
      <c r="B1308" s="6" t="str">
        <f>SMALL('Lineal Mixto'!$C$5:$C$2004,A1308)</f>
      </c>
      <c r="C1308" s="6" t="str">
        <f>A1308/COUNT('Lineal Mixto'!$C$5:$C$2004)</f>
      </c>
      <c r="D1308" s="6" t="str">
        <f>ABS(C1308-B1308)</f>
      </c>
    </row>
    <row r="1309">
      <c r="A1309" s="5">
        <v>1285</v>
      </c>
      <c r="B1309" s="5" t="str">
        <f>SMALL('Lineal Mixto'!$C$5:$C$2004,A1309)</f>
      </c>
      <c r="C1309" s="5" t="str">
        <f>A1309/COUNT('Lineal Mixto'!$C$5:$C$2004)</f>
      </c>
      <c r="D1309" s="5" t="str">
        <f>ABS(C1309-B1309)</f>
      </c>
    </row>
    <row r="1310">
      <c r="A1310" s="6">
        <v>1286</v>
      </c>
      <c r="B1310" s="6" t="str">
        <f>SMALL('Lineal Mixto'!$C$5:$C$2004,A1310)</f>
      </c>
      <c r="C1310" s="6" t="str">
        <f>A1310/COUNT('Lineal Mixto'!$C$5:$C$2004)</f>
      </c>
      <c r="D1310" s="6" t="str">
        <f>ABS(C1310-B1310)</f>
      </c>
    </row>
    <row r="1311">
      <c r="A1311" s="5">
        <v>1287</v>
      </c>
      <c r="B1311" s="5" t="str">
        <f>SMALL('Lineal Mixto'!$C$5:$C$2004,A1311)</f>
      </c>
      <c r="C1311" s="5" t="str">
        <f>A1311/COUNT('Lineal Mixto'!$C$5:$C$2004)</f>
      </c>
      <c r="D1311" s="5" t="str">
        <f>ABS(C1311-B1311)</f>
      </c>
    </row>
    <row r="1312">
      <c r="A1312" s="6">
        <v>1288</v>
      </c>
      <c r="B1312" s="6" t="str">
        <f>SMALL('Lineal Mixto'!$C$5:$C$2004,A1312)</f>
      </c>
      <c r="C1312" s="6" t="str">
        <f>A1312/COUNT('Lineal Mixto'!$C$5:$C$2004)</f>
      </c>
      <c r="D1312" s="6" t="str">
        <f>ABS(C1312-B1312)</f>
      </c>
    </row>
    <row r="1313">
      <c r="A1313" s="5">
        <v>1289</v>
      </c>
      <c r="B1313" s="5" t="str">
        <f>SMALL('Lineal Mixto'!$C$5:$C$2004,A1313)</f>
      </c>
      <c r="C1313" s="5" t="str">
        <f>A1313/COUNT('Lineal Mixto'!$C$5:$C$2004)</f>
      </c>
      <c r="D1313" s="5" t="str">
        <f>ABS(C1313-B1313)</f>
      </c>
    </row>
    <row r="1314">
      <c r="A1314" s="6">
        <v>1290</v>
      </c>
      <c r="B1314" s="6" t="str">
        <f>SMALL('Lineal Mixto'!$C$5:$C$2004,A1314)</f>
      </c>
      <c r="C1314" s="6" t="str">
        <f>A1314/COUNT('Lineal Mixto'!$C$5:$C$2004)</f>
      </c>
      <c r="D1314" s="6" t="str">
        <f>ABS(C1314-B1314)</f>
      </c>
    </row>
    <row r="1315">
      <c r="A1315" s="5">
        <v>1291</v>
      </c>
      <c r="B1315" s="5" t="str">
        <f>SMALL('Lineal Mixto'!$C$5:$C$2004,A1315)</f>
      </c>
      <c r="C1315" s="5" t="str">
        <f>A1315/COUNT('Lineal Mixto'!$C$5:$C$2004)</f>
      </c>
      <c r="D1315" s="5" t="str">
        <f>ABS(C1315-B1315)</f>
      </c>
    </row>
    <row r="1316">
      <c r="A1316" s="6">
        <v>1292</v>
      </c>
      <c r="B1316" s="6" t="str">
        <f>SMALL('Lineal Mixto'!$C$5:$C$2004,A1316)</f>
      </c>
      <c r="C1316" s="6" t="str">
        <f>A1316/COUNT('Lineal Mixto'!$C$5:$C$2004)</f>
      </c>
      <c r="D1316" s="6" t="str">
        <f>ABS(C1316-B1316)</f>
      </c>
    </row>
    <row r="1317">
      <c r="A1317" s="5">
        <v>1293</v>
      </c>
      <c r="B1317" s="5" t="str">
        <f>SMALL('Lineal Mixto'!$C$5:$C$2004,A1317)</f>
      </c>
      <c r="C1317" s="5" t="str">
        <f>A1317/COUNT('Lineal Mixto'!$C$5:$C$2004)</f>
      </c>
      <c r="D1317" s="5" t="str">
        <f>ABS(C1317-B1317)</f>
      </c>
    </row>
    <row r="1318">
      <c r="A1318" s="6">
        <v>1294</v>
      </c>
      <c r="B1318" s="6" t="str">
        <f>SMALL('Lineal Mixto'!$C$5:$C$2004,A1318)</f>
      </c>
      <c r="C1318" s="6" t="str">
        <f>A1318/COUNT('Lineal Mixto'!$C$5:$C$2004)</f>
      </c>
      <c r="D1318" s="6" t="str">
        <f>ABS(C1318-B1318)</f>
      </c>
    </row>
    <row r="1319">
      <c r="A1319" s="5">
        <v>1295</v>
      </c>
      <c r="B1319" s="5" t="str">
        <f>SMALL('Lineal Mixto'!$C$5:$C$2004,A1319)</f>
      </c>
      <c r="C1319" s="5" t="str">
        <f>A1319/COUNT('Lineal Mixto'!$C$5:$C$2004)</f>
      </c>
      <c r="D1319" s="5" t="str">
        <f>ABS(C1319-B1319)</f>
      </c>
    </row>
    <row r="1320">
      <c r="A1320" s="6">
        <v>1296</v>
      </c>
      <c r="B1320" s="6" t="str">
        <f>SMALL('Lineal Mixto'!$C$5:$C$2004,A1320)</f>
      </c>
      <c r="C1320" s="6" t="str">
        <f>A1320/COUNT('Lineal Mixto'!$C$5:$C$2004)</f>
      </c>
      <c r="D1320" s="6" t="str">
        <f>ABS(C1320-B1320)</f>
      </c>
    </row>
    <row r="1321">
      <c r="A1321" s="5">
        <v>1297</v>
      </c>
      <c r="B1321" s="5" t="str">
        <f>SMALL('Lineal Mixto'!$C$5:$C$2004,A1321)</f>
      </c>
      <c r="C1321" s="5" t="str">
        <f>A1321/COUNT('Lineal Mixto'!$C$5:$C$2004)</f>
      </c>
      <c r="D1321" s="5" t="str">
        <f>ABS(C1321-B1321)</f>
      </c>
    </row>
    <row r="1322">
      <c r="A1322" s="6">
        <v>1298</v>
      </c>
      <c r="B1322" s="6" t="str">
        <f>SMALL('Lineal Mixto'!$C$5:$C$2004,A1322)</f>
      </c>
      <c r="C1322" s="6" t="str">
        <f>A1322/COUNT('Lineal Mixto'!$C$5:$C$2004)</f>
      </c>
      <c r="D1322" s="6" t="str">
        <f>ABS(C1322-B1322)</f>
      </c>
    </row>
    <row r="1323">
      <c r="A1323" s="5">
        <v>1299</v>
      </c>
      <c r="B1323" s="5" t="str">
        <f>SMALL('Lineal Mixto'!$C$5:$C$2004,A1323)</f>
      </c>
      <c r="C1323" s="5" t="str">
        <f>A1323/COUNT('Lineal Mixto'!$C$5:$C$2004)</f>
      </c>
      <c r="D1323" s="5" t="str">
        <f>ABS(C1323-B1323)</f>
      </c>
    </row>
    <row r="1324">
      <c r="A1324" s="6">
        <v>1300</v>
      </c>
      <c r="B1324" s="6" t="str">
        <f>SMALL('Lineal Mixto'!$C$5:$C$2004,A1324)</f>
      </c>
      <c r="C1324" s="6" t="str">
        <f>A1324/COUNT('Lineal Mixto'!$C$5:$C$2004)</f>
      </c>
      <c r="D1324" s="6" t="str">
        <f>ABS(C1324-B1324)</f>
      </c>
    </row>
    <row r="1325">
      <c r="A1325" s="5">
        <v>1301</v>
      </c>
      <c r="B1325" s="5" t="str">
        <f>SMALL('Lineal Mixto'!$C$5:$C$2004,A1325)</f>
      </c>
      <c r="C1325" s="5" t="str">
        <f>A1325/COUNT('Lineal Mixto'!$C$5:$C$2004)</f>
      </c>
      <c r="D1325" s="5" t="str">
        <f>ABS(C1325-B1325)</f>
      </c>
    </row>
    <row r="1326">
      <c r="A1326" s="6">
        <v>1302</v>
      </c>
      <c r="B1326" s="6" t="str">
        <f>SMALL('Lineal Mixto'!$C$5:$C$2004,A1326)</f>
      </c>
      <c r="C1326" s="6" t="str">
        <f>A1326/COUNT('Lineal Mixto'!$C$5:$C$2004)</f>
      </c>
      <c r="D1326" s="6" t="str">
        <f>ABS(C1326-B1326)</f>
      </c>
    </row>
    <row r="1327">
      <c r="A1327" s="5">
        <v>1303</v>
      </c>
      <c r="B1327" s="5" t="str">
        <f>SMALL('Lineal Mixto'!$C$5:$C$2004,A1327)</f>
      </c>
      <c r="C1327" s="5" t="str">
        <f>A1327/COUNT('Lineal Mixto'!$C$5:$C$2004)</f>
      </c>
      <c r="D1327" s="5" t="str">
        <f>ABS(C1327-B1327)</f>
      </c>
    </row>
    <row r="1328">
      <c r="A1328" s="6">
        <v>1304</v>
      </c>
      <c r="B1328" s="6" t="str">
        <f>SMALL('Lineal Mixto'!$C$5:$C$2004,A1328)</f>
      </c>
      <c r="C1328" s="6" t="str">
        <f>A1328/COUNT('Lineal Mixto'!$C$5:$C$2004)</f>
      </c>
      <c r="D1328" s="6" t="str">
        <f>ABS(C1328-B1328)</f>
      </c>
    </row>
    <row r="1329">
      <c r="A1329" s="5">
        <v>1305</v>
      </c>
      <c r="B1329" s="5" t="str">
        <f>SMALL('Lineal Mixto'!$C$5:$C$2004,A1329)</f>
      </c>
      <c r="C1329" s="5" t="str">
        <f>A1329/COUNT('Lineal Mixto'!$C$5:$C$2004)</f>
      </c>
      <c r="D1329" s="5" t="str">
        <f>ABS(C1329-B1329)</f>
      </c>
    </row>
    <row r="1330">
      <c r="A1330" s="6">
        <v>1306</v>
      </c>
      <c r="B1330" s="6" t="str">
        <f>SMALL('Lineal Mixto'!$C$5:$C$2004,A1330)</f>
      </c>
      <c r="C1330" s="6" t="str">
        <f>A1330/COUNT('Lineal Mixto'!$C$5:$C$2004)</f>
      </c>
      <c r="D1330" s="6" t="str">
        <f>ABS(C1330-B1330)</f>
      </c>
    </row>
    <row r="1331">
      <c r="A1331" s="5">
        <v>1307</v>
      </c>
      <c r="B1331" s="5" t="str">
        <f>SMALL('Lineal Mixto'!$C$5:$C$2004,A1331)</f>
      </c>
      <c r="C1331" s="5" t="str">
        <f>A1331/COUNT('Lineal Mixto'!$C$5:$C$2004)</f>
      </c>
      <c r="D1331" s="5" t="str">
        <f>ABS(C1331-B1331)</f>
      </c>
    </row>
    <row r="1332">
      <c r="A1332" s="6">
        <v>1308</v>
      </c>
      <c r="B1332" s="6" t="str">
        <f>SMALL('Lineal Mixto'!$C$5:$C$2004,A1332)</f>
      </c>
      <c r="C1332" s="6" t="str">
        <f>A1332/COUNT('Lineal Mixto'!$C$5:$C$2004)</f>
      </c>
      <c r="D1332" s="6" t="str">
        <f>ABS(C1332-B1332)</f>
      </c>
    </row>
    <row r="1333">
      <c r="A1333" s="5">
        <v>1309</v>
      </c>
      <c r="B1333" s="5" t="str">
        <f>SMALL('Lineal Mixto'!$C$5:$C$2004,A1333)</f>
      </c>
      <c r="C1333" s="5" t="str">
        <f>A1333/COUNT('Lineal Mixto'!$C$5:$C$2004)</f>
      </c>
      <c r="D1333" s="5" t="str">
        <f>ABS(C1333-B1333)</f>
      </c>
    </row>
    <row r="1334">
      <c r="A1334" s="6">
        <v>1310</v>
      </c>
      <c r="B1334" s="6" t="str">
        <f>SMALL('Lineal Mixto'!$C$5:$C$2004,A1334)</f>
      </c>
      <c r="C1334" s="6" t="str">
        <f>A1334/COUNT('Lineal Mixto'!$C$5:$C$2004)</f>
      </c>
      <c r="D1334" s="6" t="str">
        <f>ABS(C1334-B1334)</f>
      </c>
    </row>
    <row r="1335">
      <c r="A1335" s="5">
        <v>1311</v>
      </c>
      <c r="B1335" s="5" t="str">
        <f>SMALL('Lineal Mixto'!$C$5:$C$2004,A1335)</f>
      </c>
      <c r="C1335" s="5" t="str">
        <f>A1335/COUNT('Lineal Mixto'!$C$5:$C$2004)</f>
      </c>
      <c r="D1335" s="5" t="str">
        <f>ABS(C1335-B1335)</f>
      </c>
    </row>
    <row r="1336">
      <c r="A1336" s="6">
        <v>1312</v>
      </c>
      <c r="B1336" s="6" t="str">
        <f>SMALL('Lineal Mixto'!$C$5:$C$2004,A1336)</f>
      </c>
      <c r="C1336" s="6" t="str">
        <f>A1336/COUNT('Lineal Mixto'!$C$5:$C$2004)</f>
      </c>
      <c r="D1336" s="6" t="str">
        <f>ABS(C1336-B1336)</f>
      </c>
    </row>
    <row r="1337">
      <c r="A1337" s="5">
        <v>1313</v>
      </c>
      <c r="B1337" s="5" t="str">
        <f>SMALL('Lineal Mixto'!$C$5:$C$2004,A1337)</f>
      </c>
      <c r="C1337" s="5" t="str">
        <f>A1337/COUNT('Lineal Mixto'!$C$5:$C$2004)</f>
      </c>
      <c r="D1337" s="5" t="str">
        <f>ABS(C1337-B1337)</f>
      </c>
    </row>
    <row r="1338">
      <c r="A1338" s="6">
        <v>1314</v>
      </c>
      <c r="B1338" s="6" t="str">
        <f>SMALL('Lineal Mixto'!$C$5:$C$2004,A1338)</f>
      </c>
      <c r="C1338" s="6" t="str">
        <f>A1338/COUNT('Lineal Mixto'!$C$5:$C$2004)</f>
      </c>
      <c r="D1338" s="6" t="str">
        <f>ABS(C1338-B1338)</f>
      </c>
    </row>
    <row r="1339">
      <c r="A1339" s="5">
        <v>1315</v>
      </c>
      <c r="B1339" s="5" t="str">
        <f>SMALL('Lineal Mixto'!$C$5:$C$2004,A1339)</f>
      </c>
      <c r="C1339" s="5" t="str">
        <f>A1339/COUNT('Lineal Mixto'!$C$5:$C$2004)</f>
      </c>
      <c r="D1339" s="5" t="str">
        <f>ABS(C1339-B1339)</f>
      </c>
    </row>
    <row r="1340">
      <c r="A1340" s="6">
        <v>1316</v>
      </c>
      <c r="B1340" s="6" t="str">
        <f>SMALL('Lineal Mixto'!$C$5:$C$2004,A1340)</f>
      </c>
      <c r="C1340" s="6" t="str">
        <f>A1340/COUNT('Lineal Mixto'!$C$5:$C$2004)</f>
      </c>
      <c r="D1340" s="6" t="str">
        <f>ABS(C1340-B1340)</f>
      </c>
    </row>
    <row r="1341">
      <c r="A1341" s="5">
        <v>1317</v>
      </c>
      <c r="B1341" s="5" t="str">
        <f>SMALL('Lineal Mixto'!$C$5:$C$2004,A1341)</f>
      </c>
      <c r="C1341" s="5" t="str">
        <f>A1341/COUNT('Lineal Mixto'!$C$5:$C$2004)</f>
      </c>
      <c r="D1341" s="5" t="str">
        <f>ABS(C1341-B1341)</f>
      </c>
    </row>
    <row r="1342">
      <c r="A1342" s="6">
        <v>1318</v>
      </c>
      <c r="B1342" s="6" t="str">
        <f>SMALL('Lineal Mixto'!$C$5:$C$2004,A1342)</f>
      </c>
      <c r="C1342" s="6" t="str">
        <f>A1342/COUNT('Lineal Mixto'!$C$5:$C$2004)</f>
      </c>
      <c r="D1342" s="6" t="str">
        <f>ABS(C1342-B1342)</f>
      </c>
    </row>
    <row r="1343">
      <c r="A1343" s="5">
        <v>1319</v>
      </c>
      <c r="B1343" s="5" t="str">
        <f>SMALL('Lineal Mixto'!$C$5:$C$2004,A1343)</f>
      </c>
      <c r="C1343" s="5" t="str">
        <f>A1343/COUNT('Lineal Mixto'!$C$5:$C$2004)</f>
      </c>
      <c r="D1343" s="5" t="str">
        <f>ABS(C1343-B1343)</f>
      </c>
    </row>
    <row r="1344">
      <c r="A1344" s="6">
        <v>1320</v>
      </c>
      <c r="B1344" s="6" t="str">
        <f>SMALL('Lineal Mixto'!$C$5:$C$2004,A1344)</f>
      </c>
      <c r="C1344" s="6" t="str">
        <f>A1344/COUNT('Lineal Mixto'!$C$5:$C$2004)</f>
      </c>
      <c r="D1344" s="6" t="str">
        <f>ABS(C1344-B1344)</f>
      </c>
    </row>
    <row r="1345">
      <c r="A1345" s="5">
        <v>1321</v>
      </c>
      <c r="B1345" s="5" t="str">
        <f>SMALL('Lineal Mixto'!$C$5:$C$2004,A1345)</f>
      </c>
      <c r="C1345" s="5" t="str">
        <f>A1345/COUNT('Lineal Mixto'!$C$5:$C$2004)</f>
      </c>
      <c r="D1345" s="5" t="str">
        <f>ABS(C1345-B1345)</f>
      </c>
    </row>
    <row r="1346">
      <c r="A1346" s="6">
        <v>1322</v>
      </c>
      <c r="B1346" s="6" t="str">
        <f>SMALL('Lineal Mixto'!$C$5:$C$2004,A1346)</f>
      </c>
      <c r="C1346" s="6" t="str">
        <f>A1346/COUNT('Lineal Mixto'!$C$5:$C$2004)</f>
      </c>
      <c r="D1346" s="6" t="str">
        <f>ABS(C1346-B1346)</f>
      </c>
    </row>
    <row r="1347">
      <c r="A1347" s="5">
        <v>1323</v>
      </c>
      <c r="B1347" s="5" t="str">
        <f>SMALL('Lineal Mixto'!$C$5:$C$2004,A1347)</f>
      </c>
      <c r="C1347" s="5" t="str">
        <f>A1347/COUNT('Lineal Mixto'!$C$5:$C$2004)</f>
      </c>
      <c r="D1347" s="5" t="str">
        <f>ABS(C1347-B1347)</f>
      </c>
    </row>
    <row r="1348">
      <c r="A1348" s="6">
        <v>1324</v>
      </c>
      <c r="B1348" s="6" t="str">
        <f>SMALL('Lineal Mixto'!$C$5:$C$2004,A1348)</f>
      </c>
      <c r="C1348" s="6" t="str">
        <f>A1348/COUNT('Lineal Mixto'!$C$5:$C$2004)</f>
      </c>
      <c r="D1348" s="6" t="str">
        <f>ABS(C1348-B1348)</f>
      </c>
    </row>
    <row r="1349">
      <c r="A1349" s="5">
        <v>1325</v>
      </c>
      <c r="B1349" s="5" t="str">
        <f>SMALL('Lineal Mixto'!$C$5:$C$2004,A1349)</f>
      </c>
      <c r="C1349" s="5" t="str">
        <f>A1349/COUNT('Lineal Mixto'!$C$5:$C$2004)</f>
      </c>
      <c r="D1349" s="5" t="str">
        <f>ABS(C1349-B1349)</f>
      </c>
    </row>
    <row r="1350">
      <c r="A1350" s="6">
        <v>1326</v>
      </c>
      <c r="B1350" s="6" t="str">
        <f>SMALL('Lineal Mixto'!$C$5:$C$2004,A1350)</f>
      </c>
      <c r="C1350" s="6" t="str">
        <f>A1350/COUNT('Lineal Mixto'!$C$5:$C$2004)</f>
      </c>
      <c r="D1350" s="6" t="str">
        <f>ABS(C1350-B1350)</f>
      </c>
    </row>
    <row r="1351">
      <c r="A1351" s="5">
        <v>1327</v>
      </c>
      <c r="B1351" s="5" t="str">
        <f>SMALL('Lineal Mixto'!$C$5:$C$2004,A1351)</f>
      </c>
      <c r="C1351" s="5" t="str">
        <f>A1351/COUNT('Lineal Mixto'!$C$5:$C$2004)</f>
      </c>
      <c r="D1351" s="5" t="str">
        <f>ABS(C1351-B1351)</f>
      </c>
    </row>
    <row r="1352">
      <c r="A1352" s="6">
        <v>1328</v>
      </c>
      <c r="B1352" s="6" t="str">
        <f>SMALL('Lineal Mixto'!$C$5:$C$2004,A1352)</f>
      </c>
      <c r="C1352" s="6" t="str">
        <f>A1352/COUNT('Lineal Mixto'!$C$5:$C$2004)</f>
      </c>
      <c r="D1352" s="6" t="str">
        <f>ABS(C1352-B1352)</f>
      </c>
    </row>
    <row r="1353">
      <c r="A1353" s="5">
        <v>1329</v>
      </c>
      <c r="B1353" s="5" t="str">
        <f>SMALL('Lineal Mixto'!$C$5:$C$2004,A1353)</f>
      </c>
      <c r="C1353" s="5" t="str">
        <f>A1353/COUNT('Lineal Mixto'!$C$5:$C$2004)</f>
      </c>
      <c r="D1353" s="5" t="str">
        <f>ABS(C1353-B1353)</f>
      </c>
    </row>
    <row r="1354">
      <c r="A1354" s="6">
        <v>1330</v>
      </c>
      <c r="B1354" s="6" t="str">
        <f>SMALL('Lineal Mixto'!$C$5:$C$2004,A1354)</f>
      </c>
      <c r="C1354" s="6" t="str">
        <f>A1354/COUNT('Lineal Mixto'!$C$5:$C$2004)</f>
      </c>
      <c r="D1354" s="6" t="str">
        <f>ABS(C1354-B1354)</f>
      </c>
    </row>
    <row r="1355">
      <c r="A1355" s="5">
        <v>1331</v>
      </c>
      <c r="B1355" s="5" t="str">
        <f>SMALL('Lineal Mixto'!$C$5:$C$2004,A1355)</f>
      </c>
      <c r="C1355" s="5" t="str">
        <f>A1355/COUNT('Lineal Mixto'!$C$5:$C$2004)</f>
      </c>
      <c r="D1355" s="5" t="str">
        <f>ABS(C1355-B1355)</f>
      </c>
    </row>
    <row r="1356">
      <c r="A1356" s="6">
        <v>1332</v>
      </c>
      <c r="B1356" s="6" t="str">
        <f>SMALL('Lineal Mixto'!$C$5:$C$2004,A1356)</f>
      </c>
      <c r="C1356" s="6" t="str">
        <f>A1356/COUNT('Lineal Mixto'!$C$5:$C$2004)</f>
      </c>
      <c r="D1356" s="6" t="str">
        <f>ABS(C1356-B1356)</f>
      </c>
    </row>
    <row r="1357">
      <c r="A1357" s="5">
        <v>1333</v>
      </c>
      <c r="B1357" s="5" t="str">
        <f>SMALL('Lineal Mixto'!$C$5:$C$2004,A1357)</f>
      </c>
      <c r="C1357" s="5" t="str">
        <f>A1357/COUNT('Lineal Mixto'!$C$5:$C$2004)</f>
      </c>
      <c r="D1357" s="5" t="str">
        <f>ABS(C1357-B1357)</f>
      </c>
    </row>
    <row r="1358">
      <c r="A1358" s="6">
        <v>1334</v>
      </c>
      <c r="B1358" s="6" t="str">
        <f>SMALL('Lineal Mixto'!$C$5:$C$2004,A1358)</f>
      </c>
      <c r="C1358" s="6" t="str">
        <f>A1358/COUNT('Lineal Mixto'!$C$5:$C$2004)</f>
      </c>
      <c r="D1358" s="6" t="str">
        <f>ABS(C1358-B1358)</f>
      </c>
    </row>
    <row r="1359">
      <c r="A1359" s="5">
        <v>1335</v>
      </c>
      <c r="B1359" s="5" t="str">
        <f>SMALL('Lineal Mixto'!$C$5:$C$2004,A1359)</f>
      </c>
      <c r="C1359" s="5" t="str">
        <f>A1359/COUNT('Lineal Mixto'!$C$5:$C$2004)</f>
      </c>
      <c r="D1359" s="5" t="str">
        <f>ABS(C1359-B1359)</f>
      </c>
    </row>
    <row r="1360">
      <c r="A1360" s="6">
        <v>1336</v>
      </c>
      <c r="B1360" s="6" t="str">
        <f>SMALL('Lineal Mixto'!$C$5:$C$2004,A1360)</f>
      </c>
      <c r="C1360" s="6" t="str">
        <f>A1360/COUNT('Lineal Mixto'!$C$5:$C$2004)</f>
      </c>
      <c r="D1360" s="6" t="str">
        <f>ABS(C1360-B1360)</f>
      </c>
    </row>
    <row r="1361">
      <c r="A1361" s="5">
        <v>1337</v>
      </c>
      <c r="B1361" s="5" t="str">
        <f>SMALL('Lineal Mixto'!$C$5:$C$2004,A1361)</f>
      </c>
      <c r="C1361" s="5" t="str">
        <f>A1361/COUNT('Lineal Mixto'!$C$5:$C$2004)</f>
      </c>
      <c r="D1361" s="5" t="str">
        <f>ABS(C1361-B1361)</f>
      </c>
    </row>
    <row r="1362">
      <c r="A1362" s="6">
        <v>1338</v>
      </c>
      <c r="B1362" s="6" t="str">
        <f>SMALL('Lineal Mixto'!$C$5:$C$2004,A1362)</f>
      </c>
      <c r="C1362" s="6" t="str">
        <f>A1362/COUNT('Lineal Mixto'!$C$5:$C$2004)</f>
      </c>
      <c r="D1362" s="6" t="str">
        <f>ABS(C1362-B1362)</f>
      </c>
    </row>
    <row r="1363">
      <c r="A1363" s="5">
        <v>1339</v>
      </c>
      <c r="B1363" s="5" t="str">
        <f>SMALL('Lineal Mixto'!$C$5:$C$2004,A1363)</f>
      </c>
      <c r="C1363" s="5" t="str">
        <f>A1363/COUNT('Lineal Mixto'!$C$5:$C$2004)</f>
      </c>
      <c r="D1363" s="5" t="str">
        <f>ABS(C1363-B1363)</f>
      </c>
    </row>
    <row r="1364">
      <c r="A1364" s="6">
        <v>1340</v>
      </c>
      <c r="B1364" s="6" t="str">
        <f>SMALL('Lineal Mixto'!$C$5:$C$2004,A1364)</f>
      </c>
      <c r="C1364" s="6" t="str">
        <f>A1364/COUNT('Lineal Mixto'!$C$5:$C$2004)</f>
      </c>
      <c r="D1364" s="6" t="str">
        <f>ABS(C1364-B1364)</f>
      </c>
    </row>
    <row r="1365">
      <c r="A1365" s="5">
        <v>1341</v>
      </c>
      <c r="B1365" s="5" t="str">
        <f>SMALL('Lineal Mixto'!$C$5:$C$2004,A1365)</f>
      </c>
      <c r="C1365" s="5" t="str">
        <f>A1365/COUNT('Lineal Mixto'!$C$5:$C$2004)</f>
      </c>
      <c r="D1365" s="5" t="str">
        <f>ABS(C1365-B1365)</f>
      </c>
    </row>
    <row r="1366">
      <c r="A1366" s="6">
        <v>1342</v>
      </c>
      <c r="B1366" s="6" t="str">
        <f>SMALL('Lineal Mixto'!$C$5:$C$2004,A1366)</f>
      </c>
      <c r="C1366" s="6" t="str">
        <f>A1366/COUNT('Lineal Mixto'!$C$5:$C$2004)</f>
      </c>
      <c r="D1366" s="6" t="str">
        <f>ABS(C1366-B1366)</f>
      </c>
    </row>
    <row r="1367">
      <c r="A1367" s="5">
        <v>1343</v>
      </c>
      <c r="B1367" s="5" t="str">
        <f>SMALL('Lineal Mixto'!$C$5:$C$2004,A1367)</f>
      </c>
      <c r="C1367" s="5" t="str">
        <f>A1367/COUNT('Lineal Mixto'!$C$5:$C$2004)</f>
      </c>
      <c r="D1367" s="5" t="str">
        <f>ABS(C1367-B1367)</f>
      </c>
    </row>
    <row r="1368">
      <c r="A1368" s="6">
        <v>1344</v>
      </c>
      <c r="B1368" s="6" t="str">
        <f>SMALL('Lineal Mixto'!$C$5:$C$2004,A1368)</f>
      </c>
      <c r="C1368" s="6" t="str">
        <f>A1368/COUNT('Lineal Mixto'!$C$5:$C$2004)</f>
      </c>
      <c r="D1368" s="6" t="str">
        <f>ABS(C1368-B1368)</f>
      </c>
    </row>
    <row r="1369">
      <c r="A1369" s="5">
        <v>1345</v>
      </c>
      <c r="B1369" s="5" t="str">
        <f>SMALL('Lineal Mixto'!$C$5:$C$2004,A1369)</f>
      </c>
      <c r="C1369" s="5" t="str">
        <f>A1369/COUNT('Lineal Mixto'!$C$5:$C$2004)</f>
      </c>
      <c r="D1369" s="5" t="str">
        <f>ABS(C1369-B1369)</f>
      </c>
    </row>
    <row r="1370">
      <c r="A1370" s="6">
        <v>1346</v>
      </c>
      <c r="B1370" s="6" t="str">
        <f>SMALL('Lineal Mixto'!$C$5:$C$2004,A1370)</f>
      </c>
      <c r="C1370" s="6" t="str">
        <f>A1370/COUNT('Lineal Mixto'!$C$5:$C$2004)</f>
      </c>
      <c r="D1370" s="6" t="str">
        <f>ABS(C1370-B1370)</f>
      </c>
    </row>
    <row r="1371">
      <c r="A1371" s="5">
        <v>1347</v>
      </c>
      <c r="B1371" s="5" t="str">
        <f>SMALL('Lineal Mixto'!$C$5:$C$2004,A1371)</f>
      </c>
      <c r="C1371" s="5" t="str">
        <f>A1371/COUNT('Lineal Mixto'!$C$5:$C$2004)</f>
      </c>
      <c r="D1371" s="5" t="str">
        <f>ABS(C1371-B1371)</f>
      </c>
    </row>
    <row r="1372">
      <c r="A1372" s="6">
        <v>1348</v>
      </c>
      <c r="B1372" s="6" t="str">
        <f>SMALL('Lineal Mixto'!$C$5:$C$2004,A1372)</f>
      </c>
      <c r="C1372" s="6" t="str">
        <f>A1372/COUNT('Lineal Mixto'!$C$5:$C$2004)</f>
      </c>
      <c r="D1372" s="6" t="str">
        <f>ABS(C1372-B1372)</f>
      </c>
    </row>
    <row r="1373">
      <c r="A1373" s="5">
        <v>1349</v>
      </c>
      <c r="B1373" s="5" t="str">
        <f>SMALL('Lineal Mixto'!$C$5:$C$2004,A1373)</f>
      </c>
      <c r="C1373" s="5" t="str">
        <f>A1373/COUNT('Lineal Mixto'!$C$5:$C$2004)</f>
      </c>
      <c r="D1373" s="5" t="str">
        <f>ABS(C1373-B1373)</f>
      </c>
    </row>
    <row r="1374">
      <c r="A1374" s="6">
        <v>1350</v>
      </c>
      <c r="B1374" s="6" t="str">
        <f>SMALL('Lineal Mixto'!$C$5:$C$2004,A1374)</f>
      </c>
      <c r="C1374" s="6" t="str">
        <f>A1374/COUNT('Lineal Mixto'!$C$5:$C$2004)</f>
      </c>
      <c r="D1374" s="6" t="str">
        <f>ABS(C1374-B1374)</f>
      </c>
    </row>
    <row r="1375">
      <c r="A1375" s="5">
        <v>1351</v>
      </c>
      <c r="B1375" s="5" t="str">
        <f>SMALL('Lineal Mixto'!$C$5:$C$2004,A1375)</f>
      </c>
      <c r="C1375" s="5" t="str">
        <f>A1375/COUNT('Lineal Mixto'!$C$5:$C$2004)</f>
      </c>
      <c r="D1375" s="5" t="str">
        <f>ABS(C1375-B1375)</f>
      </c>
    </row>
    <row r="1376">
      <c r="A1376" s="6">
        <v>1352</v>
      </c>
      <c r="B1376" s="6" t="str">
        <f>SMALL('Lineal Mixto'!$C$5:$C$2004,A1376)</f>
      </c>
      <c r="C1376" s="6" t="str">
        <f>A1376/COUNT('Lineal Mixto'!$C$5:$C$2004)</f>
      </c>
      <c r="D1376" s="6" t="str">
        <f>ABS(C1376-B1376)</f>
      </c>
    </row>
    <row r="1377">
      <c r="A1377" s="5">
        <v>1353</v>
      </c>
      <c r="B1377" s="5" t="str">
        <f>SMALL('Lineal Mixto'!$C$5:$C$2004,A1377)</f>
      </c>
      <c r="C1377" s="5" t="str">
        <f>A1377/COUNT('Lineal Mixto'!$C$5:$C$2004)</f>
      </c>
      <c r="D1377" s="5" t="str">
        <f>ABS(C1377-B1377)</f>
      </c>
    </row>
    <row r="1378">
      <c r="A1378" s="6">
        <v>1354</v>
      </c>
      <c r="B1378" s="6" t="str">
        <f>SMALL('Lineal Mixto'!$C$5:$C$2004,A1378)</f>
      </c>
      <c r="C1378" s="6" t="str">
        <f>A1378/COUNT('Lineal Mixto'!$C$5:$C$2004)</f>
      </c>
      <c r="D1378" s="6" t="str">
        <f>ABS(C1378-B1378)</f>
      </c>
    </row>
    <row r="1379">
      <c r="A1379" s="5">
        <v>1355</v>
      </c>
      <c r="B1379" s="5" t="str">
        <f>SMALL('Lineal Mixto'!$C$5:$C$2004,A1379)</f>
      </c>
      <c r="C1379" s="5" t="str">
        <f>A1379/COUNT('Lineal Mixto'!$C$5:$C$2004)</f>
      </c>
      <c r="D1379" s="5" t="str">
        <f>ABS(C1379-B1379)</f>
      </c>
    </row>
    <row r="1380">
      <c r="A1380" s="6">
        <v>1356</v>
      </c>
      <c r="B1380" s="6" t="str">
        <f>SMALL('Lineal Mixto'!$C$5:$C$2004,A1380)</f>
      </c>
      <c r="C1380" s="6" t="str">
        <f>A1380/COUNT('Lineal Mixto'!$C$5:$C$2004)</f>
      </c>
      <c r="D1380" s="6" t="str">
        <f>ABS(C1380-B1380)</f>
      </c>
    </row>
    <row r="1381">
      <c r="A1381" s="5">
        <v>1357</v>
      </c>
      <c r="B1381" s="5" t="str">
        <f>SMALL('Lineal Mixto'!$C$5:$C$2004,A1381)</f>
      </c>
      <c r="C1381" s="5" t="str">
        <f>A1381/COUNT('Lineal Mixto'!$C$5:$C$2004)</f>
      </c>
      <c r="D1381" s="5" t="str">
        <f>ABS(C1381-B1381)</f>
      </c>
    </row>
    <row r="1382">
      <c r="A1382" s="6">
        <v>1358</v>
      </c>
      <c r="B1382" s="6" t="str">
        <f>SMALL('Lineal Mixto'!$C$5:$C$2004,A1382)</f>
      </c>
      <c r="C1382" s="6" t="str">
        <f>A1382/COUNT('Lineal Mixto'!$C$5:$C$2004)</f>
      </c>
      <c r="D1382" s="6" t="str">
        <f>ABS(C1382-B1382)</f>
      </c>
    </row>
    <row r="1383">
      <c r="A1383" s="5">
        <v>1359</v>
      </c>
      <c r="B1383" s="5" t="str">
        <f>SMALL('Lineal Mixto'!$C$5:$C$2004,A1383)</f>
      </c>
      <c r="C1383" s="5" t="str">
        <f>A1383/COUNT('Lineal Mixto'!$C$5:$C$2004)</f>
      </c>
      <c r="D1383" s="5" t="str">
        <f>ABS(C1383-B1383)</f>
      </c>
    </row>
    <row r="1384">
      <c r="A1384" s="6">
        <v>1360</v>
      </c>
      <c r="B1384" s="6" t="str">
        <f>SMALL('Lineal Mixto'!$C$5:$C$2004,A1384)</f>
      </c>
      <c r="C1384" s="6" t="str">
        <f>A1384/COUNT('Lineal Mixto'!$C$5:$C$2004)</f>
      </c>
      <c r="D1384" s="6" t="str">
        <f>ABS(C1384-B1384)</f>
      </c>
    </row>
    <row r="1385">
      <c r="A1385" s="5">
        <v>1361</v>
      </c>
      <c r="B1385" s="5" t="str">
        <f>SMALL('Lineal Mixto'!$C$5:$C$2004,A1385)</f>
      </c>
      <c r="C1385" s="5" t="str">
        <f>A1385/COUNT('Lineal Mixto'!$C$5:$C$2004)</f>
      </c>
      <c r="D1385" s="5" t="str">
        <f>ABS(C1385-B1385)</f>
      </c>
    </row>
    <row r="1386">
      <c r="A1386" s="6">
        <v>1362</v>
      </c>
      <c r="B1386" s="6" t="str">
        <f>SMALL('Lineal Mixto'!$C$5:$C$2004,A1386)</f>
      </c>
      <c r="C1386" s="6" t="str">
        <f>A1386/COUNT('Lineal Mixto'!$C$5:$C$2004)</f>
      </c>
      <c r="D1386" s="6" t="str">
        <f>ABS(C1386-B1386)</f>
      </c>
    </row>
    <row r="1387">
      <c r="A1387" s="5">
        <v>1363</v>
      </c>
      <c r="B1387" s="5" t="str">
        <f>SMALL('Lineal Mixto'!$C$5:$C$2004,A1387)</f>
      </c>
      <c r="C1387" s="5" t="str">
        <f>A1387/COUNT('Lineal Mixto'!$C$5:$C$2004)</f>
      </c>
      <c r="D1387" s="5" t="str">
        <f>ABS(C1387-B1387)</f>
      </c>
    </row>
    <row r="1388">
      <c r="A1388" s="6">
        <v>1364</v>
      </c>
      <c r="B1388" s="6" t="str">
        <f>SMALL('Lineal Mixto'!$C$5:$C$2004,A1388)</f>
      </c>
      <c r="C1388" s="6" t="str">
        <f>A1388/COUNT('Lineal Mixto'!$C$5:$C$2004)</f>
      </c>
      <c r="D1388" s="6" t="str">
        <f>ABS(C1388-B1388)</f>
      </c>
    </row>
    <row r="1389">
      <c r="A1389" s="5">
        <v>1365</v>
      </c>
      <c r="B1389" s="5" t="str">
        <f>SMALL('Lineal Mixto'!$C$5:$C$2004,A1389)</f>
      </c>
      <c r="C1389" s="5" t="str">
        <f>A1389/COUNT('Lineal Mixto'!$C$5:$C$2004)</f>
      </c>
      <c r="D1389" s="5" t="str">
        <f>ABS(C1389-B1389)</f>
      </c>
    </row>
    <row r="1390">
      <c r="A1390" s="6">
        <v>1366</v>
      </c>
      <c r="B1390" s="6" t="str">
        <f>SMALL('Lineal Mixto'!$C$5:$C$2004,A1390)</f>
      </c>
      <c r="C1390" s="6" t="str">
        <f>A1390/COUNT('Lineal Mixto'!$C$5:$C$2004)</f>
      </c>
      <c r="D1390" s="6" t="str">
        <f>ABS(C1390-B1390)</f>
      </c>
    </row>
    <row r="1391">
      <c r="A1391" s="5">
        <v>1367</v>
      </c>
      <c r="B1391" s="5" t="str">
        <f>SMALL('Lineal Mixto'!$C$5:$C$2004,A1391)</f>
      </c>
      <c r="C1391" s="5" t="str">
        <f>A1391/COUNT('Lineal Mixto'!$C$5:$C$2004)</f>
      </c>
      <c r="D1391" s="5" t="str">
        <f>ABS(C1391-B1391)</f>
      </c>
    </row>
    <row r="1392">
      <c r="A1392" s="6">
        <v>1368</v>
      </c>
      <c r="B1392" s="6" t="str">
        <f>SMALL('Lineal Mixto'!$C$5:$C$2004,A1392)</f>
      </c>
      <c r="C1392" s="6" t="str">
        <f>A1392/COUNT('Lineal Mixto'!$C$5:$C$2004)</f>
      </c>
      <c r="D1392" s="6" t="str">
        <f>ABS(C1392-B1392)</f>
      </c>
    </row>
    <row r="1393">
      <c r="A1393" s="5">
        <v>1369</v>
      </c>
      <c r="B1393" s="5" t="str">
        <f>SMALL('Lineal Mixto'!$C$5:$C$2004,A1393)</f>
      </c>
      <c r="C1393" s="5" t="str">
        <f>A1393/COUNT('Lineal Mixto'!$C$5:$C$2004)</f>
      </c>
      <c r="D1393" s="5" t="str">
        <f>ABS(C1393-B1393)</f>
      </c>
    </row>
    <row r="1394">
      <c r="A1394" s="6">
        <v>1370</v>
      </c>
      <c r="B1394" s="6" t="str">
        <f>SMALL('Lineal Mixto'!$C$5:$C$2004,A1394)</f>
      </c>
      <c r="C1394" s="6" t="str">
        <f>A1394/COUNT('Lineal Mixto'!$C$5:$C$2004)</f>
      </c>
      <c r="D1394" s="6" t="str">
        <f>ABS(C1394-B1394)</f>
      </c>
    </row>
    <row r="1395">
      <c r="A1395" s="5">
        <v>1371</v>
      </c>
      <c r="B1395" s="5" t="str">
        <f>SMALL('Lineal Mixto'!$C$5:$C$2004,A1395)</f>
      </c>
      <c r="C1395" s="5" t="str">
        <f>A1395/COUNT('Lineal Mixto'!$C$5:$C$2004)</f>
      </c>
      <c r="D1395" s="5" t="str">
        <f>ABS(C1395-B1395)</f>
      </c>
    </row>
    <row r="1396">
      <c r="A1396" s="6">
        <v>1372</v>
      </c>
      <c r="B1396" s="6" t="str">
        <f>SMALL('Lineal Mixto'!$C$5:$C$2004,A1396)</f>
      </c>
      <c r="C1396" s="6" t="str">
        <f>A1396/COUNT('Lineal Mixto'!$C$5:$C$2004)</f>
      </c>
      <c r="D1396" s="6" t="str">
        <f>ABS(C1396-B1396)</f>
      </c>
    </row>
    <row r="1397">
      <c r="A1397" s="5">
        <v>1373</v>
      </c>
      <c r="B1397" s="5" t="str">
        <f>SMALL('Lineal Mixto'!$C$5:$C$2004,A1397)</f>
      </c>
      <c r="C1397" s="5" t="str">
        <f>A1397/COUNT('Lineal Mixto'!$C$5:$C$2004)</f>
      </c>
      <c r="D1397" s="5" t="str">
        <f>ABS(C1397-B1397)</f>
      </c>
    </row>
    <row r="1398">
      <c r="A1398" s="6">
        <v>1374</v>
      </c>
      <c r="B1398" s="6" t="str">
        <f>SMALL('Lineal Mixto'!$C$5:$C$2004,A1398)</f>
      </c>
      <c r="C1398" s="6" t="str">
        <f>A1398/COUNT('Lineal Mixto'!$C$5:$C$2004)</f>
      </c>
      <c r="D1398" s="6" t="str">
        <f>ABS(C1398-B1398)</f>
      </c>
    </row>
    <row r="1399">
      <c r="A1399" s="5">
        <v>1375</v>
      </c>
      <c r="B1399" s="5" t="str">
        <f>SMALL('Lineal Mixto'!$C$5:$C$2004,A1399)</f>
      </c>
      <c r="C1399" s="5" t="str">
        <f>A1399/COUNT('Lineal Mixto'!$C$5:$C$2004)</f>
      </c>
      <c r="D1399" s="5" t="str">
        <f>ABS(C1399-B1399)</f>
      </c>
    </row>
    <row r="1400">
      <c r="A1400" s="6">
        <v>1376</v>
      </c>
      <c r="B1400" s="6" t="str">
        <f>SMALL('Lineal Mixto'!$C$5:$C$2004,A1400)</f>
      </c>
      <c r="C1400" s="6" t="str">
        <f>A1400/COUNT('Lineal Mixto'!$C$5:$C$2004)</f>
      </c>
      <c r="D1400" s="6" t="str">
        <f>ABS(C1400-B1400)</f>
      </c>
    </row>
    <row r="1401">
      <c r="A1401" s="5">
        <v>1377</v>
      </c>
      <c r="B1401" s="5" t="str">
        <f>SMALL('Lineal Mixto'!$C$5:$C$2004,A1401)</f>
      </c>
      <c r="C1401" s="5" t="str">
        <f>A1401/COUNT('Lineal Mixto'!$C$5:$C$2004)</f>
      </c>
      <c r="D1401" s="5" t="str">
        <f>ABS(C1401-B1401)</f>
      </c>
    </row>
    <row r="1402">
      <c r="A1402" s="6">
        <v>1378</v>
      </c>
      <c r="B1402" s="6" t="str">
        <f>SMALL('Lineal Mixto'!$C$5:$C$2004,A1402)</f>
      </c>
      <c r="C1402" s="6" t="str">
        <f>A1402/COUNT('Lineal Mixto'!$C$5:$C$2004)</f>
      </c>
      <c r="D1402" s="6" t="str">
        <f>ABS(C1402-B1402)</f>
      </c>
    </row>
    <row r="1403">
      <c r="A1403" s="5">
        <v>1379</v>
      </c>
      <c r="B1403" s="5" t="str">
        <f>SMALL('Lineal Mixto'!$C$5:$C$2004,A1403)</f>
      </c>
      <c r="C1403" s="5" t="str">
        <f>A1403/COUNT('Lineal Mixto'!$C$5:$C$2004)</f>
      </c>
      <c r="D1403" s="5" t="str">
        <f>ABS(C1403-B1403)</f>
      </c>
    </row>
    <row r="1404">
      <c r="A1404" s="6">
        <v>1380</v>
      </c>
      <c r="B1404" s="6" t="str">
        <f>SMALL('Lineal Mixto'!$C$5:$C$2004,A1404)</f>
      </c>
      <c r="C1404" s="6" t="str">
        <f>A1404/COUNT('Lineal Mixto'!$C$5:$C$2004)</f>
      </c>
      <c r="D1404" s="6" t="str">
        <f>ABS(C1404-B1404)</f>
      </c>
    </row>
    <row r="1405">
      <c r="A1405" s="5">
        <v>1381</v>
      </c>
      <c r="B1405" s="5" t="str">
        <f>SMALL('Lineal Mixto'!$C$5:$C$2004,A1405)</f>
      </c>
      <c r="C1405" s="5" t="str">
        <f>A1405/COUNT('Lineal Mixto'!$C$5:$C$2004)</f>
      </c>
      <c r="D1405" s="5" t="str">
        <f>ABS(C1405-B1405)</f>
      </c>
    </row>
    <row r="1406">
      <c r="A1406" s="6">
        <v>1382</v>
      </c>
      <c r="B1406" s="6" t="str">
        <f>SMALL('Lineal Mixto'!$C$5:$C$2004,A1406)</f>
      </c>
      <c r="C1406" s="6" t="str">
        <f>A1406/COUNT('Lineal Mixto'!$C$5:$C$2004)</f>
      </c>
      <c r="D1406" s="6" t="str">
        <f>ABS(C1406-B1406)</f>
      </c>
    </row>
    <row r="1407">
      <c r="A1407" s="5">
        <v>1383</v>
      </c>
      <c r="B1407" s="5" t="str">
        <f>SMALL('Lineal Mixto'!$C$5:$C$2004,A1407)</f>
      </c>
      <c r="C1407" s="5" t="str">
        <f>A1407/COUNT('Lineal Mixto'!$C$5:$C$2004)</f>
      </c>
      <c r="D1407" s="5" t="str">
        <f>ABS(C1407-B1407)</f>
      </c>
    </row>
    <row r="1408">
      <c r="A1408" s="6">
        <v>1384</v>
      </c>
      <c r="B1408" s="6" t="str">
        <f>SMALL('Lineal Mixto'!$C$5:$C$2004,A1408)</f>
      </c>
      <c r="C1408" s="6" t="str">
        <f>A1408/COUNT('Lineal Mixto'!$C$5:$C$2004)</f>
      </c>
      <c r="D1408" s="6" t="str">
        <f>ABS(C1408-B1408)</f>
      </c>
    </row>
    <row r="1409">
      <c r="A1409" s="5">
        <v>1385</v>
      </c>
      <c r="B1409" s="5" t="str">
        <f>SMALL('Lineal Mixto'!$C$5:$C$2004,A1409)</f>
      </c>
      <c r="C1409" s="5" t="str">
        <f>A1409/COUNT('Lineal Mixto'!$C$5:$C$2004)</f>
      </c>
      <c r="D1409" s="5" t="str">
        <f>ABS(C1409-B1409)</f>
      </c>
    </row>
    <row r="1410">
      <c r="A1410" s="6">
        <v>1386</v>
      </c>
      <c r="B1410" s="6" t="str">
        <f>SMALL('Lineal Mixto'!$C$5:$C$2004,A1410)</f>
      </c>
      <c r="C1410" s="6" t="str">
        <f>A1410/COUNT('Lineal Mixto'!$C$5:$C$2004)</f>
      </c>
      <c r="D1410" s="6" t="str">
        <f>ABS(C1410-B1410)</f>
      </c>
    </row>
    <row r="1411">
      <c r="A1411" s="5">
        <v>1387</v>
      </c>
      <c r="B1411" s="5" t="str">
        <f>SMALL('Lineal Mixto'!$C$5:$C$2004,A1411)</f>
      </c>
      <c r="C1411" s="5" t="str">
        <f>A1411/COUNT('Lineal Mixto'!$C$5:$C$2004)</f>
      </c>
      <c r="D1411" s="5" t="str">
        <f>ABS(C1411-B1411)</f>
      </c>
    </row>
    <row r="1412">
      <c r="A1412" s="6">
        <v>1388</v>
      </c>
      <c r="B1412" s="6" t="str">
        <f>SMALL('Lineal Mixto'!$C$5:$C$2004,A1412)</f>
      </c>
      <c r="C1412" s="6" t="str">
        <f>A1412/COUNT('Lineal Mixto'!$C$5:$C$2004)</f>
      </c>
      <c r="D1412" s="6" t="str">
        <f>ABS(C1412-B1412)</f>
      </c>
    </row>
    <row r="1413">
      <c r="A1413" s="5">
        <v>1389</v>
      </c>
      <c r="B1413" s="5" t="str">
        <f>SMALL('Lineal Mixto'!$C$5:$C$2004,A1413)</f>
      </c>
      <c r="C1413" s="5" t="str">
        <f>A1413/COUNT('Lineal Mixto'!$C$5:$C$2004)</f>
      </c>
      <c r="D1413" s="5" t="str">
        <f>ABS(C1413-B1413)</f>
      </c>
    </row>
    <row r="1414">
      <c r="A1414" s="6">
        <v>1390</v>
      </c>
      <c r="B1414" s="6" t="str">
        <f>SMALL('Lineal Mixto'!$C$5:$C$2004,A1414)</f>
      </c>
      <c r="C1414" s="6" t="str">
        <f>A1414/COUNT('Lineal Mixto'!$C$5:$C$2004)</f>
      </c>
      <c r="D1414" s="6" t="str">
        <f>ABS(C1414-B1414)</f>
      </c>
    </row>
    <row r="1415">
      <c r="A1415" s="5">
        <v>1391</v>
      </c>
      <c r="B1415" s="5" t="str">
        <f>SMALL('Lineal Mixto'!$C$5:$C$2004,A1415)</f>
      </c>
      <c r="C1415" s="5" t="str">
        <f>A1415/COUNT('Lineal Mixto'!$C$5:$C$2004)</f>
      </c>
      <c r="D1415" s="5" t="str">
        <f>ABS(C1415-B1415)</f>
      </c>
    </row>
    <row r="1416">
      <c r="A1416" s="6">
        <v>1392</v>
      </c>
      <c r="B1416" s="6" t="str">
        <f>SMALL('Lineal Mixto'!$C$5:$C$2004,A1416)</f>
      </c>
      <c r="C1416" s="6" t="str">
        <f>A1416/COUNT('Lineal Mixto'!$C$5:$C$2004)</f>
      </c>
      <c r="D1416" s="6" t="str">
        <f>ABS(C1416-B1416)</f>
      </c>
    </row>
    <row r="1417">
      <c r="A1417" s="5">
        <v>1393</v>
      </c>
      <c r="B1417" s="5" t="str">
        <f>SMALL('Lineal Mixto'!$C$5:$C$2004,A1417)</f>
      </c>
      <c r="C1417" s="5" t="str">
        <f>A1417/COUNT('Lineal Mixto'!$C$5:$C$2004)</f>
      </c>
      <c r="D1417" s="5" t="str">
        <f>ABS(C1417-B1417)</f>
      </c>
    </row>
    <row r="1418">
      <c r="A1418" s="6">
        <v>1394</v>
      </c>
      <c r="B1418" s="6" t="str">
        <f>SMALL('Lineal Mixto'!$C$5:$C$2004,A1418)</f>
      </c>
      <c r="C1418" s="6" t="str">
        <f>A1418/COUNT('Lineal Mixto'!$C$5:$C$2004)</f>
      </c>
      <c r="D1418" s="6" t="str">
        <f>ABS(C1418-B1418)</f>
      </c>
    </row>
    <row r="1419">
      <c r="A1419" s="5">
        <v>1395</v>
      </c>
      <c r="B1419" s="5" t="str">
        <f>SMALL('Lineal Mixto'!$C$5:$C$2004,A1419)</f>
      </c>
      <c r="C1419" s="5" t="str">
        <f>A1419/COUNT('Lineal Mixto'!$C$5:$C$2004)</f>
      </c>
      <c r="D1419" s="5" t="str">
        <f>ABS(C1419-B1419)</f>
      </c>
    </row>
    <row r="1420">
      <c r="A1420" s="6">
        <v>1396</v>
      </c>
      <c r="B1420" s="6" t="str">
        <f>SMALL('Lineal Mixto'!$C$5:$C$2004,A1420)</f>
      </c>
      <c r="C1420" s="6" t="str">
        <f>A1420/COUNT('Lineal Mixto'!$C$5:$C$2004)</f>
      </c>
      <c r="D1420" s="6" t="str">
        <f>ABS(C1420-B1420)</f>
      </c>
    </row>
    <row r="1421">
      <c r="A1421" s="5">
        <v>1397</v>
      </c>
      <c r="B1421" s="5" t="str">
        <f>SMALL('Lineal Mixto'!$C$5:$C$2004,A1421)</f>
      </c>
      <c r="C1421" s="5" t="str">
        <f>A1421/COUNT('Lineal Mixto'!$C$5:$C$2004)</f>
      </c>
      <c r="D1421" s="5" t="str">
        <f>ABS(C1421-B1421)</f>
      </c>
    </row>
    <row r="1422">
      <c r="A1422" s="6">
        <v>1398</v>
      </c>
      <c r="B1422" s="6" t="str">
        <f>SMALL('Lineal Mixto'!$C$5:$C$2004,A1422)</f>
      </c>
      <c r="C1422" s="6" t="str">
        <f>A1422/COUNT('Lineal Mixto'!$C$5:$C$2004)</f>
      </c>
      <c r="D1422" s="6" t="str">
        <f>ABS(C1422-B1422)</f>
      </c>
    </row>
    <row r="1423">
      <c r="A1423" s="5">
        <v>1399</v>
      </c>
      <c r="B1423" s="5" t="str">
        <f>SMALL('Lineal Mixto'!$C$5:$C$2004,A1423)</f>
      </c>
      <c r="C1423" s="5" t="str">
        <f>A1423/COUNT('Lineal Mixto'!$C$5:$C$2004)</f>
      </c>
      <c r="D1423" s="5" t="str">
        <f>ABS(C1423-B1423)</f>
      </c>
    </row>
    <row r="1424">
      <c r="A1424" s="6">
        <v>1400</v>
      </c>
      <c r="B1424" s="6" t="str">
        <f>SMALL('Lineal Mixto'!$C$5:$C$2004,A1424)</f>
      </c>
      <c r="C1424" s="6" t="str">
        <f>A1424/COUNT('Lineal Mixto'!$C$5:$C$2004)</f>
      </c>
      <c r="D1424" s="6" t="str">
        <f>ABS(C1424-B1424)</f>
      </c>
    </row>
    <row r="1425">
      <c r="A1425" s="5">
        <v>1401</v>
      </c>
      <c r="B1425" s="5" t="str">
        <f>SMALL('Lineal Mixto'!$C$5:$C$2004,A1425)</f>
      </c>
      <c r="C1425" s="5" t="str">
        <f>A1425/COUNT('Lineal Mixto'!$C$5:$C$2004)</f>
      </c>
      <c r="D1425" s="5" t="str">
        <f>ABS(C1425-B1425)</f>
      </c>
    </row>
    <row r="1426">
      <c r="A1426" s="6">
        <v>1402</v>
      </c>
      <c r="B1426" s="6" t="str">
        <f>SMALL('Lineal Mixto'!$C$5:$C$2004,A1426)</f>
      </c>
      <c r="C1426" s="6" t="str">
        <f>A1426/COUNT('Lineal Mixto'!$C$5:$C$2004)</f>
      </c>
      <c r="D1426" s="6" t="str">
        <f>ABS(C1426-B1426)</f>
      </c>
    </row>
    <row r="1427">
      <c r="A1427" s="5">
        <v>1403</v>
      </c>
      <c r="B1427" s="5" t="str">
        <f>SMALL('Lineal Mixto'!$C$5:$C$2004,A1427)</f>
      </c>
      <c r="C1427" s="5" t="str">
        <f>A1427/COUNT('Lineal Mixto'!$C$5:$C$2004)</f>
      </c>
      <c r="D1427" s="5" t="str">
        <f>ABS(C1427-B1427)</f>
      </c>
    </row>
    <row r="1428">
      <c r="A1428" s="6">
        <v>1404</v>
      </c>
      <c r="B1428" s="6" t="str">
        <f>SMALL('Lineal Mixto'!$C$5:$C$2004,A1428)</f>
      </c>
      <c r="C1428" s="6" t="str">
        <f>A1428/COUNT('Lineal Mixto'!$C$5:$C$2004)</f>
      </c>
      <c r="D1428" s="6" t="str">
        <f>ABS(C1428-B1428)</f>
      </c>
    </row>
    <row r="1429">
      <c r="A1429" s="5">
        <v>1405</v>
      </c>
      <c r="B1429" s="5" t="str">
        <f>SMALL('Lineal Mixto'!$C$5:$C$2004,A1429)</f>
      </c>
      <c r="C1429" s="5" t="str">
        <f>A1429/COUNT('Lineal Mixto'!$C$5:$C$2004)</f>
      </c>
      <c r="D1429" s="5" t="str">
        <f>ABS(C1429-B1429)</f>
      </c>
    </row>
    <row r="1430">
      <c r="A1430" s="6">
        <v>1406</v>
      </c>
      <c r="B1430" s="6" t="str">
        <f>SMALL('Lineal Mixto'!$C$5:$C$2004,A1430)</f>
      </c>
      <c r="C1430" s="6" t="str">
        <f>A1430/COUNT('Lineal Mixto'!$C$5:$C$2004)</f>
      </c>
      <c r="D1430" s="6" t="str">
        <f>ABS(C1430-B1430)</f>
      </c>
    </row>
    <row r="1431">
      <c r="A1431" s="5">
        <v>1407</v>
      </c>
      <c r="B1431" s="5" t="str">
        <f>SMALL('Lineal Mixto'!$C$5:$C$2004,A1431)</f>
      </c>
      <c r="C1431" s="5" t="str">
        <f>A1431/COUNT('Lineal Mixto'!$C$5:$C$2004)</f>
      </c>
      <c r="D1431" s="5" t="str">
        <f>ABS(C1431-B1431)</f>
      </c>
    </row>
    <row r="1432">
      <c r="A1432" s="6">
        <v>1408</v>
      </c>
      <c r="B1432" s="6" t="str">
        <f>SMALL('Lineal Mixto'!$C$5:$C$2004,A1432)</f>
      </c>
      <c r="C1432" s="6" t="str">
        <f>A1432/COUNT('Lineal Mixto'!$C$5:$C$2004)</f>
      </c>
      <c r="D1432" s="6" t="str">
        <f>ABS(C1432-B1432)</f>
      </c>
    </row>
    <row r="1433">
      <c r="A1433" s="5">
        <v>1409</v>
      </c>
      <c r="B1433" s="5" t="str">
        <f>SMALL('Lineal Mixto'!$C$5:$C$2004,A1433)</f>
      </c>
      <c r="C1433" s="5" t="str">
        <f>A1433/COUNT('Lineal Mixto'!$C$5:$C$2004)</f>
      </c>
      <c r="D1433" s="5" t="str">
        <f>ABS(C1433-B1433)</f>
      </c>
    </row>
    <row r="1434">
      <c r="A1434" s="6">
        <v>1410</v>
      </c>
      <c r="B1434" s="6" t="str">
        <f>SMALL('Lineal Mixto'!$C$5:$C$2004,A1434)</f>
      </c>
      <c r="C1434" s="6" t="str">
        <f>A1434/COUNT('Lineal Mixto'!$C$5:$C$2004)</f>
      </c>
      <c r="D1434" s="6" t="str">
        <f>ABS(C1434-B1434)</f>
      </c>
    </row>
    <row r="1435">
      <c r="A1435" s="5">
        <v>1411</v>
      </c>
      <c r="B1435" s="5" t="str">
        <f>SMALL('Lineal Mixto'!$C$5:$C$2004,A1435)</f>
      </c>
      <c r="C1435" s="5" t="str">
        <f>A1435/COUNT('Lineal Mixto'!$C$5:$C$2004)</f>
      </c>
      <c r="D1435" s="5" t="str">
        <f>ABS(C1435-B1435)</f>
      </c>
    </row>
    <row r="1436">
      <c r="A1436" s="6">
        <v>1412</v>
      </c>
      <c r="B1436" s="6" t="str">
        <f>SMALL('Lineal Mixto'!$C$5:$C$2004,A1436)</f>
      </c>
      <c r="C1436" s="6" t="str">
        <f>A1436/COUNT('Lineal Mixto'!$C$5:$C$2004)</f>
      </c>
      <c r="D1436" s="6" t="str">
        <f>ABS(C1436-B1436)</f>
      </c>
    </row>
    <row r="1437">
      <c r="A1437" s="5">
        <v>1413</v>
      </c>
      <c r="B1437" s="5" t="str">
        <f>SMALL('Lineal Mixto'!$C$5:$C$2004,A1437)</f>
      </c>
      <c r="C1437" s="5" t="str">
        <f>A1437/COUNT('Lineal Mixto'!$C$5:$C$2004)</f>
      </c>
      <c r="D1437" s="5" t="str">
        <f>ABS(C1437-B1437)</f>
      </c>
    </row>
    <row r="1438">
      <c r="A1438" s="6">
        <v>1414</v>
      </c>
      <c r="B1438" s="6" t="str">
        <f>SMALL('Lineal Mixto'!$C$5:$C$2004,A1438)</f>
      </c>
      <c r="C1438" s="6" t="str">
        <f>A1438/COUNT('Lineal Mixto'!$C$5:$C$2004)</f>
      </c>
      <c r="D1438" s="6" t="str">
        <f>ABS(C1438-B1438)</f>
      </c>
    </row>
    <row r="1439">
      <c r="A1439" s="5">
        <v>1415</v>
      </c>
      <c r="B1439" s="5" t="str">
        <f>SMALL('Lineal Mixto'!$C$5:$C$2004,A1439)</f>
      </c>
      <c r="C1439" s="5" t="str">
        <f>A1439/COUNT('Lineal Mixto'!$C$5:$C$2004)</f>
      </c>
      <c r="D1439" s="5" t="str">
        <f>ABS(C1439-B1439)</f>
      </c>
    </row>
    <row r="1440">
      <c r="A1440" s="6">
        <v>1416</v>
      </c>
      <c r="B1440" s="6" t="str">
        <f>SMALL('Lineal Mixto'!$C$5:$C$2004,A1440)</f>
      </c>
      <c r="C1440" s="6" t="str">
        <f>A1440/COUNT('Lineal Mixto'!$C$5:$C$2004)</f>
      </c>
      <c r="D1440" s="6" t="str">
        <f>ABS(C1440-B1440)</f>
      </c>
    </row>
    <row r="1441">
      <c r="A1441" s="5">
        <v>1417</v>
      </c>
      <c r="B1441" s="5" t="str">
        <f>SMALL('Lineal Mixto'!$C$5:$C$2004,A1441)</f>
      </c>
      <c r="C1441" s="5" t="str">
        <f>A1441/COUNT('Lineal Mixto'!$C$5:$C$2004)</f>
      </c>
      <c r="D1441" s="5" t="str">
        <f>ABS(C1441-B1441)</f>
      </c>
    </row>
    <row r="1442">
      <c r="A1442" s="6">
        <v>1418</v>
      </c>
      <c r="B1442" s="6" t="str">
        <f>SMALL('Lineal Mixto'!$C$5:$C$2004,A1442)</f>
      </c>
      <c r="C1442" s="6" t="str">
        <f>A1442/COUNT('Lineal Mixto'!$C$5:$C$2004)</f>
      </c>
      <c r="D1442" s="6" t="str">
        <f>ABS(C1442-B1442)</f>
      </c>
    </row>
    <row r="1443">
      <c r="A1443" s="5">
        <v>1419</v>
      </c>
      <c r="B1443" s="5" t="str">
        <f>SMALL('Lineal Mixto'!$C$5:$C$2004,A1443)</f>
      </c>
      <c r="C1443" s="5" t="str">
        <f>A1443/COUNT('Lineal Mixto'!$C$5:$C$2004)</f>
      </c>
      <c r="D1443" s="5" t="str">
        <f>ABS(C1443-B1443)</f>
      </c>
    </row>
    <row r="1444">
      <c r="A1444" s="6">
        <v>1420</v>
      </c>
      <c r="B1444" s="6" t="str">
        <f>SMALL('Lineal Mixto'!$C$5:$C$2004,A1444)</f>
      </c>
      <c r="C1444" s="6" t="str">
        <f>A1444/COUNT('Lineal Mixto'!$C$5:$C$2004)</f>
      </c>
      <c r="D1444" s="6" t="str">
        <f>ABS(C1444-B1444)</f>
      </c>
    </row>
    <row r="1445">
      <c r="A1445" s="5">
        <v>1421</v>
      </c>
      <c r="B1445" s="5" t="str">
        <f>SMALL('Lineal Mixto'!$C$5:$C$2004,A1445)</f>
      </c>
      <c r="C1445" s="5" t="str">
        <f>A1445/COUNT('Lineal Mixto'!$C$5:$C$2004)</f>
      </c>
      <c r="D1445" s="5" t="str">
        <f>ABS(C1445-B1445)</f>
      </c>
    </row>
    <row r="1446">
      <c r="A1446" s="6">
        <v>1422</v>
      </c>
      <c r="B1446" s="6" t="str">
        <f>SMALL('Lineal Mixto'!$C$5:$C$2004,A1446)</f>
      </c>
      <c r="C1446" s="6" t="str">
        <f>A1446/COUNT('Lineal Mixto'!$C$5:$C$2004)</f>
      </c>
      <c r="D1446" s="6" t="str">
        <f>ABS(C1446-B1446)</f>
      </c>
    </row>
    <row r="1447">
      <c r="A1447" s="5">
        <v>1423</v>
      </c>
      <c r="B1447" s="5" t="str">
        <f>SMALL('Lineal Mixto'!$C$5:$C$2004,A1447)</f>
      </c>
      <c r="C1447" s="5" t="str">
        <f>A1447/COUNT('Lineal Mixto'!$C$5:$C$2004)</f>
      </c>
      <c r="D1447" s="5" t="str">
        <f>ABS(C1447-B1447)</f>
      </c>
    </row>
    <row r="1448">
      <c r="A1448" s="6">
        <v>1424</v>
      </c>
      <c r="B1448" s="6" t="str">
        <f>SMALL('Lineal Mixto'!$C$5:$C$2004,A1448)</f>
      </c>
      <c r="C1448" s="6" t="str">
        <f>A1448/COUNT('Lineal Mixto'!$C$5:$C$2004)</f>
      </c>
      <c r="D1448" s="6" t="str">
        <f>ABS(C1448-B1448)</f>
      </c>
    </row>
    <row r="1449">
      <c r="A1449" s="5">
        <v>1425</v>
      </c>
      <c r="B1449" s="5" t="str">
        <f>SMALL('Lineal Mixto'!$C$5:$C$2004,A1449)</f>
      </c>
      <c r="C1449" s="5" t="str">
        <f>A1449/COUNT('Lineal Mixto'!$C$5:$C$2004)</f>
      </c>
      <c r="D1449" s="5" t="str">
        <f>ABS(C1449-B1449)</f>
      </c>
    </row>
    <row r="1450">
      <c r="A1450" s="6">
        <v>1426</v>
      </c>
      <c r="B1450" s="6" t="str">
        <f>SMALL('Lineal Mixto'!$C$5:$C$2004,A1450)</f>
      </c>
      <c r="C1450" s="6" t="str">
        <f>A1450/COUNT('Lineal Mixto'!$C$5:$C$2004)</f>
      </c>
      <c r="D1450" s="6" t="str">
        <f>ABS(C1450-B1450)</f>
      </c>
    </row>
    <row r="1451">
      <c r="A1451" s="5">
        <v>1427</v>
      </c>
      <c r="B1451" s="5" t="str">
        <f>SMALL('Lineal Mixto'!$C$5:$C$2004,A1451)</f>
      </c>
      <c r="C1451" s="5" t="str">
        <f>A1451/COUNT('Lineal Mixto'!$C$5:$C$2004)</f>
      </c>
      <c r="D1451" s="5" t="str">
        <f>ABS(C1451-B1451)</f>
      </c>
    </row>
    <row r="1452">
      <c r="A1452" s="6">
        <v>1428</v>
      </c>
      <c r="B1452" s="6" t="str">
        <f>SMALL('Lineal Mixto'!$C$5:$C$2004,A1452)</f>
      </c>
      <c r="C1452" s="6" t="str">
        <f>A1452/COUNT('Lineal Mixto'!$C$5:$C$2004)</f>
      </c>
      <c r="D1452" s="6" t="str">
        <f>ABS(C1452-B1452)</f>
      </c>
    </row>
    <row r="1453">
      <c r="A1453" s="5">
        <v>1429</v>
      </c>
      <c r="B1453" s="5" t="str">
        <f>SMALL('Lineal Mixto'!$C$5:$C$2004,A1453)</f>
      </c>
      <c r="C1453" s="5" t="str">
        <f>A1453/COUNT('Lineal Mixto'!$C$5:$C$2004)</f>
      </c>
      <c r="D1453" s="5" t="str">
        <f>ABS(C1453-B1453)</f>
      </c>
    </row>
    <row r="1454">
      <c r="A1454" s="6">
        <v>1430</v>
      </c>
      <c r="B1454" s="6" t="str">
        <f>SMALL('Lineal Mixto'!$C$5:$C$2004,A1454)</f>
      </c>
      <c r="C1454" s="6" t="str">
        <f>A1454/COUNT('Lineal Mixto'!$C$5:$C$2004)</f>
      </c>
      <c r="D1454" s="6" t="str">
        <f>ABS(C1454-B1454)</f>
      </c>
    </row>
    <row r="1455">
      <c r="A1455" s="5">
        <v>1431</v>
      </c>
      <c r="B1455" s="5" t="str">
        <f>SMALL('Lineal Mixto'!$C$5:$C$2004,A1455)</f>
      </c>
      <c r="C1455" s="5" t="str">
        <f>A1455/COUNT('Lineal Mixto'!$C$5:$C$2004)</f>
      </c>
      <c r="D1455" s="5" t="str">
        <f>ABS(C1455-B1455)</f>
      </c>
    </row>
    <row r="1456">
      <c r="A1456" s="6">
        <v>1432</v>
      </c>
      <c r="B1456" s="6" t="str">
        <f>SMALL('Lineal Mixto'!$C$5:$C$2004,A1456)</f>
      </c>
      <c r="C1456" s="6" t="str">
        <f>A1456/COUNT('Lineal Mixto'!$C$5:$C$2004)</f>
      </c>
      <c r="D1456" s="6" t="str">
        <f>ABS(C1456-B1456)</f>
      </c>
    </row>
    <row r="1457">
      <c r="A1457" s="5">
        <v>1433</v>
      </c>
      <c r="B1457" s="5" t="str">
        <f>SMALL('Lineal Mixto'!$C$5:$C$2004,A1457)</f>
      </c>
      <c r="C1457" s="5" t="str">
        <f>A1457/COUNT('Lineal Mixto'!$C$5:$C$2004)</f>
      </c>
      <c r="D1457" s="5" t="str">
        <f>ABS(C1457-B1457)</f>
      </c>
    </row>
    <row r="1458">
      <c r="A1458" s="6">
        <v>1434</v>
      </c>
      <c r="B1458" s="6" t="str">
        <f>SMALL('Lineal Mixto'!$C$5:$C$2004,A1458)</f>
      </c>
      <c r="C1458" s="6" t="str">
        <f>A1458/COUNT('Lineal Mixto'!$C$5:$C$2004)</f>
      </c>
      <c r="D1458" s="6" t="str">
        <f>ABS(C1458-B1458)</f>
      </c>
    </row>
    <row r="1459">
      <c r="A1459" s="5">
        <v>1435</v>
      </c>
      <c r="B1459" s="5" t="str">
        <f>SMALL('Lineal Mixto'!$C$5:$C$2004,A1459)</f>
      </c>
      <c r="C1459" s="5" t="str">
        <f>A1459/COUNT('Lineal Mixto'!$C$5:$C$2004)</f>
      </c>
      <c r="D1459" s="5" t="str">
        <f>ABS(C1459-B1459)</f>
      </c>
    </row>
    <row r="1460">
      <c r="A1460" s="6">
        <v>1436</v>
      </c>
      <c r="B1460" s="6" t="str">
        <f>SMALL('Lineal Mixto'!$C$5:$C$2004,A1460)</f>
      </c>
      <c r="C1460" s="6" t="str">
        <f>A1460/COUNT('Lineal Mixto'!$C$5:$C$2004)</f>
      </c>
      <c r="D1460" s="6" t="str">
        <f>ABS(C1460-B1460)</f>
      </c>
    </row>
    <row r="1461">
      <c r="A1461" s="5">
        <v>1437</v>
      </c>
      <c r="B1461" s="5" t="str">
        <f>SMALL('Lineal Mixto'!$C$5:$C$2004,A1461)</f>
      </c>
      <c r="C1461" s="5" t="str">
        <f>A1461/COUNT('Lineal Mixto'!$C$5:$C$2004)</f>
      </c>
      <c r="D1461" s="5" t="str">
        <f>ABS(C1461-B1461)</f>
      </c>
    </row>
    <row r="1462">
      <c r="A1462" s="6">
        <v>1438</v>
      </c>
      <c r="B1462" s="6" t="str">
        <f>SMALL('Lineal Mixto'!$C$5:$C$2004,A1462)</f>
      </c>
      <c r="C1462" s="6" t="str">
        <f>A1462/COUNT('Lineal Mixto'!$C$5:$C$2004)</f>
      </c>
      <c r="D1462" s="6" t="str">
        <f>ABS(C1462-B1462)</f>
      </c>
    </row>
    <row r="1463">
      <c r="A1463" s="5">
        <v>1439</v>
      </c>
      <c r="B1463" s="5" t="str">
        <f>SMALL('Lineal Mixto'!$C$5:$C$2004,A1463)</f>
      </c>
      <c r="C1463" s="5" t="str">
        <f>A1463/COUNT('Lineal Mixto'!$C$5:$C$2004)</f>
      </c>
      <c r="D1463" s="5" t="str">
        <f>ABS(C1463-B1463)</f>
      </c>
    </row>
    <row r="1464">
      <c r="A1464" s="6">
        <v>1440</v>
      </c>
      <c r="B1464" s="6" t="str">
        <f>SMALL('Lineal Mixto'!$C$5:$C$2004,A1464)</f>
      </c>
      <c r="C1464" s="6" t="str">
        <f>A1464/COUNT('Lineal Mixto'!$C$5:$C$2004)</f>
      </c>
      <c r="D1464" s="6" t="str">
        <f>ABS(C1464-B1464)</f>
      </c>
    </row>
    <row r="1465">
      <c r="A1465" s="5">
        <v>1441</v>
      </c>
      <c r="B1465" s="5" t="str">
        <f>SMALL('Lineal Mixto'!$C$5:$C$2004,A1465)</f>
      </c>
      <c r="C1465" s="5" t="str">
        <f>A1465/COUNT('Lineal Mixto'!$C$5:$C$2004)</f>
      </c>
      <c r="D1465" s="5" t="str">
        <f>ABS(C1465-B1465)</f>
      </c>
    </row>
    <row r="1466">
      <c r="A1466" s="6">
        <v>1442</v>
      </c>
      <c r="B1466" s="6" t="str">
        <f>SMALL('Lineal Mixto'!$C$5:$C$2004,A1466)</f>
      </c>
      <c r="C1466" s="6" t="str">
        <f>A1466/COUNT('Lineal Mixto'!$C$5:$C$2004)</f>
      </c>
      <c r="D1466" s="6" t="str">
        <f>ABS(C1466-B1466)</f>
      </c>
    </row>
    <row r="1467">
      <c r="A1467" s="5">
        <v>1443</v>
      </c>
      <c r="B1467" s="5" t="str">
        <f>SMALL('Lineal Mixto'!$C$5:$C$2004,A1467)</f>
      </c>
      <c r="C1467" s="5" t="str">
        <f>A1467/COUNT('Lineal Mixto'!$C$5:$C$2004)</f>
      </c>
      <c r="D1467" s="5" t="str">
        <f>ABS(C1467-B1467)</f>
      </c>
    </row>
    <row r="1468">
      <c r="A1468" s="6">
        <v>1444</v>
      </c>
      <c r="B1468" s="6" t="str">
        <f>SMALL('Lineal Mixto'!$C$5:$C$2004,A1468)</f>
      </c>
      <c r="C1468" s="6" t="str">
        <f>A1468/COUNT('Lineal Mixto'!$C$5:$C$2004)</f>
      </c>
      <c r="D1468" s="6" t="str">
        <f>ABS(C1468-B1468)</f>
      </c>
    </row>
    <row r="1469">
      <c r="A1469" s="5">
        <v>1445</v>
      </c>
      <c r="B1469" s="5" t="str">
        <f>SMALL('Lineal Mixto'!$C$5:$C$2004,A1469)</f>
      </c>
      <c r="C1469" s="5" t="str">
        <f>A1469/COUNT('Lineal Mixto'!$C$5:$C$2004)</f>
      </c>
      <c r="D1469" s="5" t="str">
        <f>ABS(C1469-B1469)</f>
      </c>
    </row>
    <row r="1470">
      <c r="A1470" s="6">
        <v>1446</v>
      </c>
      <c r="B1470" s="6" t="str">
        <f>SMALL('Lineal Mixto'!$C$5:$C$2004,A1470)</f>
      </c>
      <c r="C1470" s="6" t="str">
        <f>A1470/COUNT('Lineal Mixto'!$C$5:$C$2004)</f>
      </c>
      <c r="D1470" s="6" t="str">
        <f>ABS(C1470-B1470)</f>
      </c>
    </row>
    <row r="1471">
      <c r="A1471" s="5">
        <v>1447</v>
      </c>
      <c r="B1471" s="5" t="str">
        <f>SMALL('Lineal Mixto'!$C$5:$C$2004,A1471)</f>
      </c>
      <c r="C1471" s="5" t="str">
        <f>A1471/COUNT('Lineal Mixto'!$C$5:$C$2004)</f>
      </c>
      <c r="D1471" s="5" t="str">
        <f>ABS(C1471-B1471)</f>
      </c>
    </row>
    <row r="1472">
      <c r="A1472" s="6">
        <v>1448</v>
      </c>
      <c r="B1472" s="6" t="str">
        <f>SMALL('Lineal Mixto'!$C$5:$C$2004,A1472)</f>
      </c>
      <c r="C1472" s="6" t="str">
        <f>A1472/COUNT('Lineal Mixto'!$C$5:$C$2004)</f>
      </c>
      <c r="D1472" s="6" t="str">
        <f>ABS(C1472-B1472)</f>
      </c>
    </row>
    <row r="1473">
      <c r="A1473" s="5">
        <v>1449</v>
      </c>
      <c r="B1473" s="5" t="str">
        <f>SMALL('Lineal Mixto'!$C$5:$C$2004,A1473)</f>
      </c>
      <c r="C1473" s="5" t="str">
        <f>A1473/COUNT('Lineal Mixto'!$C$5:$C$2004)</f>
      </c>
      <c r="D1473" s="5" t="str">
        <f>ABS(C1473-B1473)</f>
      </c>
    </row>
    <row r="1474">
      <c r="A1474" s="6">
        <v>1450</v>
      </c>
      <c r="B1474" s="6" t="str">
        <f>SMALL('Lineal Mixto'!$C$5:$C$2004,A1474)</f>
      </c>
      <c r="C1474" s="6" t="str">
        <f>A1474/COUNT('Lineal Mixto'!$C$5:$C$2004)</f>
      </c>
      <c r="D1474" s="6" t="str">
        <f>ABS(C1474-B1474)</f>
      </c>
    </row>
    <row r="1475">
      <c r="A1475" s="5">
        <v>1451</v>
      </c>
      <c r="B1475" s="5" t="str">
        <f>SMALL('Lineal Mixto'!$C$5:$C$2004,A1475)</f>
      </c>
      <c r="C1475" s="5" t="str">
        <f>A1475/COUNT('Lineal Mixto'!$C$5:$C$2004)</f>
      </c>
      <c r="D1475" s="5" t="str">
        <f>ABS(C1475-B1475)</f>
      </c>
    </row>
    <row r="1476">
      <c r="A1476" s="6">
        <v>1452</v>
      </c>
      <c r="B1476" s="6" t="str">
        <f>SMALL('Lineal Mixto'!$C$5:$C$2004,A1476)</f>
      </c>
      <c r="C1476" s="6" t="str">
        <f>A1476/COUNT('Lineal Mixto'!$C$5:$C$2004)</f>
      </c>
      <c r="D1476" s="6" t="str">
        <f>ABS(C1476-B1476)</f>
      </c>
    </row>
    <row r="1477">
      <c r="A1477" s="5">
        <v>1453</v>
      </c>
      <c r="B1477" s="5" t="str">
        <f>SMALL('Lineal Mixto'!$C$5:$C$2004,A1477)</f>
      </c>
      <c r="C1477" s="5" t="str">
        <f>A1477/COUNT('Lineal Mixto'!$C$5:$C$2004)</f>
      </c>
      <c r="D1477" s="5" t="str">
        <f>ABS(C1477-B1477)</f>
      </c>
    </row>
    <row r="1478">
      <c r="A1478" s="6">
        <v>1454</v>
      </c>
      <c r="B1478" s="6" t="str">
        <f>SMALL('Lineal Mixto'!$C$5:$C$2004,A1478)</f>
      </c>
      <c r="C1478" s="6" t="str">
        <f>A1478/COUNT('Lineal Mixto'!$C$5:$C$2004)</f>
      </c>
      <c r="D1478" s="6" t="str">
        <f>ABS(C1478-B1478)</f>
      </c>
    </row>
    <row r="1479">
      <c r="A1479" s="5">
        <v>1455</v>
      </c>
      <c r="B1479" s="5" t="str">
        <f>SMALL('Lineal Mixto'!$C$5:$C$2004,A1479)</f>
      </c>
      <c r="C1479" s="5" t="str">
        <f>A1479/COUNT('Lineal Mixto'!$C$5:$C$2004)</f>
      </c>
      <c r="D1479" s="5" t="str">
        <f>ABS(C1479-B1479)</f>
      </c>
    </row>
    <row r="1480">
      <c r="A1480" s="6">
        <v>1456</v>
      </c>
      <c r="B1480" s="6" t="str">
        <f>SMALL('Lineal Mixto'!$C$5:$C$2004,A1480)</f>
      </c>
      <c r="C1480" s="6" t="str">
        <f>A1480/COUNT('Lineal Mixto'!$C$5:$C$2004)</f>
      </c>
      <c r="D1480" s="6" t="str">
        <f>ABS(C1480-B1480)</f>
      </c>
    </row>
    <row r="1481">
      <c r="A1481" s="5">
        <v>1457</v>
      </c>
      <c r="B1481" s="5" t="str">
        <f>SMALL('Lineal Mixto'!$C$5:$C$2004,A1481)</f>
      </c>
      <c r="C1481" s="5" t="str">
        <f>A1481/COUNT('Lineal Mixto'!$C$5:$C$2004)</f>
      </c>
      <c r="D1481" s="5" t="str">
        <f>ABS(C1481-B1481)</f>
      </c>
    </row>
    <row r="1482">
      <c r="A1482" s="6">
        <v>1458</v>
      </c>
      <c r="B1482" s="6" t="str">
        <f>SMALL('Lineal Mixto'!$C$5:$C$2004,A1482)</f>
      </c>
      <c r="C1482" s="6" t="str">
        <f>A1482/COUNT('Lineal Mixto'!$C$5:$C$2004)</f>
      </c>
      <c r="D1482" s="6" t="str">
        <f>ABS(C1482-B1482)</f>
      </c>
    </row>
    <row r="1483">
      <c r="A1483" s="5">
        <v>1459</v>
      </c>
      <c r="B1483" s="5" t="str">
        <f>SMALL('Lineal Mixto'!$C$5:$C$2004,A1483)</f>
      </c>
      <c r="C1483" s="5" t="str">
        <f>A1483/COUNT('Lineal Mixto'!$C$5:$C$2004)</f>
      </c>
      <c r="D1483" s="5" t="str">
        <f>ABS(C1483-B1483)</f>
      </c>
    </row>
    <row r="1484">
      <c r="A1484" s="6">
        <v>1460</v>
      </c>
      <c r="B1484" s="6" t="str">
        <f>SMALL('Lineal Mixto'!$C$5:$C$2004,A1484)</f>
      </c>
      <c r="C1484" s="6" t="str">
        <f>A1484/COUNT('Lineal Mixto'!$C$5:$C$2004)</f>
      </c>
      <c r="D1484" s="6" t="str">
        <f>ABS(C1484-B1484)</f>
      </c>
    </row>
    <row r="1485">
      <c r="A1485" s="5">
        <v>1461</v>
      </c>
      <c r="B1485" s="5" t="str">
        <f>SMALL('Lineal Mixto'!$C$5:$C$2004,A1485)</f>
      </c>
      <c r="C1485" s="5" t="str">
        <f>A1485/COUNT('Lineal Mixto'!$C$5:$C$2004)</f>
      </c>
      <c r="D1485" s="5" t="str">
        <f>ABS(C1485-B1485)</f>
      </c>
    </row>
    <row r="1486">
      <c r="A1486" s="6">
        <v>1462</v>
      </c>
      <c r="B1486" s="6" t="str">
        <f>SMALL('Lineal Mixto'!$C$5:$C$2004,A1486)</f>
      </c>
      <c r="C1486" s="6" t="str">
        <f>A1486/COUNT('Lineal Mixto'!$C$5:$C$2004)</f>
      </c>
      <c r="D1486" s="6" t="str">
        <f>ABS(C1486-B1486)</f>
      </c>
    </row>
    <row r="1487">
      <c r="A1487" s="5">
        <v>1463</v>
      </c>
      <c r="B1487" s="5" t="str">
        <f>SMALL('Lineal Mixto'!$C$5:$C$2004,A1487)</f>
      </c>
      <c r="C1487" s="5" t="str">
        <f>A1487/COUNT('Lineal Mixto'!$C$5:$C$2004)</f>
      </c>
      <c r="D1487" s="5" t="str">
        <f>ABS(C1487-B1487)</f>
      </c>
    </row>
    <row r="1488">
      <c r="A1488" s="6">
        <v>1464</v>
      </c>
      <c r="B1488" s="6" t="str">
        <f>SMALL('Lineal Mixto'!$C$5:$C$2004,A1488)</f>
      </c>
      <c r="C1488" s="6" t="str">
        <f>A1488/COUNT('Lineal Mixto'!$C$5:$C$2004)</f>
      </c>
      <c r="D1488" s="6" t="str">
        <f>ABS(C1488-B1488)</f>
      </c>
    </row>
    <row r="1489">
      <c r="A1489" s="5">
        <v>1465</v>
      </c>
      <c r="B1489" s="5" t="str">
        <f>SMALL('Lineal Mixto'!$C$5:$C$2004,A1489)</f>
      </c>
      <c r="C1489" s="5" t="str">
        <f>A1489/COUNT('Lineal Mixto'!$C$5:$C$2004)</f>
      </c>
      <c r="D1489" s="5" t="str">
        <f>ABS(C1489-B1489)</f>
      </c>
    </row>
    <row r="1490">
      <c r="A1490" s="6">
        <v>1466</v>
      </c>
      <c r="B1490" s="6" t="str">
        <f>SMALL('Lineal Mixto'!$C$5:$C$2004,A1490)</f>
      </c>
      <c r="C1490" s="6" t="str">
        <f>A1490/COUNT('Lineal Mixto'!$C$5:$C$2004)</f>
      </c>
      <c r="D1490" s="6" t="str">
        <f>ABS(C1490-B1490)</f>
      </c>
    </row>
    <row r="1491">
      <c r="A1491" s="5">
        <v>1467</v>
      </c>
      <c r="B1491" s="5" t="str">
        <f>SMALL('Lineal Mixto'!$C$5:$C$2004,A1491)</f>
      </c>
      <c r="C1491" s="5" t="str">
        <f>A1491/COUNT('Lineal Mixto'!$C$5:$C$2004)</f>
      </c>
      <c r="D1491" s="5" t="str">
        <f>ABS(C1491-B1491)</f>
      </c>
    </row>
    <row r="1492">
      <c r="A1492" s="6">
        <v>1468</v>
      </c>
      <c r="B1492" s="6" t="str">
        <f>SMALL('Lineal Mixto'!$C$5:$C$2004,A1492)</f>
      </c>
      <c r="C1492" s="6" t="str">
        <f>A1492/COUNT('Lineal Mixto'!$C$5:$C$2004)</f>
      </c>
      <c r="D1492" s="6" t="str">
        <f>ABS(C1492-B1492)</f>
      </c>
    </row>
    <row r="1493">
      <c r="A1493" s="5">
        <v>1469</v>
      </c>
      <c r="B1493" s="5" t="str">
        <f>SMALL('Lineal Mixto'!$C$5:$C$2004,A1493)</f>
      </c>
      <c r="C1493" s="5" t="str">
        <f>A1493/COUNT('Lineal Mixto'!$C$5:$C$2004)</f>
      </c>
      <c r="D1493" s="5" t="str">
        <f>ABS(C1493-B1493)</f>
      </c>
    </row>
    <row r="1494">
      <c r="A1494" s="6">
        <v>1470</v>
      </c>
      <c r="B1494" s="6" t="str">
        <f>SMALL('Lineal Mixto'!$C$5:$C$2004,A1494)</f>
      </c>
      <c r="C1494" s="6" t="str">
        <f>A1494/COUNT('Lineal Mixto'!$C$5:$C$2004)</f>
      </c>
      <c r="D1494" s="6" t="str">
        <f>ABS(C1494-B1494)</f>
      </c>
    </row>
    <row r="1495">
      <c r="A1495" s="5">
        <v>1471</v>
      </c>
      <c r="B1495" s="5" t="str">
        <f>SMALL('Lineal Mixto'!$C$5:$C$2004,A1495)</f>
      </c>
      <c r="C1495" s="5" t="str">
        <f>A1495/COUNT('Lineal Mixto'!$C$5:$C$2004)</f>
      </c>
      <c r="D1495" s="5" t="str">
        <f>ABS(C1495-B1495)</f>
      </c>
    </row>
    <row r="1496">
      <c r="A1496" s="6">
        <v>1472</v>
      </c>
      <c r="B1496" s="6" t="str">
        <f>SMALL('Lineal Mixto'!$C$5:$C$2004,A1496)</f>
      </c>
      <c r="C1496" s="6" t="str">
        <f>A1496/COUNT('Lineal Mixto'!$C$5:$C$2004)</f>
      </c>
      <c r="D1496" s="6" t="str">
        <f>ABS(C1496-B1496)</f>
      </c>
    </row>
    <row r="1497">
      <c r="A1497" s="5">
        <v>1473</v>
      </c>
      <c r="B1497" s="5" t="str">
        <f>SMALL('Lineal Mixto'!$C$5:$C$2004,A1497)</f>
      </c>
      <c r="C1497" s="5" t="str">
        <f>A1497/COUNT('Lineal Mixto'!$C$5:$C$2004)</f>
      </c>
      <c r="D1497" s="5" t="str">
        <f>ABS(C1497-B1497)</f>
      </c>
    </row>
    <row r="1498">
      <c r="A1498" s="6">
        <v>1474</v>
      </c>
      <c r="B1498" s="6" t="str">
        <f>SMALL('Lineal Mixto'!$C$5:$C$2004,A1498)</f>
      </c>
      <c r="C1498" s="6" t="str">
        <f>A1498/COUNT('Lineal Mixto'!$C$5:$C$2004)</f>
      </c>
      <c r="D1498" s="6" t="str">
        <f>ABS(C1498-B1498)</f>
      </c>
    </row>
    <row r="1499">
      <c r="A1499" s="5">
        <v>1475</v>
      </c>
      <c r="B1499" s="5" t="str">
        <f>SMALL('Lineal Mixto'!$C$5:$C$2004,A1499)</f>
      </c>
      <c r="C1499" s="5" t="str">
        <f>A1499/COUNT('Lineal Mixto'!$C$5:$C$2004)</f>
      </c>
      <c r="D1499" s="5" t="str">
        <f>ABS(C1499-B1499)</f>
      </c>
    </row>
    <row r="1500">
      <c r="A1500" s="6">
        <v>1476</v>
      </c>
      <c r="B1500" s="6" t="str">
        <f>SMALL('Lineal Mixto'!$C$5:$C$2004,A1500)</f>
      </c>
      <c r="C1500" s="6" t="str">
        <f>A1500/COUNT('Lineal Mixto'!$C$5:$C$2004)</f>
      </c>
      <c r="D1500" s="6" t="str">
        <f>ABS(C1500-B1500)</f>
      </c>
    </row>
    <row r="1501">
      <c r="A1501" s="5">
        <v>1477</v>
      </c>
      <c r="B1501" s="5" t="str">
        <f>SMALL('Lineal Mixto'!$C$5:$C$2004,A1501)</f>
      </c>
      <c r="C1501" s="5" t="str">
        <f>A1501/COUNT('Lineal Mixto'!$C$5:$C$2004)</f>
      </c>
      <c r="D1501" s="5" t="str">
        <f>ABS(C1501-B1501)</f>
      </c>
    </row>
    <row r="1502">
      <c r="A1502" s="6">
        <v>1478</v>
      </c>
      <c r="B1502" s="6" t="str">
        <f>SMALL('Lineal Mixto'!$C$5:$C$2004,A1502)</f>
      </c>
      <c r="C1502" s="6" t="str">
        <f>A1502/COUNT('Lineal Mixto'!$C$5:$C$2004)</f>
      </c>
      <c r="D1502" s="6" t="str">
        <f>ABS(C1502-B1502)</f>
      </c>
    </row>
    <row r="1503">
      <c r="A1503" s="5">
        <v>1479</v>
      </c>
      <c r="B1503" s="5" t="str">
        <f>SMALL('Lineal Mixto'!$C$5:$C$2004,A1503)</f>
      </c>
      <c r="C1503" s="5" t="str">
        <f>A1503/COUNT('Lineal Mixto'!$C$5:$C$2004)</f>
      </c>
      <c r="D1503" s="5" t="str">
        <f>ABS(C1503-B1503)</f>
      </c>
    </row>
    <row r="1504">
      <c r="A1504" s="6">
        <v>1480</v>
      </c>
      <c r="B1504" s="6" t="str">
        <f>SMALL('Lineal Mixto'!$C$5:$C$2004,A1504)</f>
      </c>
      <c r="C1504" s="6" t="str">
        <f>A1504/COUNT('Lineal Mixto'!$C$5:$C$2004)</f>
      </c>
      <c r="D1504" s="6" t="str">
        <f>ABS(C1504-B1504)</f>
      </c>
    </row>
    <row r="1505">
      <c r="A1505" s="5">
        <v>1481</v>
      </c>
      <c r="B1505" s="5" t="str">
        <f>SMALL('Lineal Mixto'!$C$5:$C$2004,A1505)</f>
      </c>
      <c r="C1505" s="5" t="str">
        <f>A1505/COUNT('Lineal Mixto'!$C$5:$C$2004)</f>
      </c>
      <c r="D1505" s="5" t="str">
        <f>ABS(C1505-B1505)</f>
      </c>
    </row>
    <row r="1506">
      <c r="A1506" s="6">
        <v>1482</v>
      </c>
      <c r="B1506" s="6" t="str">
        <f>SMALL('Lineal Mixto'!$C$5:$C$2004,A1506)</f>
      </c>
      <c r="C1506" s="6" t="str">
        <f>A1506/COUNT('Lineal Mixto'!$C$5:$C$2004)</f>
      </c>
      <c r="D1506" s="6" t="str">
        <f>ABS(C1506-B1506)</f>
      </c>
    </row>
    <row r="1507">
      <c r="A1507" s="5">
        <v>1483</v>
      </c>
      <c r="B1507" s="5" t="str">
        <f>SMALL('Lineal Mixto'!$C$5:$C$2004,A1507)</f>
      </c>
      <c r="C1507" s="5" t="str">
        <f>A1507/COUNT('Lineal Mixto'!$C$5:$C$2004)</f>
      </c>
      <c r="D1507" s="5" t="str">
        <f>ABS(C1507-B1507)</f>
      </c>
    </row>
    <row r="1508">
      <c r="A1508" s="6">
        <v>1484</v>
      </c>
      <c r="B1508" s="6" t="str">
        <f>SMALL('Lineal Mixto'!$C$5:$C$2004,A1508)</f>
      </c>
      <c r="C1508" s="6" t="str">
        <f>A1508/COUNT('Lineal Mixto'!$C$5:$C$2004)</f>
      </c>
      <c r="D1508" s="6" t="str">
        <f>ABS(C1508-B1508)</f>
      </c>
    </row>
    <row r="1509">
      <c r="A1509" s="5">
        <v>1485</v>
      </c>
      <c r="B1509" s="5" t="str">
        <f>SMALL('Lineal Mixto'!$C$5:$C$2004,A1509)</f>
      </c>
      <c r="C1509" s="5" t="str">
        <f>A1509/COUNT('Lineal Mixto'!$C$5:$C$2004)</f>
      </c>
      <c r="D1509" s="5" t="str">
        <f>ABS(C1509-B1509)</f>
      </c>
    </row>
    <row r="1510">
      <c r="A1510" s="6">
        <v>1486</v>
      </c>
      <c r="B1510" s="6" t="str">
        <f>SMALL('Lineal Mixto'!$C$5:$C$2004,A1510)</f>
      </c>
      <c r="C1510" s="6" t="str">
        <f>A1510/COUNT('Lineal Mixto'!$C$5:$C$2004)</f>
      </c>
      <c r="D1510" s="6" t="str">
        <f>ABS(C1510-B1510)</f>
      </c>
    </row>
    <row r="1511">
      <c r="A1511" s="5">
        <v>1487</v>
      </c>
      <c r="B1511" s="5" t="str">
        <f>SMALL('Lineal Mixto'!$C$5:$C$2004,A1511)</f>
      </c>
      <c r="C1511" s="5" t="str">
        <f>A1511/COUNT('Lineal Mixto'!$C$5:$C$2004)</f>
      </c>
      <c r="D1511" s="5" t="str">
        <f>ABS(C1511-B1511)</f>
      </c>
    </row>
    <row r="1512">
      <c r="A1512" s="6">
        <v>1488</v>
      </c>
      <c r="B1512" s="6" t="str">
        <f>SMALL('Lineal Mixto'!$C$5:$C$2004,A1512)</f>
      </c>
      <c r="C1512" s="6" t="str">
        <f>A1512/COUNT('Lineal Mixto'!$C$5:$C$2004)</f>
      </c>
      <c r="D1512" s="6" t="str">
        <f>ABS(C1512-B1512)</f>
      </c>
    </row>
    <row r="1513">
      <c r="A1513" s="5">
        <v>1489</v>
      </c>
      <c r="B1513" s="5" t="str">
        <f>SMALL('Lineal Mixto'!$C$5:$C$2004,A1513)</f>
      </c>
      <c r="C1513" s="5" t="str">
        <f>A1513/COUNT('Lineal Mixto'!$C$5:$C$2004)</f>
      </c>
      <c r="D1513" s="5" t="str">
        <f>ABS(C1513-B1513)</f>
      </c>
    </row>
    <row r="1514">
      <c r="A1514" s="6">
        <v>1490</v>
      </c>
      <c r="B1514" s="6" t="str">
        <f>SMALL('Lineal Mixto'!$C$5:$C$2004,A1514)</f>
      </c>
      <c r="C1514" s="6" t="str">
        <f>A1514/COUNT('Lineal Mixto'!$C$5:$C$2004)</f>
      </c>
      <c r="D1514" s="6" t="str">
        <f>ABS(C1514-B1514)</f>
      </c>
    </row>
    <row r="1515">
      <c r="A1515" s="5">
        <v>1491</v>
      </c>
      <c r="B1515" s="5" t="str">
        <f>SMALL('Lineal Mixto'!$C$5:$C$2004,A1515)</f>
      </c>
      <c r="C1515" s="5" t="str">
        <f>A1515/COUNT('Lineal Mixto'!$C$5:$C$2004)</f>
      </c>
      <c r="D1515" s="5" t="str">
        <f>ABS(C1515-B1515)</f>
      </c>
    </row>
    <row r="1516">
      <c r="A1516" s="6">
        <v>1492</v>
      </c>
      <c r="B1516" s="6" t="str">
        <f>SMALL('Lineal Mixto'!$C$5:$C$2004,A1516)</f>
      </c>
      <c r="C1516" s="6" t="str">
        <f>A1516/COUNT('Lineal Mixto'!$C$5:$C$2004)</f>
      </c>
      <c r="D1516" s="6" t="str">
        <f>ABS(C1516-B1516)</f>
      </c>
    </row>
    <row r="1517">
      <c r="A1517" s="5">
        <v>1493</v>
      </c>
      <c r="B1517" s="5" t="str">
        <f>SMALL('Lineal Mixto'!$C$5:$C$2004,A1517)</f>
      </c>
      <c r="C1517" s="5" t="str">
        <f>A1517/COUNT('Lineal Mixto'!$C$5:$C$2004)</f>
      </c>
      <c r="D1517" s="5" t="str">
        <f>ABS(C1517-B1517)</f>
      </c>
    </row>
    <row r="1518">
      <c r="A1518" s="6">
        <v>1494</v>
      </c>
      <c r="B1518" s="6" t="str">
        <f>SMALL('Lineal Mixto'!$C$5:$C$2004,A1518)</f>
      </c>
      <c r="C1518" s="6" t="str">
        <f>A1518/COUNT('Lineal Mixto'!$C$5:$C$2004)</f>
      </c>
      <c r="D1518" s="6" t="str">
        <f>ABS(C1518-B1518)</f>
      </c>
    </row>
    <row r="1519">
      <c r="A1519" s="5">
        <v>1495</v>
      </c>
      <c r="B1519" s="5" t="str">
        <f>SMALL('Lineal Mixto'!$C$5:$C$2004,A1519)</f>
      </c>
      <c r="C1519" s="5" t="str">
        <f>A1519/COUNT('Lineal Mixto'!$C$5:$C$2004)</f>
      </c>
      <c r="D1519" s="5" t="str">
        <f>ABS(C1519-B1519)</f>
      </c>
    </row>
    <row r="1520">
      <c r="A1520" s="6">
        <v>1496</v>
      </c>
      <c r="B1520" s="6" t="str">
        <f>SMALL('Lineal Mixto'!$C$5:$C$2004,A1520)</f>
      </c>
      <c r="C1520" s="6" t="str">
        <f>A1520/COUNT('Lineal Mixto'!$C$5:$C$2004)</f>
      </c>
      <c r="D1520" s="6" t="str">
        <f>ABS(C1520-B1520)</f>
      </c>
    </row>
    <row r="1521">
      <c r="A1521" s="5">
        <v>1497</v>
      </c>
      <c r="B1521" s="5" t="str">
        <f>SMALL('Lineal Mixto'!$C$5:$C$2004,A1521)</f>
      </c>
      <c r="C1521" s="5" t="str">
        <f>A1521/COUNT('Lineal Mixto'!$C$5:$C$2004)</f>
      </c>
      <c r="D1521" s="5" t="str">
        <f>ABS(C1521-B1521)</f>
      </c>
    </row>
    <row r="1522">
      <c r="A1522" s="6">
        <v>1498</v>
      </c>
      <c r="B1522" s="6" t="str">
        <f>SMALL('Lineal Mixto'!$C$5:$C$2004,A1522)</f>
      </c>
      <c r="C1522" s="6" t="str">
        <f>A1522/COUNT('Lineal Mixto'!$C$5:$C$2004)</f>
      </c>
      <c r="D1522" s="6" t="str">
        <f>ABS(C1522-B1522)</f>
      </c>
    </row>
    <row r="1523">
      <c r="A1523" s="5">
        <v>1499</v>
      </c>
      <c r="B1523" s="5" t="str">
        <f>SMALL('Lineal Mixto'!$C$5:$C$2004,A1523)</f>
      </c>
      <c r="C1523" s="5" t="str">
        <f>A1523/COUNT('Lineal Mixto'!$C$5:$C$2004)</f>
      </c>
      <c r="D1523" s="5" t="str">
        <f>ABS(C1523-B1523)</f>
      </c>
    </row>
    <row r="1524">
      <c r="A1524" s="6">
        <v>1500</v>
      </c>
      <c r="B1524" s="6" t="str">
        <f>SMALL('Lineal Mixto'!$C$5:$C$2004,A1524)</f>
      </c>
      <c r="C1524" s="6" t="str">
        <f>A1524/COUNT('Lineal Mixto'!$C$5:$C$2004)</f>
      </c>
      <c r="D1524" s="6" t="str">
        <f>ABS(C1524-B1524)</f>
      </c>
    </row>
    <row r="1525">
      <c r="A1525" s="5">
        <v>1501</v>
      </c>
      <c r="B1525" s="5" t="str">
        <f>SMALL('Lineal Mixto'!$C$5:$C$2004,A1525)</f>
      </c>
      <c r="C1525" s="5" t="str">
        <f>A1525/COUNT('Lineal Mixto'!$C$5:$C$2004)</f>
      </c>
      <c r="D1525" s="5" t="str">
        <f>ABS(C1525-B1525)</f>
      </c>
    </row>
    <row r="1526">
      <c r="A1526" s="6">
        <v>1502</v>
      </c>
      <c r="B1526" s="6" t="str">
        <f>SMALL('Lineal Mixto'!$C$5:$C$2004,A1526)</f>
      </c>
      <c r="C1526" s="6" t="str">
        <f>A1526/COUNT('Lineal Mixto'!$C$5:$C$2004)</f>
      </c>
      <c r="D1526" s="6" t="str">
        <f>ABS(C1526-B1526)</f>
      </c>
    </row>
    <row r="1527">
      <c r="A1527" s="5">
        <v>1503</v>
      </c>
      <c r="B1527" s="5" t="str">
        <f>SMALL('Lineal Mixto'!$C$5:$C$2004,A1527)</f>
      </c>
      <c r="C1527" s="5" t="str">
        <f>A1527/COUNT('Lineal Mixto'!$C$5:$C$2004)</f>
      </c>
      <c r="D1527" s="5" t="str">
        <f>ABS(C1527-B1527)</f>
      </c>
    </row>
    <row r="1528">
      <c r="A1528" s="6">
        <v>1504</v>
      </c>
      <c r="B1528" s="6" t="str">
        <f>SMALL('Lineal Mixto'!$C$5:$C$2004,A1528)</f>
      </c>
      <c r="C1528" s="6" t="str">
        <f>A1528/COUNT('Lineal Mixto'!$C$5:$C$2004)</f>
      </c>
      <c r="D1528" s="6" t="str">
        <f>ABS(C1528-B1528)</f>
      </c>
    </row>
    <row r="1529">
      <c r="A1529" s="5">
        <v>1505</v>
      </c>
      <c r="B1529" s="5" t="str">
        <f>SMALL('Lineal Mixto'!$C$5:$C$2004,A1529)</f>
      </c>
      <c r="C1529" s="5" t="str">
        <f>A1529/COUNT('Lineal Mixto'!$C$5:$C$2004)</f>
      </c>
      <c r="D1529" s="5" t="str">
        <f>ABS(C1529-B1529)</f>
      </c>
    </row>
    <row r="1530">
      <c r="A1530" s="6">
        <v>1506</v>
      </c>
      <c r="B1530" s="6" t="str">
        <f>SMALL('Lineal Mixto'!$C$5:$C$2004,A1530)</f>
      </c>
      <c r="C1530" s="6" t="str">
        <f>A1530/COUNT('Lineal Mixto'!$C$5:$C$2004)</f>
      </c>
      <c r="D1530" s="6" t="str">
        <f>ABS(C1530-B1530)</f>
      </c>
    </row>
    <row r="1531">
      <c r="A1531" s="5">
        <v>1507</v>
      </c>
      <c r="B1531" s="5" t="str">
        <f>SMALL('Lineal Mixto'!$C$5:$C$2004,A1531)</f>
      </c>
      <c r="C1531" s="5" t="str">
        <f>A1531/COUNT('Lineal Mixto'!$C$5:$C$2004)</f>
      </c>
      <c r="D1531" s="5" t="str">
        <f>ABS(C1531-B1531)</f>
      </c>
    </row>
    <row r="1532">
      <c r="A1532" s="6">
        <v>1508</v>
      </c>
      <c r="B1532" s="6" t="str">
        <f>SMALL('Lineal Mixto'!$C$5:$C$2004,A1532)</f>
      </c>
      <c r="C1532" s="6" t="str">
        <f>A1532/COUNT('Lineal Mixto'!$C$5:$C$2004)</f>
      </c>
      <c r="D1532" s="6" t="str">
        <f>ABS(C1532-B1532)</f>
      </c>
    </row>
    <row r="1533">
      <c r="A1533" s="5">
        <v>1509</v>
      </c>
      <c r="B1533" s="5" t="str">
        <f>SMALL('Lineal Mixto'!$C$5:$C$2004,A1533)</f>
      </c>
      <c r="C1533" s="5" t="str">
        <f>A1533/COUNT('Lineal Mixto'!$C$5:$C$2004)</f>
      </c>
      <c r="D1533" s="5" t="str">
        <f>ABS(C1533-B1533)</f>
      </c>
    </row>
    <row r="1534">
      <c r="A1534" s="6">
        <v>1510</v>
      </c>
      <c r="B1534" s="6" t="str">
        <f>SMALL('Lineal Mixto'!$C$5:$C$2004,A1534)</f>
      </c>
      <c r="C1534" s="6" t="str">
        <f>A1534/COUNT('Lineal Mixto'!$C$5:$C$2004)</f>
      </c>
      <c r="D1534" s="6" t="str">
        <f>ABS(C1534-B1534)</f>
      </c>
    </row>
    <row r="1535">
      <c r="A1535" s="5">
        <v>1511</v>
      </c>
      <c r="B1535" s="5" t="str">
        <f>SMALL('Lineal Mixto'!$C$5:$C$2004,A1535)</f>
      </c>
      <c r="C1535" s="5" t="str">
        <f>A1535/COUNT('Lineal Mixto'!$C$5:$C$2004)</f>
      </c>
      <c r="D1535" s="5" t="str">
        <f>ABS(C1535-B1535)</f>
      </c>
    </row>
    <row r="1536">
      <c r="A1536" s="6">
        <v>1512</v>
      </c>
      <c r="B1536" s="6" t="str">
        <f>SMALL('Lineal Mixto'!$C$5:$C$2004,A1536)</f>
      </c>
      <c r="C1536" s="6" t="str">
        <f>A1536/COUNT('Lineal Mixto'!$C$5:$C$2004)</f>
      </c>
      <c r="D1536" s="6" t="str">
        <f>ABS(C1536-B1536)</f>
      </c>
    </row>
    <row r="1537">
      <c r="A1537" s="5">
        <v>1513</v>
      </c>
      <c r="B1537" s="5" t="str">
        <f>SMALL('Lineal Mixto'!$C$5:$C$2004,A1537)</f>
      </c>
      <c r="C1537" s="5" t="str">
        <f>A1537/COUNT('Lineal Mixto'!$C$5:$C$2004)</f>
      </c>
      <c r="D1537" s="5" t="str">
        <f>ABS(C1537-B1537)</f>
      </c>
    </row>
    <row r="1538">
      <c r="A1538" s="6">
        <v>1514</v>
      </c>
      <c r="B1538" s="6" t="str">
        <f>SMALL('Lineal Mixto'!$C$5:$C$2004,A1538)</f>
      </c>
      <c r="C1538" s="6" t="str">
        <f>A1538/COUNT('Lineal Mixto'!$C$5:$C$2004)</f>
      </c>
      <c r="D1538" s="6" t="str">
        <f>ABS(C1538-B1538)</f>
      </c>
    </row>
    <row r="1539">
      <c r="A1539" s="5">
        <v>1515</v>
      </c>
      <c r="B1539" s="5" t="str">
        <f>SMALL('Lineal Mixto'!$C$5:$C$2004,A1539)</f>
      </c>
      <c r="C1539" s="5" t="str">
        <f>A1539/COUNT('Lineal Mixto'!$C$5:$C$2004)</f>
      </c>
      <c r="D1539" s="5" t="str">
        <f>ABS(C1539-B1539)</f>
      </c>
    </row>
    <row r="1540">
      <c r="A1540" s="6">
        <v>1516</v>
      </c>
      <c r="B1540" s="6" t="str">
        <f>SMALL('Lineal Mixto'!$C$5:$C$2004,A1540)</f>
      </c>
      <c r="C1540" s="6" t="str">
        <f>A1540/COUNT('Lineal Mixto'!$C$5:$C$2004)</f>
      </c>
      <c r="D1540" s="6" t="str">
        <f>ABS(C1540-B1540)</f>
      </c>
    </row>
    <row r="1541">
      <c r="A1541" s="5">
        <v>1517</v>
      </c>
      <c r="B1541" s="5" t="str">
        <f>SMALL('Lineal Mixto'!$C$5:$C$2004,A1541)</f>
      </c>
      <c r="C1541" s="5" t="str">
        <f>A1541/COUNT('Lineal Mixto'!$C$5:$C$2004)</f>
      </c>
      <c r="D1541" s="5" t="str">
        <f>ABS(C1541-B1541)</f>
      </c>
    </row>
    <row r="1542">
      <c r="A1542" s="6">
        <v>1518</v>
      </c>
      <c r="B1542" s="6" t="str">
        <f>SMALL('Lineal Mixto'!$C$5:$C$2004,A1542)</f>
      </c>
      <c r="C1542" s="6" t="str">
        <f>A1542/COUNT('Lineal Mixto'!$C$5:$C$2004)</f>
      </c>
      <c r="D1542" s="6" t="str">
        <f>ABS(C1542-B1542)</f>
      </c>
    </row>
    <row r="1543">
      <c r="A1543" s="5">
        <v>1519</v>
      </c>
      <c r="B1543" s="5" t="str">
        <f>SMALL('Lineal Mixto'!$C$5:$C$2004,A1543)</f>
      </c>
      <c r="C1543" s="5" t="str">
        <f>A1543/COUNT('Lineal Mixto'!$C$5:$C$2004)</f>
      </c>
      <c r="D1543" s="5" t="str">
        <f>ABS(C1543-B1543)</f>
      </c>
    </row>
    <row r="1544">
      <c r="A1544" s="6">
        <v>1520</v>
      </c>
      <c r="B1544" s="6" t="str">
        <f>SMALL('Lineal Mixto'!$C$5:$C$2004,A1544)</f>
      </c>
      <c r="C1544" s="6" t="str">
        <f>A1544/COUNT('Lineal Mixto'!$C$5:$C$2004)</f>
      </c>
      <c r="D1544" s="6" t="str">
        <f>ABS(C1544-B1544)</f>
      </c>
    </row>
    <row r="1545">
      <c r="A1545" s="5">
        <v>1521</v>
      </c>
      <c r="B1545" s="5" t="str">
        <f>SMALL('Lineal Mixto'!$C$5:$C$2004,A1545)</f>
      </c>
      <c r="C1545" s="5" t="str">
        <f>A1545/COUNT('Lineal Mixto'!$C$5:$C$2004)</f>
      </c>
      <c r="D1545" s="5" t="str">
        <f>ABS(C1545-B1545)</f>
      </c>
    </row>
    <row r="1546">
      <c r="A1546" s="6">
        <v>1522</v>
      </c>
      <c r="B1546" s="6" t="str">
        <f>SMALL('Lineal Mixto'!$C$5:$C$2004,A1546)</f>
      </c>
      <c r="C1546" s="6" t="str">
        <f>A1546/COUNT('Lineal Mixto'!$C$5:$C$2004)</f>
      </c>
      <c r="D1546" s="6" t="str">
        <f>ABS(C1546-B1546)</f>
      </c>
    </row>
    <row r="1547">
      <c r="A1547" s="5">
        <v>1523</v>
      </c>
      <c r="B1547" s="5" t="str">
        <f>SMALL('Lineal Mixto'!$C$5:$C$2004,A1547)</f>
      </c>
      <c r="C1547" s="5" t="str">
        <f>A1547/COUNT('Lineal Mixto'!$C$5:$C$2004)</f>
      </c>
      <c r="D1547" s="5" t="str">
        <f>ABS(C1547-B1547)</f>
      </c>
    </row>
    <row r="1548">
      <c r="A1548" s="6">
        <v>1524</v>
      </c>
      <c r="B1548" s="6" t="str">
        <f>SMALL('Lineal Mixto'!$C$5:$C$2004,A1548)</f>
      </c>
      <c r="C1548" s="6" t="str">
        <f>A1548/COUNT('Lineal Mixto'!$C$5:$C$2004)</f>
      </c>
      <c r="D1548" s="6" t="str">
        <f>ABS(C1548-B1548)</f>
      </c>
    </row>
    <row r="1549">
      <c r="A1549" s="5">
        <v>1525</v>
      </c>
      <c r="B1549" s="5" t="str">
        <f>SMALL('Lineal Mixto'!$C$5:$C$2004,A1549)</f>
      </c>
      <c r="C1549" s="5" t="str">
        <f>A1549/COUNT('Lineal Mixto'!$C$5:$C$2004)</f>
      </c>
      <c r="D1549" s="5" t="str">
        <f>ABS(C1549-B1549)</f>
      </c>
    </row>
    <row r="1550">
      <c r="A1550" s="6">
        <v>1526</v>
      </c>
      <c r="B1550" s="6" t="str">
        <f>SMALL('Lineal Mixto'!$C$5:$C$2004,A1550)</f>
      </c>
      <c r="C1550" s="6" t="str">
        <f>A1550/COUNT('Lineal Mixto'!$C$5:$C$2004)</f>
      </c>
      <c r="D1550" s="6" t="str">
        <f>ABS(C1550-B1550)</f>
      </c>
    </row>
    <row r="1551">
      <c r="A1551" s="5">
        <v>1527</v>
      </c>
      <c r="B1551" s="5" t="str">
        <f>SMALL('Lineal Mixto'!$C$5:$C$2004,A1551)</f>
      </c>
      <c r="C1551" s="5" t="str">
        <f>A1551/COUNT('Lineal Mixto'!$C$5:$C$2004)</f>
      </c>
      <c r="D1551" s="5" t="str">
        <f>ABS(C1551-B1551)</f>
      </c>
    </row>
    <row r="1552">
      <c r="A1552" s="6">
        <v>1528</v>
      </c>
      <c r="B1552" s="6" t="str">
        <f>SMALL('Lineal Mixto'!$C$5:$C$2004,A1552)</f>
      </c>
      <c r="C1552" s="6" t="str">
        <f>A1552/COUNT('Lineal Mixto'!$C$5:$C$2004)</f>
      </c>
      <c r="D1552" s="6" t="str">
        <f>ABS(C1552-B1552)</f>
      </c>
    </row>
    <row r="1553">
      <c r="A1553" s="5">
        <v>1529</v>
      </c>
      <c r="B1553" s="5" t="str">
        <f>SMALL('Lineal Mixto'!$C$5:$C$2004,A1553)</f>
      </c>
      <c r="C1553" s="5" t="str">
        <f>A1553/COUNT('Lineal Mixto'!$C$5:$C$2004)</f>
      </c>
      <c r="D1553" s="5" t="str">
        <f>ABS(C1553-B1553)</f>
      </c>
    </row>
    <row r="1554">
      <c r="A1554" s="6">
        <v>1530</v>
      </c>
      <c r="B1554" s="6" t="str">
        <f>SMALL('Lineal Mixto'!$C$5:$C$2004,A1554)</f>
      </c>
      <c r="C1554" s="6" t="str">
        <f>A1554/COUNT('Lineal Mixto'!$C$5:$C$2004)</f>
      </c>
      <c r="D1554" s="6" t="str">
        <f>ABS(C1554-B1554)</f>
      </c>
    </row>
    <row r="1555">
      <c r="A1555" s="5">
        <v>1531</v>
      </c>
      <c r="B1555" s="5" t="str">
        <f>SMALL('Lineal Mixto'!$C$5:$C$2004,A1555)</f>
      </c>
      <c r="C1555" s="5" t="str">
        <f>A1555/COUNT('Lineal Mixto'!$C$5:$C$2004)</f>
      </c>
      <c r="D1555" s="5" t="str">
        <f>ABS(C1555-B1555)</f>
      </c>
    </row>
    <row r="1556">
      <c r="A1556" s="6">
        <v>1532</v>
      </c>
      <c r="B1556" s="6" t="str">
        <f>SMALL('Lineal Mixto'!$C$5:$C$2004,A1556)</f>
      </c>
      <c r="C1556" s="6" t="str">
        <f>A1556/COUNT('Lineal Mixto'!$C$5:$C$2004)</f>
      </c>
      <c r="D1556" s="6" t="str">
        <f>ABS(C1556-B1556)</f>
      </c>
    </row>
    <row r="1557">
      <c r="A1557" s="5">
        <v>1533</v>
      </c>
      <c r="B1557" s="5" t="str">
        <f>SMALL('Lineal Mixto'!$C$5:$C$2004,A1557)</f>
      </c>
      <c r="C1557" s="5" t="str">
        <f>A1557/COUNT('Lineal Mixto'!$C$5:$C$2004)</f>
      </c>
      <c r="D1557" s="5" t="str">
        <f>ABS(C1557-B1557)</f>
      </c>
    </row>
    <row r="1558">
      <c r="A1558" s="6">
        <v>1534</v>
      </c>
      <c r="B1558" s="6" t="str">
        <f>SMALL('Lineal Mixto'!$C$5:$C$2004,A1558)</f>
      </c>
      <c r="C1558" s="6" t="str">
        <f>A1558/COUNT('Lineal Mixto'!$C$5:$C$2004)</f>
      </c>
      <c r="D1558" s="6" t="str">
        <f>ABS(C1558-B1558)</f>
      </c>
    </row>
    <row r="1559">
      <c r="A1559" s="5">
        <v>1535</v>
      </c>
      <c r="B1559" s="5" t="str">
        <f>SMALL('Lineal Mixto'!$C$5:$C$2004,A1559)</f>
      </c>
      <c r="C1559" s="5" t="str">
        <f>A1559/COUNT('Lineal Mixto'!$C$5:$C$2004)</f>
      </c>
      <c r="D1559" s="5" t="str">
        <f>ABS(C1559-B1559)</f>
      </c>
    </row>
    <row r="1560">
      <c r="A1560" s="6">
        <v>1536</v>
      </c>
      <c r="B1560" s="6" t="str">
        <f>SMALL('Lineal Mixto'!$C$5:$C$2004,A1560)</f>
      </c>
      <c r="C1560" s="6" t="str">
        <f>A1560/COUNT('Lineal Mixto'!$C$5:$C$2004)</f>
      </c>
      <c r="D1560" s="6" t="str">
        <f>ABS(C1560-B1560)</f>
      </c>
    </row>
    <row r="1561">
      <c r="A1561" s="5">
        <v>1537</v>
      </c>
      <c r="B1561" s="5" t="str">
        <f>SMALL('Lineal Mixto'!$C$5:$C$2004,A1561)</f>
      </c>
      <c r="C1561" s="5" t="str">
        <f>A1561/COUNT('Lineal Mixto'!$C$5:$C$2004)</f>
      </c>
      <c r="D1561" s="5" t="str">
        <f>ABS(C1561-B1561)</f>
      </c>
    </row>
    <row r="1562">
      <c r="A1562" s="6">
        <v>1538</v>
      </c>
      <c r="B1562" s="6" t="str">
        <f>SMALL('Lineal Mixto'!$C$5:$C$2004,A1562)</f>
      </c>
      <c r="C1562" s="6" t="str">
        <f>A1562/COUNT('Lineal Mixto'!$C$5:$C$2004)</f>
      </c>
      <c r="D1562" s="6" t="str">
        <f>ABS(C1562-B1562)</f>
      </c>
    </row>
    <row r="1563">
      <c r="A1563" s="5">
        <v>1539</v>
      </c>
      <c r="B1563" s="5" t="str">
        <f>SMALL('Lineal Mixto'!$C$5:$C$2004,A1563)</f>
      </c>
      <c r="C1563" s="5" t="str">
        <f>A1563/COUNT('Lineal Mixto'!$C$5:$C$2004)</f>
      </c>
      <c r="D1563" s="5" t="str">
        <f>ABS(C1563-B1563)</f>
      </c>
    </row>
    <row r="1564">
      <c r="A1564" s="6">
        <v>1540</v>
      </c>
      <c r="B1564" s="6" t="str">
        <f>SMALL('Lineal Mixto'!$C$5:$C$2004,A1564)</f>
      </c>
      <c r="C1564" s="6" t="str">
        <f>A1564/COUNT('Lineal Mixto'!$C$5:$C$2004)</f>
      </c>
      <c r="D1564" s="6" t="str">
        <f>ABS(C1564-B1564)</f>
      </c>
    </row>
    <row r="1565">
      <c r="A1565" s="5">
        <v>1541</v>
      </c>
      <c r="B1565" s="5" t="str">
        <f>SMALL('Lineal Mixto'!$C$5:$C$2004,A1565)</f>
      </c>
      <c r="C1565" s="5" t="str">
        <f>A1565/COUNT('Lineal Mixto'!$C$5:$C$2004)</f>
      </c>
      <c r="D1565" s="5" t="str">
        <f>ABS(C1565-B1565)</f>
      </c>
    </row>
    <row r="1566">
      <c r="A1566" s="6">
        <v>1542</v>
      </c>
      <c r="B1566" s="6" t="str">
        <f>SMALL('Lineal Mixto'!$C$5:$C$2004,A1566)</f>
      </c>
      <c r="C1566" s="6" t="str">
        <f>A1566/COUNT('Lineal Mixto'!$C$5:$C$2004)</f>
      </c>
      <c r="D1566" s="6" t="str">
        <f>ABS(C1566-B1566)</f>
      </c>
    </row>
    <row r="1567">
      <c r="A1567" s="5">
        <v>1543</v>
      </c>
      <c r="B1567" s="5" t="str">
        <f>SMALL('Lineal Mixto'!$C$5:$C$2004,A1567)</f>
      </c>
      <c r="C1567" s="5" t="str">
        <f>A1567/COUNT('Lineal Mixto'!$C$5:$C$2004)</f>
      </c>
      <c r="D1567" s="5" t="str">
        <f>ABS(C1567-B1567)</f>
      </c>
    </row>
    <row r="1568">
      <c r="A1568" s="6">
        <v>1544</v>
      </c>
      <c r="B1568" s="6" t="str">
        <f>SMALL('Lineal Mixto'!$C$5:$C$2004,A1568)</f>
      </c>
      <c r="C1568" s="6" t="str">
        <f>A1568/COUNT('Lineal Mixto'!$C$5:$C$2004)</f>
      </c>
      <c r="D1568" s="6" t="str">
        <f>ABS(C1568-B1568)</f>
      </c>
    </row>
    <row r="1569">
      <c r="A1569" s="5">
        <v>1545</v>
      </c>
      <c r="B1569" s="5" t="str">
        <f>SMALL('Lineal Mixto'!$C$5:$C$2004,A1569)</f>
      </c>
      <c r="C1569" s="5" t="str">
        <f>A1569/COUNT('Lineal Mixto'!$C$5:$C$2004)</f>
      </c>
      <c r="D1569" s="5" t="str">
        <f>ABS(C1569-B1569)</f>
      </c>
    </row>
    <row r="1570">
      <c r="A1570" s="6">
        <v>1546</v>
      </c>
      <c r="B1570" s="6" t="str">
        <f>SMALL('Lineal Mixto'!$C$5:$C$2004,A1570)</f>
      </c>
      <c r="C1570" s="6" t="str">
        <f>A1570/COUNT('Lineal Mixto'!$C$5:$C$2004)</f>
      </c>
      <c r="D1570" s="6" t="str">
        <f>ABS(C1570-B1570)</f>
      </c>
    </row>
    <row r="1571">
      <c r="A1571" s="5">
        <v>1547</v>
      </c>
      <c r="B1571" s="5" t="str">
        <f>SMALL('Lineal Mixto'!$C$5:$C$2004,A1571)</f>
      </c>
      <c r="C1571" s="5" t="str">
        <f>A1571/COUNT('Lineal Mixto'!$C$5:$C$2004)</f>
      </c>
      <c r="D1571" s="5" t="str">
        <f>ABS(C1571-B1571)</f>
      </c>
    </row>
    <row r="1572">
      <c r="A1572" s="6">
        <v>1548</v>
      </c>
      <c r="B1572" s="6" t="str">
        <f>SMALL('Lineal Mixto'!$C$5:$C$2004,A1572)</f>
      </c>
      <c r="C1572" s="6" t="str">
        <f>A1572/COUNT('Lineal Mixto'!$C$5:$C$2004)</f>
      </c>
      <c r="D1572" s="6" t="str">
        <f>ABS(C1572-B1572)</f>
      </c>
    </row>
    <row r="1573">
      <c r="A1573" s="5">
        <v>1549</v>
      </c>
      <c r="B1573" s="5" t="str">
        <f>SMALL('Lineal Mixto'!$C$5:$C$2004,A1573)</f>
      </c>
      <c r="C1573" s="5" t="str">
        <f>A1573/COUNT('Lineal Mixto'!$C$5:$C$2004)</f>
      </c>
      <c r="D1573" s="5" t="str">
        <f>ABS(C1573-B1573)</f>
      </c>
    </row>
    <row r="1574">
      <c r="A1574" s="6">
        <v>1550</v>
      </c>
      <c r="B1574" s="6" t="str">
        <f>SMALL('Lineal Mixto'!$C$5:$C$2004,A1574)</f>
      </c>
      <c r="C1574" s="6" t="str">
        <f>A1574/COUNT('Lineal Mixto'!$C$5:$C$2004)</f>
      </c>
      <c r="D1574" s="6" t="str">
        <f>ABS(C1574-B1574)</f>
      </c>
    </row>
    <row r="1575">
      <c r="A1575" s="5">
        <v>1551</v>
      </c>
      <c r="B1575" s="5" t="str">
        <f>SMALL('Lineal Mixto'!$C$5:$C$2004,A1575)</f>
      </c>
      <c r="C1575" s="5" t="str">
        <f>A1575/COUNT('Lineal Mixto'!$C$5:$C$2004)</f>
      </c>
      <c r="D1575" s="5" t="str">
        <f>ABS(C1575-B1575)</f>
      </c>
    </row>
    <row r="1576">
      <c r="A1576" s="6">
        <v>1552</v>
      </c>
      <c r="B1576" s="6" t="str">
        <f>SMALL('Lineal Mixto'!$C$5:$C$2004,A1576)</f>
      </c>
      <c r="C1576" s="6" t="str">
        <f>A1576/COUNT('Lineal Mixto'!$C$5:$C$2004)</f>
      </c>
      <c r="D1576" s="6" t="str">
        <f>ABS(C1576-B1576)</f>
      </c>
    </row>
    <row r="1577">
      <c r="A1577" s="5">
        <v>1553</v>
      </c>
      <c r="B1577" s="5" t="str">
        <f>SMALL('Lineal Mixto'!$C$5:$C$2004,A1577)</f>
      </c>
      <c r="C1577" s="5" t="str">
        <f>A1577/COUNT('Lineal Mixto'!$C$5:$C$2004)</f>
      </c>
      <c r="D1577" s="5" t="str">
        <f>ABS(C1577-B1577)</f>
      </c>
    </row>
    <row r="1578">
      <c r="A1578" s="6">
        <v>1554</v>
      </c>
      <c r="B1578" s="6" t="str">
        <f>SMALL('Lineal Mixto'!$C$5:$C$2004,A1578)</f>
      </c>
      <c r="C1578" s="6" t="str">
        <f>A1578/COUNT('Lineal Mixto'!$C$5:$C$2004)</f>
      </c>
      <c r="D1578" s="6" t="str">
        <f>ABS(C1578-B1578)</f>
      </c>
    </row>
    <row r="1579">
      <c r="A1579" s="5">
        <v>1555</v>
      </c>
      <c r="B1579" s="5" t="str">
        <f>SMALL('Lineal Mixto'!$C$5:$C$2004,A1579)</f>
      </c>
      <c r="C1579" s="5" t="str">
        <f>A1579/COUNT('Lineal Mixto'!$C$5:$C$2004)</f>
      </c>
      <c r="D1579" s="5" t="str">
        <f>ABS(C1579-B1579)</f>
      </c>
    </row>
    <row r="1580">
      <c r="A1580" s="6">
        <v>1556</v>
      </c>
      <c r="B1580" s="6" t="str">
        <f>SMALL('Lineal Mixto'!$C$5:$C$2004,A1580)</f>
      </c>
      <c r="C1580" s="6" t="str">
        <f>A1580/COUNT('Lineal Mixto'!$C$5:$C$2004)</f>
      </c>
      <c r="D1580" s="6" t="str">
        <f>ABS(C1580-B1580)</f>
      </c>
    </row>
    <row r="1581">
      <c r="A1581" s="5">
        <v>1557</v>
      </c>
      <c r="B1581" s="5" t="str">
        <f>SMALL('Lineal Mixto'!$C$5:$C$2004,A1581)</f>
      </c>
      <c r="C1581" s="5" t="str">
        <f>A1581/COUNT('Lineal Mixto'!$C$5:$C$2004)</f>
      </c>
      <c r="D1581" s="5" t="str">
        <f>ABS(C1581-B1581)</f>
      </c>
    </row>
    <row r="1582">
      <c r="A1582" s="6">
        <v>1558</v>
      </c>
      <c r="B1582" s="6" t="str">
        <f>SMALL('Lineal Mixto'!$C$5:$C$2004,A1582)</f>
      </c>
      <c r="C1582" s="6" t="str">
        <f>A1582/COUNT('Lineal Mixto'!$C$5:$C$2004)</f>
      </c>
      <c r="D1582" s="6" t="str">
        <f>ABS(C1582-B1582)</f>
      </c>
    </row>
    <row r="1583">
      <c r="A1583" s="5">
        <v>1559</v>
      </c>
      <c r="B1583" s="5" t="str">
        <f>SMALL('Lineal Mixto'!$C$5:$C$2004,A1583)</f>
      </c>
      <c r="C1583" s="5" t="str">
        <f>A1583/COUNT('Lineal Mixto'!$C$5:$C$2004)</f>
      </c>
      <c r="D1583" s="5" t="str">
        <f>ABS(C1583-B1583)</f>
      </c>
    </row>
    <row r="1584">
      <c r="A1584" s="6">
        <v>1560</v>
      </c>
      <c r="B1584" s="6" t="str">
        <f>SMALL('Lineal Mixto'!$C$5:$C$2004,A1584)</f>
      </c>
      <c r="C1584" s="6" t="str">
        <f>A1584/COUNT('Lineal Mixto'!$C$5:$C$2004)</f>
      </c>
      <c r="D1584" s="6" t="str">
        <f>ABS(C1584-B1584)</f>
      </c>
    </row>
    <row r="1585">
      <c r="A1585" s="5">
        <v>1561</v>
      </c>
      <c r="B1585" s="5" t="str">
        <f>SMALL('Lineal Mixto'!$C$5:$C$2004,A1585)</f>
      </c>
      <c r="C1585" s="5" t="str">
        <f>A1585/COUNT('Lineal Mixto'!$C$5:$C$2004)</f>
      </c>
      <c r="D1585" s="5" t="str">
        <f>ABS(C1585-B1585)</f>
      </c>
    </row>
    <row r="1586">
      <c r="A1586" s="6">
        <v>1562</v>
      </c>
      <c r="B1586" s="6" t="str">
        <f>SMALL('Lineal Mixto'!$C$5:$C$2004,A1586)</f>
      </c>
      <c r="C1586" s="6" t="str">
        <f>A1586/COUNT('Lineal Mixto'!$C$5:$C$2004)</f>
      </c>
      <c r="D1586" s="6" t="str">
        <f>ABS(C1586-B1586)</f>
      </c>
    </row>
    <row r="1587">
      <c r="A1587" s="5">
        <v>1563</v>
      </c>
      <c r="B1587" s="5" t="str">
        <f>SMALL('Lineal Mixto'!$C$5:$C$2004,A1587)</f>
      </c>
      <c r="C1587" s="5" t="str">
        <f>A1587/COUNT('Lineal Mixto'!$C$5:$C$2004)</f>
      </c>
      <c r="D1587" s="5" t="str">
        <f>ABS(C1587-B1587)</f>
      </c>
    </row>
    <row r="1588">
      <c r="A1588" s="6">
        <v>1564</v>
      </c>
      <c r="B1588" s="6" t="str">
        <f>SMALL('Lineal Mixto'!$C$5:$C$2004,A1588)</f>
      </c>
      <c r="C1588" s="6" t="str">
        <f>A1588/COUNT('Lineal Mixto'!$C$5:$C$2004)</f>
      </c>
      <c r="D1588" s="6" t="str">
        <f>ABS(C1588-B1588)</f>
      </c>
    </row>
    <row r="1589">
      <c r="A1589" s="5">
        <v>1565</v>
      </c>
      <c r="B1589" s="5" t="str">
        <f>SMALL('Lineal Mixto'!$C$5:$C$2004,A1589)</f>
      </c>
      <c r="C1589" s="5" t="str">
        <f>A1589/COUNT('Lineal Mixto'!$C$5:$C$2004)</f>
      </c>
      <c r="D1589" s="5" t="str">
        <f>ABS(C1589-B1589)</f>
      </c>
    </row>
    <row r="1590">
      <c r="A1590" s="6">
        <v>1566</v>
      </c>
      <c r="B1590" s="6" t="str">
        <f>SMALL('Lineal Mixto'!$C$5:$C$2004,A1590)</f>
      </c>
      <c r="C1590" s="6" t="str">
        <f>A1590/COUNT('Lineal Mixto'!$C$5:$C$2004)</f>
      </c>
      <c r="D1590" s="6" t="str">
        <f>ABS(C1590-B1590)</f>
      </c>
    </row>
    <row r="1591">
      <c r="A1591" s="5">
        <v>1567</v>
      </c>
      <c r="B1591" s="5" t="str">
        <f>SMALL('Lineal Mixto'!$C$5:$C$2004,A1591)</f>
      </c>
      <c r="C1591" s="5" t="str">
        <f>A1591/COUNT('Lineal Mixto'!$C$5:$C$2004)</f>
      </c>
      <c r="D1591" s="5" t="str">
        <f>ABS(C1591-B1591)</f>
      </c>
    </row>
    <row r="1592">
      <c r="A1592" s="6">
        <v>1568</v>
      </c>
      <c r="B1592" s="6" t="str">
        <f>SMALL('Lineal Mixto'!$C$5:$C$2004,A1592)</f>
      </c>
      <c r="C1592" s="6" t="str">
        <f>A1592/COUNT('Lineal Mixto'!$C$5:$C$2004)</f>
      </c>
      <c r="D1592" s="6" t="str">
        <f>ABS(C1592-B1592)</f>
      </c>
    </row>
    <row r="1593">
      <c r="A1593" s="5">
        <v>1569</v>
      </c>
      <c r="B1593" s="5" t="str">
        <f>SMALL('Lineal Mixto'!$C$5:$C$2004,A1593)</f>
      </c>
      <c r="C1593" s="5" t="str">
        <f>A1593/COUNT('Lineal Mixto'!$C$5:$C$2004)</f>
      </c>
      <c r="D1593" s="5" t="str">
        <f>ABS(C1593-B1593)</f>
      </c>
    </row>
    <row r="1594">
      <c r="A1594" s="6">
        <v>1570</v>
      </c>
      <c r="B1594" s="6" t="str">
        <f>SMALL('Lineal Mixto'!$C$5:$C$2004,A1594)</f>
      </c>
      <c r="C1594" s="6" t="str">
        <f>A1594/COUNT('Lineal Mixto'!$C$5:$C$2004)</f>
      </c>
      <c r="D1594" s="6" t="str">
        <f>ABS(C1594-B1594)</f>
      </c>
    </row>
    <row r="1595">
      <c r="A1595" s="5">
        <v>1571</v>
      </c>
      <c r="B1595" s="5" t="str">
        <f>SMALL('Lineal Mixto'!$C$5:$C$2004,A1595)</f>
      </c>
      <c r="C1595" s="5" t="str">
        <f>A1595/COUNT('Lineal Mixto'!$C$5:$C$2004)</f>
      </c>
      <c r="D1595" s="5" t="str">
        <f>ABS(C1595-B1595)</f>
      </c>
    </row>
    <row r="1596">
      <c r="A1596" s="6">
        <v>1572</v>
      </c>
      <c r="B1596" s="6" t="str">
        <f>SMALL('Lineal Mixto'!$C$5:$C$2004,A1596)</f>
      </c>
      <c r="C1596" s="6" t="str">
        <f>A1596/COUNT('Lineal Mixto'!$C$5:$C$2004)</f>
      </c>
      <c r="D1596" s="6" t="str">
        <f>ABS(C1596-B1596)</f>
      </c>
    </row>
    <row r="1597">
      <c r="A1597" s="5">
        <v>1573</v>
      </c>
      <c r="B1597" s="5" t="str">
        <f>SMALL('Lineal Mixto'!$C$5:$C$2004,A1597)</f>
      </c>
      <c r="C1597" s="5" t="str">
        <f>A1597/COUNT('Lineal Mixto'!$C$5:$C$2004)</f>
      </c>
      <c r="D1597" s="5" t="str">
        <f>ABS(C1597-B1597)</f>
      </c>
    </row>
    <row r="1598">
      <c r="A1598" s="6">
        <v>1574</v>
      </c>
      <c r="B1598" s="6" t="str">
        <f>SMALL('Lineal Mixto'!$C$5:$C$2004,A1598)</f>
      </c>
      <c r="C1598" s="6" t="str">
        <f>A1598/COUNT('Lineal Mixto'!$C$5:$C$2004)</f>
      </c>
      <c r="D1598" s="6" t="str">
        <f>ABS(C1598-B1598)</f>
      </c>
    </row>
    <row r="1599">
      <c r="A1599" s="5">
        <v>1575</v>
      </c>
      <c r="B1599" s="5" t="str">
        <f>SMALL('Lineal Mixto'!$C$5:$C$2004,A1599)</f>
      </c>
      <c r="C1599" s="5" t="str">
        <f>A1599/COUNT('Lineal Mixto'!$C$5:$C$2004)</f>
      </c>
      <c r="D1599" s="5" t="str">
        <f>ABS(C1599-B1599)</f>
      </c>
    </row>
    <row r="1600">
      <c r="A1600" s="6">
        <v>1576</v>
      </c>
      <c r="B1600" s="6" t="str">
        <f>SMALL('Lineal Mixto'!$C$5:$C$2004,A1600)</f>
      </c>
      <c r="C1600" s="6" t="str">
        <f>A1600/COUNT('Lineal Mixto'!$C$5:$C$2004)</f>
      </c>
      <c r="D1600" s="6" t="str">
        <f>ABS(C1600-B1600)</f>
      </c>
    </row>
    <row r="1601">
      <c r="A1601" s="5">
        <v>1577</v>
      </c>
      <c r="B1601" s="5" t="str">
        <f>SMALL('Lineal Mixto'!$C$5:$C$2004,A1601)</f>
      </c>
      <c r="C1601" s="5" t="str">
        <f>A1601/COUNT('Lineal Mixto'!$C$5:$C$2004)</f>
      </c>
      <c r="D1601" s="5" t="str">
        <f>ABS(C1601-B1601)</f>
      </c>
    </row>
    <row r="1602">
      <c r="A1602" s="6">
        <v>1578</v>
      </c>
      <c r="B1602" s="6" t="str">
        <f>SMALL('Lineal Mixto'!$C$5:$C$2004,A1602)</f>
      </c>
      <c r="C1602" s="6" t="str">
        <f>A1602/COUNT('Lineal Mixto'!$C$5:$C$2004)</f>
      </c>
      <c r="D1602" s="6" t="str">
        <f>ABS(C1602-B1602)</f>
      </c>
    </row>
    <row r="1603">
      <c r="A1603" s="5">
        <v>1579</v>
      </c>
      <c r="B1603" s="5" t="str">
        <f>SMALL('Lineal Mixto'!$C$5:$C$2004,A1603)</f>
      </c>
      <c r="C1603" s="5" t="str">
        <f>A1603/COUNT('Lineal Mixto'!$C$5:$C$2004)</f>
      </c>
      <c r="D1603" s="5" t="str">
        <f>ABS(C1603-B1603)</f>
      </c>
    </row>
    <row r="1604">
      <c r="A1604" s="6">
        <v>1580</v>
      </c>
      <c r="B1604" s="6" t="str">
        <f>SMALL('Lineal Mixto'!$C$5:$C$2004,A1604)</f>
      </c>
      <c r="C1604" s="6" t="str">
        <f>A1604/COUNT('Lineal Mixto'!$C$5:$C$2004)</f>
      </c>
      <c r="D1604" s="6" t="str">
        <f>ABS(C1604-B1604)</f>
      </c>
    </row>
    <row r="1605">
      <c r="A1605" s="5">
        <v>1581</v>
      </c>
      <c r="B1605" s="5" t="str">
        <f>SMALL('Lineal Mixto'!$C$5:$C$2004,A1605)</f>
      </c>
      <c r="C1605" s="5" t="str">
        <f>A1605/COUNT('Lineal Mixto'!$C$5:$C$2004)</f>
      </c>
      <c r="D1605" s="5" t="str">
        <f>ABS(C1605-B1605)</f>
      </c>
    </row>
    <row r="1606">
      <c r="A1606" s="6">
        <v>1582</v>
      </c>
      <c r="B1606" s="6" t="str">
        <f>SMALL('Lineal Mixto'!$C$5:$C$2004,A1606)</f>
      </c>
      <c r="C1606" s="6" t="str">
        <f>A1606/COUNT('Lineal Mixto'!$C$5:$C$2004)</f>
      </c>
      <c r="D1606" s="6" t="str">
        <f>ABS(C1606-B1606)</f>
      </c>
    </row>
    <row r="1607">
      <c r="A1607" s="5">
        <v>1583</v>
      </c>
      <c r="B1607" s="5" t="str">
        <f>SMALL('Lineal Mixto'!$C$5:$C$2004,A1607)</f>
      </c>
      <c r="C1607" s="5" t="str">
        <f>A1607/COUNT('Lineal Mixto'!$C$5:$C$2004)</f>
      </c>
      <c r="D1607" s="5" t="str">
        <f>ABS(C1607-B1607)</f>
      </c>
    </row>
    <row r="1608">
      <c r="A1608" s="6">
        <v>1584</v>
      </c>
      <c r="B1608" s="6" t="str">
        <f>SMALL('Lineal Mixto'!$C$5:$C$2004,A1608)</f>
      </c>
      <c r="C1608" s="6" t="str">
        <f>A1608/COUNT('Lineal Mixto'!$C$5:$C$2004)</f>
      </c>
      <c r="D1608" s="6" t="str">
        <f>ABS(C1608-B1608)</f>
      </c>
    </row>
    <row r="1609">
      <c r="A1609" s="5">
        <v>1585</v>
      </c>
      <c r="B1609" s="5" t="str">
        <f>SMALL('Lineal Mixto'!$C$5:$C$2004,A1609)</f>
      </c>
      <c r="C1609" s="5" t="str">
        <f>A1609/COUNT('Lineal Mixto'!$C$5:$C$2004)</f>
      </c>
      <c r="D1609" s="5" t="str">
        <f>ABS(C1609-B1609)</f>
      </c>
    </row>
    <row r="1610">
      <c r="A1610" s="6">
        <v>1586</v>
      </c>
      <c r="B1610" s="6" t="str">
        <f>SMALL('Lineal Mixto'!$C$5:$C$2004,A1610)</f>
      </c>
      <c r="C1610" s="6" t="str">
        <f>A1610/COUNT('Lineal Mixto'!$C$5:$C$2004)</f>
      </c>
      <c r="D1610" s="6" t="str">
        <f>ABS(C1610-B1610)</f>
      </c>
    </row>
    <row r="1611">
      <c r="A1611" s="5">
        <v>1587</v>
      </c>
      <c r="B1611" s="5" t="str">
        <f>SMALL('Lineal Mixto'!$C$5:$C$2004,A1611)</f>
      </c>
      <c r="C1611" s="5" t="str">
        <f>A1611/COUNT('Lineal Mixto'!$C$5:$C$2004)</f>
      </c>
      <c r="D1611" s="5" t="str">
        <f>ABS(C1611-B1611)</f>
      </c>
    </row>
    <row r="1612">
      <c r="A1612" s="6">
        <v>1588</v>
      </c>
      <c r="B1612" s="6" t="str">
        <f>SMALL('Lineal Mixto'!$C$5:$C$2004,A1612)</f>
      </c>
      <c r="C1612" s="6" t="str">
        <f>A1612/COUNT('Lineal Mixto'!$C$5:$C$2004)</f>
      </c>
      <c r="D1612" s="6" t="str">
        <f>ABS(C1612-B1612)</f>
      </c>
    </row>
    <row r="1613">
      <c r="A1613" s="5">
        <v>1589</v>
      </c>
      <c r="B1613" s="5" t="str">
        <f>SMALL('Lineal Mixto'!$C$5:$C$2004,A1613)</f>
      </c>
      <c r="C1613" s="5" t="str">
        <f>A1613/COUNT('Lineal Mixto'!$C$5:$C$2004)</f>
      </c>
      <c r="D1613" s="5" t="str">
        <f>ABS(C1613-B1613)</f>
      </c>
    </row>
    <row r="1614">
      <c r="A1614" s="6">
        <v>1590</v>
      </c>
      <c r="B1614" s="6" t="str">
        <f>SMALL('Lineal Mixto'!$C$5:$C$2004,A1614)</f>
      </c>
      <c r="C1614" s="6" t="str">
        <f>A1614/COUNT('Lineal Mixto'!$C$5:$C$2004)</f>
      </c>
      <c r="D1614" s="6" t="str">
        <f>ABS(C1614-B1614)</f>
      </c>
    </row>
    <row r="1615">
      <c r="A1615" s="5">
        <v>1591</v>
      </c>
      <c r="B1615" s="5" t="str">
        <f>SMALL('Lineal Mixto'!$C$5:$C$2004,A1615)</f>
      </c>
      <c r="C1615" s="5" t="str">
        <f>A1615/COUNT('Lineal Mixto'!$C$5:$C$2004)</f>
      </c>
      <c r="D1615" s="5" t="str">
        <f>ABS(C1615-B1615)</f>
      </c>
    </row>
    <row r="1616">
      <c r="A1616" s="6">
        <v>1592</v>
      </c>
      <c r="B1616" s="6" t="str">
        <f>SMALL('Lineal Mixto'!$C$5:$C$2004,A1616)</f>
      </c>
      <c r="C1616" s="6" t="str">
        <f>A1616/COUNT('Lineal Mixto'!$C$5:$C$2004)</f>
      </c>
      <c r="D1616" s="6" t="str">
        <f>ABS(C1616-B1616)</f>
      </c>
    </row>
    <row r="1617">
      <c r="A1617" s="5">
        <v>1593</v>
      </c>
      <c r="B1617" s="5" t="str">
        <f>SMALL('Lineal Mixto'!$C$5:$C$2004,A1617)</f>
      </c>
      <c r="C1617" s="5" t="str">
        <f>A1617/COUNT('Lineal Mixto'!$C$5:$C$2004)</f>
      </c>
      <c r="D1617" s="5" t="str">
        <f>ABS(C1617-B1617)</f>
      </c>
    </row>
    <row r="1618">
      <c r="A1618" s="6">
        <v>1594</v>
      </c>
      <c r="B1618" s="6" t="str">
        <f>SMALL('Lineal Mixto'!$C$5:$C$2004,A1618)</f>
      </c>
      <c r="C1618" s="6" t="str">
        <f>A1618/COUNT('Lineal Mixto'!$C$5:$C$2004)</f>
      </c>
      <c r="D1618" s="6" t="str">
        <f>ABS(C1618-B1618)</f>
      </c>
    </row>
    <row r="1619">
      <c r="A1619" s="5">
        <v>1595</v>
      </c>
      <c r="B1619" s="5" t="str">
        <f>SMALL('Lineal Mixto'!$C$5:$C$2004,A1619)</f>
      </c>
      <c r="C1619" s="5" t="str">
        <f>A1619/COUNT('Lineal Mixto'!$C$5:$C$2004)</f>
      </c>
      <c r="D1619" s="5" t="str">
        <f>ABS(C1619-B1619)</f>
      </c>
    </row>
    <row r="1620">
      <c r="A1620" s="6">
        <v>1596</v>
      </c>
      <c r="B1620" s="6" t="str">
        <f>SMALL('Lineal Mixto'!$C$5:$C$2004,A1620)</f>
      </c>
      <c r="C1620" s="6" t="str">
        <f>A1620/COUNT('Lineal Mixto'!$C$5:$C$2004)</f>
      </c>
      <c r="D1620" s="6" t="str">
        <f>ABS(C1620-B1620)</f>
      </c>
    </row>
    <row r="1621">
      <c r="A1621" s="5">
        <v>1597</v>
      </c>
      <c r="B1621" s="5" t="str">
        <f>SMALL('Lineal Mixto'!$C$5:$C$2004,A1621)</f>
      </c>
      <c r="C1621" s="5" t="str">
        <f>A1621/COUNT('Lineal Mixto'!$C$5:$C$2004)</f>
      </c>
      <c r="D1621" s="5" t="str">
        <f>ABS(C1621-B1621)</f>
      </c>
    </row>
    <row r="1622">
      <c r="A1622" s="6">
        <v>1598</v>
      </c>
      <c r="B1622" s="6" t="str">
        <f>SMALL('Lineal Mixto'!$C$5:$C$2004,A1622)</f>
      </c>
      <c r="C1622" s="6" t="str">
        <f>A1622/COUNT('Lineal Mixto'!$C$5:$C$2004)</f>
      </c>
      <c r="D1622" s="6" t="str">
        <f>ABS(C1622-B1622)</f>
      </c>
    </row>
    <row r="1623">
      <c r="A1623" s="5">
        <v>1599</v>
      </c>
      <c r="B1623" s="5" t="str">
        <f>SMALL('Lineal Mixto'!$C$5:$C$2004,A1623)</f>
      </c>
      <c r="C1623" s="5" t="str">
        <f>A1623/COUNT('Lineal Mixto'!$C$5:$C$2004)</f>
      </c>
      <c r="D1623" s="5" t="str">
        <f>ABS(C1623-B1623)</f>
      </c>
    </row>
    <row r="1624">
      <c r="A1624" s="6">
        <v>1600</v>
      </c>
      <c r="B1624" s="6" t="str">
        <f>SMALL('Lineal Mixto'!$C$5:$C$2004,A1624)</f>
      </c>
      <c r="C1624" s="6" t="str">
        <f>A1624/COUNT('Lineal Mixto'!$C$5:$C$2004)</f>
      </c>
      <c r="D1624" s="6" t="str">
        <f>ABS(C1624-B1624)</f>
      </c>
    </row>
    <row r="1625">
      <c r="A1625" s="5">
        <v>1601</v>
      </c>
      <c r="B1625" s="5" t="str">
        <f>SMALL('Lineal Mixto'!$C$5:$C$2004,A1625)</f>
      </c>
      <c r="C1625" s="5" t="str">
        <f>A1625/COUNT('Lineal Mixto'!$C$5:$C$2004)</f>
      </c>
      <c r="D1625" s="5" t="str">
        <f>ABS(C1625-B1625)</f>
      </c>
    </row>
    <row r="1626">
      <c r="A1626" s="6">
        <v>1602</v>
      </c>
      <c r="B1626" s="6" t="str">
        <f>SMALL('Lineal Mixto'!$C$5:$C$2004,A1626)</f>
      </c>
      <c r="C1626" s="6" t="str">
        <f>A1626/COUNT('Lineal Mixto'!$C$5:$C$2004)</f>
      </c>
      <c r="D1626" s="6" t="str">
        <f>ABS(C1626-B1626)</f>
      </c>
    </row>
    <row r="1627">
      <c r="A1627" s="5">
        <v>1603</v>
      </c>
      <c r="B1627" s="5" t="str">
        <f>SMALL('Lineal Mixto'!$C$5:$C$2004,A1627)</f>
      </c>
      <c r="C1627" s="5" t="str">
        <f>A1627/COUNT('Lineal Mixto'!$C$5:$C$2004)</f>
      </c>
      <c r="D1627" s="5" t="str">
        <f>ABS(C1627-B1627)</f>
      </c>
    </row>
    <row r="1628">
      <c r="A1628" s="6">
        <v>1604</v>
      </c>
      <c r="B1628" s="6" t="str">
        <f>SMALL('Lineal Mixto'!$C$5:$C$2004,A1628)</f>
      </c>
      <c r="C1628" s="6" t="str">
        <f>A1628/COUNT('Lineal Mixto'!$C$5:$C$2004)</f>
      </c>
      <c r="D1628" s="6" t="str">
        <f>ABS(C1628-B1628)</f>
      </c>
    </row>
    <row r="1629">
      <c r="A1629" s="5">
        <v>1605</v>
      </c>
      <c r="B1629" s="5" t="str">
        <f>SMALL('Lineal Mixto'!$C$5:$C$2004,A1629)</f>
      </c>
      <c r="C1629" s="5" t="str">
        <f>A1629/COUNT('Lineal Mixto'!$C$5:$C$2004)</f>
      </c>
      <c r="D1629" s="5" t="str">
        <f>ABS(C1629-B1629)</f>
      </c>
    </row>
    <row r="1630">
      <c r="A1630" s="6">
        <v>1606</v>
      </c>
      <c r="B1630" s="6" t="str">
        <f>SMALL('Lineal Mixto'!$C$5:$C$2004,A1630)</f>
      </c>
      <c r="C1630" s="6" t="str">
        <f>A1630/COUNT('Lineal Mixto'!$C$5:$C$2004)</f>
      </c>
      <c r="D1630" s="6" t="str">
        <f>ABS(C1630-B1630)</f>
      </c>
    </row>
    <row r="1631">
      <c r="A1631" s="5">
        <v>1607</v>
      </c>
      <c r="B1631" s="5" t="str">
        <f>SMALL('Lineal Mixto'!$C$5:$C$2004,A1631)</f>
      </c>
      <c r="C1631" s="5" t="str">
        <f>A1631/COUNT('Lineal Mixto'!$C$5:$C$2004)</f>
      </c>
      <c r="D1631" s="5" t="str">
        <f>ABS(C1631-B1631)</f>
      </c>
    </row>
    <row r="1632">
      <c r="A1632" s="6">
        <v>1608</v>
      </c>
      <c r="B1632" s="6" t="str">
        <f>SMALL('Lineal Mixto'!$C$5:$C$2004,A1632)</f>
      </c>
      <c r="C1632" s="6" t="str">
        <f>A1632/COUNT('Lineal Mixto'!$C$5:$C$2004)</f>
      </c>
      <c r="D1632" s="6" t="str">
        <f>ABS(C1632-B1632)</f>
      </c>
    </row>
    <row r="1633">
      <c r="A1633" s="5">
        <v>1609</v>
      </c>
      <c r="B1633" s="5" t="str">
        <f>SMALL('Lineal Mixto'!$C$5:$C$2004,A1633)</f>
      </c>
      <c r="C1633" s="5" t="str">
        <f>A1633/COUNT('Lineal Mixto'!$C$5:$C$2004)</f>
      </c>
      <c r="D1633" s="5" t="str">
        <f>ABS(C1633-B1633)</f>
      </c>
    </row>
    <row r="1634">
      <c r="A1634" s="6">
        <v>1610</v>
      </c>
      <c r="B1634" s="6" t="str">
        <f>SMALL('Lineal Mixto'!$C$5:$C$2004,A1634)</f>
      </c>
      <c r="C1634" s="6" t="str">
        <f>A1634/COUNT('Lineal Mixto'!$C$5:$C$2004)</f>
      </c>
      <c r="D1634" s="6" t="str">
        <f>ABS(C1634-B1634)</f>
      </c>
    </row>
    <row r="1635">
      <c r="A1635" s="5">
        <v>1611</v>
      </c>
      <c r="B1635" s="5" t="str">
        <f>SMALL('Lineal Mixto'!$C$5:$C$2004,A1635)</f>
      </c>
      <c r="C1635" s="5" t="str">
        <f>A1635/COUNT('Lineal Mixto'!$C$5:$C$2004)</f>
      </c>
      <c r="D1635" s="5" t="str">
        <f>ABS(C1635-B1635)</f>
      </c>
    </row>
    <row r="1636">
      <c r="A1636" s="6">
        <v>1612</v>
      </c>
      <c r="B1636" s="6" t="str">
        <f>SMALL('Lineal Mixto'!$C$5:$C$2004,A1636)</f>
      </c>
      <c r="C1636" s="6" t="str">
        <f>A1636/COUNT('Lineal Mixto'!$C$5:$C$2004)</f>
      </c>
      <c r="D1636" s="6" t="str">
        <f>ABS(C1636-B1636)</f>
      </c>
    </row>
    <row r="1637">
      <c r="A1637" s="5">
        <v>1613</v>
      </c>
      <c r="B1637" s="5" t="str">
        <f>SMALL('Lineal Mixto'!$C$5:$C$2004,A1637)</f>
      </c>
      <c r="C1637" s="5" t="str">
        <f>A1637/COUNT('Lineal Mixto'!$C$5:$C$2004)</f>
      </c>
      <c r="D1637" s="5" t="str">
        <f>ABS(C1637-B1637)</f>
      </c>
    </row>
    <row r="1638">
      <c r="A1638" s="6">
        <v>1614</v>
      </c>
      <c r="B1638" s="6" t="str">
        <f>SMALL('Lineal Mixto'!$C$5:$C$2004,A1638)</f>
      </c>
      <c r="C1638" s="6" t="str">
        <f>A1638/COUNT('Lineal Mixto'!$C$5:$C$2004)</f>
      </c>
      <c r="D1638" s="6" t="str">
        <f>ABS(C1638-B1638)</f>
      </c>
    </row>
    <row r="1639">
      <c r="A1639" s="5">
        <v>1615</v>
      </c>
      <c r="B1639" s="5" t="str">
        <f>SMALL('Lineal Mixto'!$C$5:$C$2004,A1639)</f>
      </c>
      <c r="C1639" s="5" t="str">
        <f>A1639/COUNT('Lineal Mixto'!$C$5:$C$2004)</f>
      </c>
      <c r="D1639" s="5" t="str">
        <f>ABS(C1639-B1639)</f>
      </c>
    </row>
    <row r="1640">
      <c r="A1640" s="6">
        <v>1616</v>
      </c>
      <c r="B1640" s="6" t="str">
        <f>SMALL('Lineal Mixto'!$C$5:$C$2004,A1640)</f>
      </c>
      <c r="C1640" s="6" t="str">
        <f>A1640/COUNT('Lineal Mixto'!$C$5:$C$2004)</f>
      </c>
      <c r="D1640" s="6" t="str">
        <f>ABS(C1640-B1640)</f>
      </c>
    </row>
    <row r="1641">
      <c r="A1641" s="5">
        <v>1617</v>
      </c>
      <c r="B1641" s="5" t="str">
        <f>SMALL('Lineal Mixto'!$C$5:$C$2004,A1641)</f>
      </c>
      <c r="C1641" s="5" t="str">
        <f>A1641/COUNT('Lineal Mixto'!$C$5:$C$2004)</f>
      </c>
      <c r="D1641" s="5" t="str">
        <f>ABS(C1641-B1641)</f>
      </c>
    </row>
    <row r="1642">
      <c r="A1642" s="6">
        <v>1618</v>
      </c>
      <c r="B1642" s="6" t="str">
        <f>SMALL('Lineal Mixto'!$C$5:$C$2004,A1642)</f>
      </c>
      <c r="C1642" s="6" t="str">
        <f>A1642/COUNT('Lineal Mixto'!$C$5:$C$2004)</f>
      </c>
      <c r="D1642" s="6" t="str">
        <f>ABS(C1642-B1642)</f>
      </c>
    </row>
    <row r="1643">
      <c r="A1643" s="5">
        <v>1619</v>
      </c>
      <c r="B1643" s="5" t="str">
        <f>SMALL('Lineal Mixto'!$C$5:$C$2004,A1643)</f>
      </c>
      <c r="C1643" s="5" t="str">
        <f>A1643/COUNT('Lineal Mixto'!$C$5:$C$2004)</f>
      </c>
      <c r="D1643" s="5" t="str">
        <f>ABS(C1643-B1643)</f>
      </c>
    </row>
    <row r="1644">
      <c r="A1644" s="6">
        <v>1620</v>
      </c>
      <c r="B1644" s="6" t="str">
        <f>SMALL('Lineal Mixto'!$C$5:$C$2004,A1644)</f>
      </c>
      <c r="C1644" s="6" t="str">
        <f>A1644/COUNT('Lineal Mixto'!$C$5:$C$2004)</f>
      </c>
      <c r="D1644" s="6" t="str">
        <f>ABS(C1644-B1644)</f>
      </c>
    </row>
    <row r="1645">
      <c r="A1645" s="5">
        <v>1621</v>
      </c>
      <c r="B1645" s="5" t="str">
        <f>SMALL('Lineal Mixto'!$C$5:$C$2004,A1645)</f>
      </c>
      <c r="C1645" s="5" t="str">
        <f>A1645/COUNT('Lineal Mixto'!$C$5:$C$2004)</f>
      </c>
      <c r="D1645" s="5" t="str">
        <f>ABS(C1645-B1645)</f>
      </c>
    </row>
    <row r="1646">
      <c r="A1646" s="6">
        <v>1622</v>
      </c>
      <c r="B1646" s="6" t="str">
        <f>SMALL('Lineal Mixto'!$C$5:$C$2004,A1646)</f>
      </c>
      <c r="C1646" s="6" t="str">
        <f>A1646/COUNT('Lineal Mixto'!$C$5:$C$2004)</f>
      </c>
      <c r="D1646" s="6" t="str">
        <f>ABS(C1646-B1646)</f>
      </c>
    </row>
    <row r="1647">
      <c r="A1647" s="5">
        <v>1623</v>
      </c>
      <c r="B1647" s="5" t="str">
        <f>SMALL('Lineal Mixto'!$C$5:$C$2004,A1647)</f>
      </c>
      <c r="C1647" s="5" t="str">
        <f>A1647/COUNT('Lineal Mixto'!$C$5:$C$2004)</f>
      </c>
      <c r="D1647" s="5" t="str">
        <f>ABS(C1647-B1647)</f>
      </c>
    </row>
    <row r="1648">
      <c r="A1648" s="6">
        <v>1624</v>
      </c>
      <c r="B1648" s="6" t="str">
        <f>SMALL('Lineal Mixto'!$C$5:$C$2004,A1648)</f>
      </c>
      <c r="C1648" s="6" t="str">
        <f>A1648/COUNT('Lineal Mixto'!$C$5:$C$2004)</f>
      </c>
      <c r="D1648" s="6" t="str">
        <f>ABS(C1648-B1648)</f>
      </c>
    </row>
    <row r="1649">
      <c r="A1649" s="5">
        <v>1625</v>
      </c>
      <c r="B1649" s="5" t="str">
        <f>SMALL('Lineal Mixto'!$C$5:$C$2004,A1649)</f>
      </c>
      <c r="C1649" s="5" t="str">
        <f>A1649/COUNT('Lineal Mixto'!$C$5:$C$2004)</f>
      </c>
      <c r="D1649" s="5" t="str">
        <f>ABS(C1649-B1649)</f>
      </c>
    </row>
    <row r="1650">
      <c r="A1650" s="6">
        <v>1626</v>
      </c>
      <c r="B1650" s="6" t="str">
        <f>SMALL('Lineal Mixto'!$C$5:$C$2004,A1650)</f>
      </c>
      <c r="C1650" s="6" t="str">
        <f>A1650/COUNT('Lineal Mixto'!$C$5:$C$2004)</f>
      </c>
      <c r="D1650" s="6" t="str">
        <f>ABS(C1650-B1650)</f>
      </c>
    </row>
    <row r="1651">
      <c r="A1651" s="5">
        <v>1627</v>
      </c>
      <c r="B1651" s="5" t="str">
        <f>SMALL('Lineal Mixto'!$C$5:$C$2004,A1651)</f>
      </c>
      <c r="C1651" s="5" t="str">
        <f>A1651/COUNT('Lineal Mixto'!$C$5:$C$2004)</f>
      </c>
      <c r="D1651" s="5" t="str">
        <f>ABS(C1651-B1651)</f>
      </c>
    </row>
    <row r="1652">
      <c r="A1652" s="6">
        <v>1628</v>
      </c>
      <c r="B1652" s="6" t="str">
        <f>SMALL('Lineal Mixto'!$C$5:$C$2004,A1652)</f>
      </c>
      <c r="C1652" s="6" t="str">
        <f>A1652/COUNT('Lineal Mixto'!$C$5:$C$2004)</f>
      </c>
      <c r="D1652" s="6" t="str">
        <f>ABS(C1652-B1652)</f>
      </c>
    </row>
    <row r="1653">
      <c r="A1653" s="5">
        <v>1629</v>
      </c>
      <c r="B1653" s="5" t="str">
        <f>SMALL('Lineal Mixto'!$C$5:$C$2004,A1653)</f>
      </c>
      <c r="C1653" s="5" t="str">
        <f>A1653/COUNT('Lineal Mixto'!$C$5:$C$2004)</f>
      </c>
      <c r="D1653" s="5" t="str">
        <f>ABS(C1653-B1653)</f>
      </c>
    </row>
    <row r="1654">
      <c r="A1654" s="6">
        <v>1630</v>
      </c>
      <c r="B1654" s="6" t="str">
        <f>SMALL('Lineal Mixto'!$C$5:$C$2004,A1654)</f>
      </c>
      <c r="C1654" s="6" t="str">
        <f>A1654/COUNT('Lineal Mixto'!$C$5:$C$2004)</f>
      </c>
      <c r="D1654" s="6" t="str">
        <f>ABS(C1654-B1654)</f>
      </c>
    </row>
    <row r="1655">
      <c r="A1655" s="5">
        <v>1631</v>
      </c>
      <c r="B1655" s="5" t="str">
        <f>SMALL('Lineal Mixto'!$C$5:$C$2004,A1655)</f>
      </c>
      <c r="C1655" s="5" t="str">
        <f>A1655/COUNT('Lineal Mixto'!$C$5:$C$2004)</f>
      </c>
      <c r="D1655" s="5" t="str">
        <f>ABS(C1655-B1655)</f>
      </c>
    </row>
    <row r="1656">
      <c r="A1656" s="6">
        <v>1632</v>
      </c>
      <c r="B1656" s="6" t="str">
        <f>SMALL('Lineal Mixto'!$C$5:$C$2004,A1656)</f>
      </c>
      <c r="C1656" s="6" t="str">
        <f>A1656/COUNT('Lineal Mixto'!$C$5:$C$2004)</f>
      </c>
      <c r="D1656" s="6" t="str">
        <f>ABS(C1656-B1656)</f>
      </c>
    </row>
    <row r="1657">
      <c r="A1657" s="5">
        <v>1633</v>
      </c>
      <c r="B1657" s="5" t="str">
        <f>SMALL('Lineal Mixto'!$C$5:$C$2004,A1657)</f>
      </c>
      <c r="C1657" s="5" t="str">
        <f>A1657/COUNT('Lineal Mixto'!$C$5:$C$2004)</f>
      </c>
      <c r="D1657" s="5" t="str">
        <f>ABS(C1657-B1657)</f>
      </c>
    </row>
    <row r="1658">
      <c r="A1658" s="6">
        <v>1634</v>
      </c>
      <c r="B1658" s="6" t="str">
        <f>SMALL('Lineal Mixto'!$C$5:$C$2004,A1658)</f>
      </c>
      <c r="C1658" s="6" t="str">
        <f>A1658/COUNT('Lineal Mixto'!$C$5:$C$2004)</f>
      </c>
      <c r="D1658" s="6" t="str">
        <f>ABS(C1658-B1658)</f>
      </c>
    </row>
    <row r="1659">
      <c r="A1659" s="5">
        <v>1635</v>
      </c>
      <c r="B1659" s="5" t="str">
        <f>SMALL('Lineal Mixto'!$C$5:$C$2004,A1659)</f>
      </c>
      <c r="C1659" s="5" t="str">
        <f>A1659/COUNT('Lineal Mixto'!$C$5:$C$2004)</f>
      </c>
      <c r="D1659" s="5" t="str">
        <f>ABS(C1659-B1659)</f>
      </c>
    </row>
    <row r="1660">
      <c r="A1660" s="6">
        <v>1636</v>
      </c>
      <c r="B1660" s="6" t="str">
        <f>SMALL('Lineal Mixto'!$C$5:$C$2004,A1660)</f>
      </c>
      <c r="C1660" s="6" t="str">
        <f>A1660/COUNT('Lineal Mixto'!$C$5:$C$2004)</f>
      </c>
      <c r="D1660" s="6" t="str">
        <f>ABS(C1660-B1660)</f>
      </c>
    </row>
    <row r="1661">
      <c r="A1661" s="5">
        <v>1637</v>
      </c>
      <c r="B1661" s="5" t="str">
        <f>SMALL('Lineal Mixto'!$C$5:$C$2004,A1661)</f>
      </c>
      <c r="C1661" s="5" t="str">
        <f>A1661/COUNT('Lineal Mixto'!$C$5:$C$2004)</f>
      </c>
      <c r="D1661" s="5" t="str">
        <f>ABS(C1661-B1661)</f>
      </c>
    </row>
    <row r="1662">
      <c r="A1662" s="6">
        <v>1638</v>
      </c>
      <c r="B1662" s="6" t="str">
        <f>SMALL('Lineal Mixto'!$C$5:$C$2004,A1662)</f>
      </c>
      <c r="C1662" s="6" t="str">
        <f>A1662/COUNT('Lineal Mixto'!$C$5:$C$2004)</f>
      </c>
      <c r="D1662" s="6" t="str">
        <f>ABS(C1662-B1662)</f>
      </c>
    </row>
    <row r="1663">
      <c r="A1663" s="5">
        <v>1639</v>
      </c>
      <c r="B1663" s="5" t="str">
        <f>SMALL('Lineal Mixto'!$C$5:$C$2004,A1663)</f>
      </c>
      <c r="C1663" s="5" t="str">
        <f>A1663/COUNT('Lineal Mixto'!$C$5:$C$2004)</f>
      </c>
      <c r="D1663" s="5" t="str">
        <f>ABS(C1663-B1663)</f>
      </c>
    </row>
    <row r="1664">
      <c r="A1664" s="6">
        <v>1640</v>
      </c>
      <c r="B1664" s="6" t="str">
        <f>SMALL('Lineal Mixto'!$C$5:$C$2004,A1664)</f>
      </c>
      <c r="C1664" s="6" t="str">
        <f>A1664/COUNT('Lineal Mixto'!$C$5:$C$2004)</f>
      </c>
      <c r="D1664" s="6" t="str">
        <f>ABS(C1664-B1664)</f>
      </c>
    </row>
    <row r="1665">
      <c r="A1665" s="5">
        <v>1641</v>
      </c>
      <c r="B1665" s="5" t="str">
        <f>SMALL('Lineal Mixto'!$C$5:$C$2004,A1665)</f>
      </c>
      <c r="C1665" s="5" t="str">
        <f>A1665/COUNT('Lineal Mixto'!$C$5:$C$2004)</f>
      </c>
      <c r="D1665" s="5" t="str">
        <f>ABS(C1665-B1665)</f>
      </c>
    </row>
    <row r="1666">
      <c r="A1666" s="6">
        <v>1642</v>
      </c>
      <c r="B1666" s="6" t="str">
        <f>SMALL('Lineal Mixto'!$C$5:$C$2004,A1666)</f>
      </c>
      <c r="C1666" s="6" t="str">
        <f>A1666/COUNT('Lineal Mixto'!$C$5:$C$2004)</f>
      </c>
      <c r="D1666" s="6" t="str">
        <f>ABS(C1666-B1666)</f>
      </c>
    </row>
    <row r="1667">
      <c r="A1667" s="5">
        <v>1643</v>
      </c>
      <c r="B1667" s="5" t="str">
        <f>SMALL('Lineal Mixto'!$C$5:$C$2004,A1667)</f>
      </c>
      <c r="C1667" s="5" t="str">
        <f>A1667/COUNT('Lineal Mixto'!$C$5:$C$2004)</f>
      </c>
      <c r="D1667" s="5" t="str">
        <f>ABS(C1667-B1667)</f>
      </c>
    </row>
    <row r="1668">
      <c r="A1668" s="6">
        <v>1644</v>
      </c>
      <c r="B1668" s="6" t="str">
        <f>SMALL('Lineal Mixto'!$C$5:$C$2004,A1668)</f>
      </c>
      <c r="C1668" s="6" t="str">
        <f>A1668/COUNT('Lineal Mixto'!$C$5:$C$2004)</f>
      </c>
      <c r="D1668" s="6" t="str">
        <f>ABS(C1668-B1668)</f>
      </c>
    </row>
    <row r="1669">
      <c r="A1669" s="5">
        <v>1645</v>
      </c>
      <c r="B1669" s="5" t="str">
        <f>SMALL('Lineal Mixto'!$C$5:$C$2004,A1669)</f>
      </c>
      <c r="C1669" s="5" t="str">
        <f>A1669/COUNT('Lineal Mixto'!$C$5:$C$2004)</f>
      </c>
      <c r="D1669" s="5" t="str">
        <f>ABS(C1669-B1669)</f>
      </c>
    </row>
    <row r="1670">
      <c r="A1670" s="6">
        <v>1646</v>
      </c>
      <c r="B1670" s="6" t="str">
        <f>SMALL('Lineal Mixto'!$C$5:$C$2004,A1670)</f>
      </c>
      <c r="C1670" s="6" t="str">
        <f>A1670/COUNT('Lineal Mixto'!$C$5:$C$2004)</f>
      </c>
      <c r="D1670" s="6" t="str">
        <f>ABS(C1670-B1670)</f>
      </c>
    </row>
    <row r="1671">
      <c r="A1671" s="5">
        <v>1647</v>
      </c>
      <c r="B1671" s="5" t="str">
        <f>SMALL('Lineal Mixto'!$C$5:$C$2004,A1671)</f>
      </c>
      <c r="C1671" s="5" t="str">
        <f>A1671/COUNT('Lineal Mixto'!$C$5:$C$2004)</f>
      </c>
      <c r="D1671" s="5" t="str">
        <f>ABS(C1671-B1671)</f>
      </c>
    </row>
    <row r="1672">
      <c r="A1672" s="6">
        <v>1648</v>
      </c>
      <c r="B1672" s="6" t="str">
        <f>SMALL('Lineal Mixto'!$C$5:$C$2004,A1672)</f>
      </c>
      <c r="C1672" s="6" t="str">
        <f>A1672/COUNT('Lineal Mixto'!$C$5:$C$2004)</f>
      </c>
      <c r="D1672" s="6" t="str">
        <f>ABS(C1672-B1672)</f>
      </c>
    </row>
    <row r="1673">
      <c r="A1673" s="5">
        <v>1649</v>
      </c>
      <c r="B1673" s="5" t="str">
        <f>SMALL('Lineal Mixto'!$C$5:$C$2004,A1673)</f>
      </c>
      <c r="C1673" s="5" t="str">
        <f>A1673/COUNT('Lineal Mixto'!$C$5:$C$2004)</f>
      </c>
      <c r="D1673" s="5" t="str">
        <f>ABS(C1673-B1673)</f>
      </c>
    </row>
    <row r="1674">
      <c r="A1674" s="6">
        <v>1650</v>
      </c>
      <c r="B1674" s="6" t="str">
        <f>SMALL('Lineal Mixto'!$C$5:$C$2004,A1674)</f>
      </c>
      <c r="C1674" s="6" t="str">
        <f>A1674/COUNT('Lineal Mixto'!$C$5:$C$2004)</f>
      </c>
      <c r="D1674" s="6" t="str">
        <f>ABS(C1674-B1674)</f>
      </c>
    </row>
    <row r="1675">
      <c r="A1675" s="5">
        <v>1651</v>
      </c>
      <c r="B1675" s="5" t="str">
        <f>SMALL('Lineal Mixto'!$C$5:$C$2004,A1675)</f>
      </c>
      <c r="C1675" s="5" t="str">
        <f>A1675/COUNT('Lineal Mixto'!$C$5:$C$2004)</f>
      </c>
      <c r="D1675" s="5" t="str">
        <f>ABS(C1675-B1675)</f>
      </c>
    </row>
    <row r="1676">
      <c r="A1676" s="6">
        <v>1652</v>
      </c>
      <c r="B1676" s="6" t="str">
        <f>SMALL('Lineal Mixto'!$C$5:$C$2004,A1676)</f>
      </c>
      <c r="C1676" s="6" t="str">
        <f>A1676/COUNT('Lineal Mixto'!$C$5:$C$2004)</f>
      </c>
      <c r="D1676" s="6" t="str">
        <f>ABS(C1676-B1676)</f>
      </c>
    </row>
    <row r="1677">
      <c r="A1677" s="5">
        <v>1653</v>
      </c>
      <c r="B1677" s="5" t="str">
        <f>SMALL('Lineal Mixto'!$C$5:$C$2004,A1677)</f>
      </c>
      <c r="C1677" s="5" t="str">
        <f>A1677/COUNT('Lineal Mixto'!$C$5:$C$2004)</f>
      </c>
      <c r="D1677" s="5" t="str">
        <f>ABS(C1677-B1677)</f>
      </c>
    </row>
    <row r="1678">
      <c r="A1678" s="6">
        <v>1654</v>
      </c>
      <c r="B1678" s="6" t="str">
        <f>SMALL('Lineal Mixto'!$C$5:$C$2004,A1678)</f>
      </c>
      <c r="C1678" s="6" t="str">
        <f>A1678/COUNT('Lineal Mixto'!$C$5:$C$2004)</f>
      </c>
      <c r="D1678" s="6" t="str">
        <f>ABS(C1678-B1678)</f>
      </c>
    </row>
    <row r="1679">
      <c r="A1679" s="5">
        <v>1655</v>
      </c>
      <c r="B1679" s="5" t="str">
        <f>SMALL('Lineal Mixto'!$C$5:$C$2004,A1679)</f>
      </c>
      <c r="C1679" s="5" t="str">
        <f>A1679/COUNT('Lineal Mixto'!$C$5:$C$2004)</f>
      </c>
      <c r="D1679" s="5" t="str">
        <f>ABS(C1679-B1679)</f>
      </c>
    </row>
    <row r="1680">
      <c r="A1680" s="6">
        <v>1656</v>
      </c>
      <c r="B1680" s="6" t="str">
        <f>SMALL('Lineal Mixto'!$C$5:$C$2004,A1680)</f>
      </c>
      <c r="C1680" s="6" t="str">
        <f>A1680/COUNT('Lineal Mixto'!$C$5:$C$2004)</f>
      </c>
      <c r="D1680" s="6" t="str">
        <f>ABS(C1680-B1680)</f>
      </c>
    </row>
    <row r="1681">
      <c r="A1681" s="5">
        <v>1657</v>
      </c>
      <c r="B1681" s="5" t="str">
        <f>SMALL('Lineal Mixto'!$C$5:$C$2004,A1681)</f>
      </c>
      <c r="C1681" s="5" t="str">
        <f>A1681/COUNT('Lineal Mixto'!$C$5:$C$2004)</f>
      </c>
      <c r="D1681" s="5" t="str">
        <f>ABS(C1681-B1681)</f>
      </c>
    </row>
    <row r="1682">
      <c r="A1682" s="6">
        <v>1658</v>
      </c>
      <c r="B1682" s="6" t="str">
        <f>SMALL('Lineal Mixto'!$C$5:$C$2004,A1682)</f>
      </c>
      <c r="C1682" s="6" t="str">
        <f>A1682/COUNT('Lineal Mixto'!$C$5:$C$2004)</f>
      </c>
      <c r="D1682" s="6" t="str">
        <f>ABS(C1682-B1682)</f>
      </c>
    </row>
    <row r="1683">
      <c r="A1683" s="5">
        <v>1659</v>
      </c>
      <c r="B1683" s="5" t="str">
        <f>SMALL('Lineal Mixto'!$C$5:$C$2004,A1683)</f>
      </c>
      <c r="C1683" s="5" t="str">
        <f>A1683/COUNT('Lineal Mixto'!$C$5:$C$2004)</f>
      </c>
      <c r="D1683" s="5" t="str">
        <f>ABS(C1683-B1683)</f>
      </c>
    </row>
    <row r="1684">
      <c r="A1684" s="6">
        <v>1660</v>
      </c>
      <c r="B1684" s="6" t="str">
        <f>SMALL('Lineal Mixto'!$C$5:$C$2004,A1684)</f>
      </c>
      <c r="C1684" s="6" t="str">
        <f>A1684/COUNT('Lineal Mixto'!$C$5:$C$2004)</f>
      </c>
      <c r="D1684" s="6" t="str">
        <f>ABS(C1684-B1684)</f>
      </c>
    </row>
    <row r="1685">
      <c r="A1685" s="5">
        <v>1661</v>
      </c>
      <c r="B1685" s="5" t="str">
        <f>SMALL('Lineal Mixto'!$C$5:$C$2004,A1685)</f>
      </c>
      <c r="C1685" s="5" t="str">
        <f>A1685/COUNT('Lineal Mixto'!$C$5:$C$2004)</f>
      </c>
      <c r="D1685" s="5" t="str">
        <f>ABS(C1685-B1685)</f>
      </c>
    </row>
    <row r="1686">
      <c r="A1686" s="6">
        <v>1662</v>
      </c>
      <c r="B1686" s="6" t="str">
        <f>SMALL('Lineal Mixto'!$C$5:$C$2004,A1686)</f>
      </c>
      <c r="C1686" s="6" t="str">
        <f>A1686/COUNT('Lineal Mixto'!$C$5:$C$2004)</f>
      </c>
      <c r="D1686" s="6" t="str">
        <f>ABS(C1686-B1686)</f>
      </c>
    </row>
    <row r="1687">
      <c r="A1687" s="5">
        <v>1663</v>
      </c>
      <c r="B1687" s="5" t="str">
        <f>SMALL('Lineal Mixto'!$C$5:$C$2004,A1687)</f>
      </c>
      <c r="C1687" s="5" t="str">
        <f>A1687/COUNT('Lineal Mixto'!$C$5:$C$2004)</f>
      </c>
      <c r="D1687" s="5" t="str">
        <f>ABS(C1687-B1687)</f>
      </c>
    </row>
    <row r="1688">
      <c r="A1688" s="6">
        <v>1664</v>
      </c>
      <c r="B1688" s="6" t="str">
        <f>SMALL('Lineal Mixto'!$C$5:$C$2004,A1688)</f>
      </c>
      <c r="C1688" s="6" t="str">
        <f>A1688/COUNT('Lineal Mixto'!$C$5:$C$2004)</f>
      </c>
      <c r="D1688" s="6" t="str">
        <f>ABS(C1688-B1688)</f>
      </c>
    </row>
    <row r="1689">
      <c r="A1689" s="5">
        <v>1665</v>
      </c>
      <c r="B1689" s="5" t="str">
        <f>SMALL('Lineal Mixto'!$C$5:$C$2004,A1689)</f>
      </c>
      <c r="C1689" s="5" t="str">
        <f>A1689/COUNT('Lineal Mixto'!$C$5:$C$2004)</f>
      </c>
      <c r="D1689" s="5" t="str">
        <f>ABS(C1689-B1689)</f>
      </c>
    </row>
    <row r="1690">
      <c r="A1690" s="6">
        <v>1666</v>
      </c>
      <c r="B1690" s="6" t="str">
        <f>SMALL('Lineal Mixto'!$C$5:$C$2004,A1690)</f>
      </c>
      <c r="C1690" s="6" t="str">
        <f>A1690/COUNT('Lineal Mixto'!$C$5:$C$2004)</f>
      </c>
      <c r="D1690" s="6" t="str">
        <f>ABS(C1690-B1690)</f>
      </c>
    </row>
    <row r="1691">
      <c r="A1691" s="5">
        <v>1667</v>
      </c>
      <c r="B1691" s="5" t="str">
        <f>SMALL('Lineal Mixto'!$C$5:$C$2004,A1691)</f>
      </c>
      <c r="C1691" s="5" t="str">
        <f>A1691/COUNT('Lineal Mixto'!$C$5:$C$2004)</f>
      </c>
      <c r="D1691" s="5" t="str">
        <f>ABS(C1691-B1691)</f>
      </c>
    </row>
    <row r="1692">
      <c r="A1692" s="6">
        <v>1668</v>
      </c>
      <c r="B1692" s="6" t="str">
        <f>SMALL('Lineal Mixto'!$C$5:$C$2004,A1692)</f>
      </c>
      <c r="C1692" s="6" t="str">
        <f>A1692/COUNT('Lineal Mixto'!$C$5:$C$2004)</f>
      </c>
      <c r="D1692" s="6" t="str">
        <f>ABS(C1692-B1692)</f>
      </c>
    </row>
    <row r="1693">
      <c r="A1693" s="5">
        <v>1669</v>
      </c>
      <c r="B1693" s="5" t="str">
        <f>SMALL('Lineal Mixto'!$C$5:$C$2004,A1693)</f>
      </c>
      <c r="C1693" s="5" t="str">
        <f>A1693/COUNT('Lineal Mixto'!$C$5:$C$2004)</f>
      </c>
      <c r="D1693" s="5" t="str">
        <f>ABS(C1693-B1693)</f>
      </c>
    </row>
    <row r="1694">
      <c r="A1694" s="6">
        <v>1670</v>
      </c>
      <c r="B1694" s="6" t="str">
        <f>SMALL('Lineal Mixto'!$C$5:$C$2004,A1694)</f>
      </c>
      <c r="C1694" s="6" t="str">
        <f>A1694/COUNT('Lineal Mixto'!$C$5:$C$2004)</f>
      </c>
      <c r="D1694" s="6" t="str">
        <f>ABS(C1694-B1694)</f>
      </c>
    </row>
    <row r="1695">
      <c r="A1695" s="5">
        <v>1671</v>
      </c>
      <c r="B1695" s="5" t="str">
        <f>SMALL('Lineal Mixto'!$C$5:$C$2004,A1695)</f>
      </c>
      <c r="C1695" s="5" t="str">
        <f>A1695/COUNT('Lineal Mixto'!$C$5:$C$2004)</f>
      </c>
      <c r="D1695" s="5" t="str">
        <f>ABS(C1695-B1695)</f>
      </c>
    </row>
    <row r="1696">
      <c r="A1696" s="6">
        <v>1672</v>
      </c>
      <c r="B1696" s="6" t="str">
        <f>SMALL('Lineal Mixto'!$C$5:$C$2004,A1696)</f>
      </c>
      <c r="C1696" s="6" t="str">
        <f>A1696/COUNT('Lineal Mixto'!$C$5:$C$2004)</f>
      </c>
      <c r="D1696" s="6" t="str">
        <f>ABS(C1696-B1696)</f>
      </c>
    </row>
    <row r="1697">
      <c r="A1697" s="5">
        <v>1673</v>
      </c>
      <c r="B1697" s="5" t="str">
        <f>SMALL('Lineal Mixto'!$C$5:$C$2004,A1697)</f>
      </c>
      <c r="C1697" s="5" t="str">
        <f>A1697/COUNT('Lineal Mixto'!$C$5:$C$2004)</f>
      </c>
      <c r="D1697" s="5" t="str">
        <f>ABS(C1697-B1697)</f>
      </c>
    </row>
    <row r="1698">
      <c r="A1698" s="6">
        <v>1674</v>
      </c>
      <c r="B1698" s="6" t="str">
        <f>SMALL('Lineal Mixto'!$C$5:$C$2004,A1698)</f>
      </c>
      <c r="C1698" s="6" t="str">
        <f>A1698/COUNT('Lineal Mixto'!$C$5:$C$2004)</f>
      </c>
      <c r="D1698" s="6" t="str">
        <f>ABS(C1698-B1698)</f>
      </c>
    </row>
    <row r="1699">
      <c r="A1699" s="5">
        <v>1675</v>
      </c>
      <c r="B1699" s="5" t="str">
        <f>SMALL('Lineal Mixto'!$C$5:$C$2004,A1699)</f>
      </c>
      <c r="C1699" s="5" t="str">
        <f>A1699/COUNT('Lineal Mixto'!$C$5:$C$2004)</f>
      </c>
      <c r="D1699" s="5" t="str">
        <f>ABS(C1699-B1699)</f>
      </c>
    </row>
    <row r="1700">
      <c r="A1700" s="6">
        <v>1676</v>
      </c>
      <c r="B1700" s="6" t="str">
        <f>SMALL('Lineal Mixto'!$C$5:$C$2004,A1700)</f>
      </c>
      <c r="C1700" s="6" t="str">
        <f>A1700/COUNT('Lineal Mixto'!$C$5:$C$2004)</f>
      </c>
      <c r="D1700" s="6" t="str">
        <f>ABS(C1700-B1700)</f>
      </c>
    </row>
    <row r="1701">
      <c r="A1701" s="5">
        <v>1677</v>
      </c>
      <c r="B1701" s="5" t="str">
        <f>SMALL('Lineal Mixto'!$C$5:$C$2004,A1701)</f>
      </c>
      <c r="C1701" s="5" t="str">
        <f>A1701/COUNT('Lineal Mixto'!$C$5:$C$2004)</f>
      </c>
      <c r="D1701" s="5" t="str">
        <f>ABS(C1701-B1701)</f>
      </c>
    </row>
    <row r="1702">
      <c r="A1702" s="6">
        <v>1678</v>
      </c>
      <c r="B1702" s="6" t="str">
        <f>SMALL('Lineal Mixto'!$C$5:$C$2004,A1702)</f>
      </c>
      <c r="C1702" s="6" t="str">
        <f>A1702/COUNT('Lineal Mixto'!$C$5:$C$2004)</f>
      </c>
      <c r="D1702" s="6" t="str">
        <f>ABS(C1702-B1702)</f>
      </c>
    </row>
    <row r="1703">
      <c r="A1703" s="5">
        <v>1679</v>
      </c>
      <c r="B1703" s="5" t="str">
        <f>SMALL('Lineal Mixto'!$C$5:$C$2004,A1703)</f>
      </c>
      <c r="C1703" s="5" t="str">
        <f>A1703/COUNT('Lineal Mixto'!$C$5:$C$2004)</f>
      </c>
      <c r="D1703" s="5" t="str">
        <f>ABS(C1703-B1703)</f>
      </c>
    </row>
    <row r="1704">
      <c r="A1704" s="6">
        <v>1680</v>
      </c>
      <c r="B1704" s="6" t="str">
        <f>SMALL('Lineal Mixto'!$C$5:$C$2004,A1704)</f>
      </c>
      <c r="C1704" s="6" t="str">
        <f>A1704/COUNT('Lineal Mixto'!$C$5:$C$2004)</f>
      </c>
      <c r="D1704" s="6" t="str">
        <f>ABS(C1704-B1704)</f>
      </c>
    </row>
    <row r="1705">
      <c r="A1705" s="5">
        <v>1681</v>
      </c>
      <c r="B1705" s="5" t="str">
        <f>SMALL('Lineal Mixto'!$C$5:$C$2004,A1705)</f>
      </c>
      <c r="C1705" s="5" t="str">
        <f>A1705/COUNT('Lineal Mixto'!$C$5:$C$2004)</f>
      </c>
      <c r="D1705" s="5" t="str">
        <f>ABS(C1705-B1705)</f>
      </c>
    </row>
    <row r="1706">
      <c r="A1706" s="6">
        <v>1682</v>
      </c>
      <c r="B1706" s="6" t="str">
        <f>SMALL('Lineal Mixto'!$C$5:$C$2004,A1706)</f>
      </c>
      <c r="C1706" s="6" t="str">
        <f>A1706/COUNT('Lineal Mixto'!$C$5:$C$2004)</f>
      </c>
      <c r="D1706" s="6" t="str">
        <f>ABS(C1706-B1706)</f>
      </c>
    </row>
    <row r="1707">
      <c r="A1707" s="5">
        <v>1683</v>
      </c>
      <c r="B1707" s="5" t="str">
        <f>SMALL('Lineal Mixto'!$C$5:$C$2004,A1707)</f>
      </c>
      <c r="C1707" s="5" t="str">
        <f>A1707/COUNT('Lineal Mixto'!$C$5:$C$2004)</f>
      </c>
      <c r="D1707" s="5" t="str">
        <f>ABS(C1707-B1707)</f>
      </c>
    </row>
    <row r="1708">
      <c r="A1708" s="6">
        <v>1684</v>
      </c>
      <c r="B1708" s="6" t="str">
        <f>SMALL('Lineal Mixto'!$C$5:$C$2004,A1708)</f>
      </c>
      <c r="C1708" s="6" t="str">
        <f>A1708/COUNT('Lineal Mixto'!$C$5:$C$2004)</f>
      </c>
      <c r="D1708" s="6" t="str">
        <f>ABS(C1708-B1708)</f>
      </c>
    </row>
    <row r="1709">
      <c r="A1709" s="5">
        <v>1685</v>
      </c>
      <c r="B1709" s="5" t="str">
        <f>SMALL('Lineal Mixto'!$C$5:$C$2004,A1709)</f>
      </c>
      <c r="C1709" s="5" t="str">
        <f>A1709/COUNT('Lineal Mixto'!$C$5:$C$2004)</f>
      </c>
      <c r="D1709" s="5" t="str">
        <f>ABS(C1709-B1709)</f>
      </c>
    </row>
    <row r="1710">
      <c r="A1710" s="6">
        <v>1686</v>
      </c>
      <c r="B1710" s="6" t="str">
        <f>SMALL('Lineal Mixto'!$C$5:$C$2004,A1710)</f>
      </c>
      <c r="C1710" s="6" t="str">
        <f>A1710/COUNT('Lineal Mixto'!$C$5:$C$2004)</f>
      </c>
      <c r="D1710" s="6" t="str">
        <f>ABS(C1710-B1710)</f>
      </c>
    </row>
    <row r="1711">
      <c r="A1711" s="5">
        <v>1687</v>
      </c>
      <c r="B1711" s="5" t="str">
        <f>SMALL('Lineal Mixto'!$C$5:$C$2004,A1711)</f>
      </c>
      <c r="C1711" s="5" t="str">
        <f>A1711/COUNT('Lineal Mixto'!$C$5:$C$2004)</f>
      </c>
      <c r="D1711" s="5" t="str">
        <f>ABS(C1711-B1711)</f>
      </c>
    </row>
    <row r="1712">
      <c r="A1712" s="6">
        <v>1688</v>
      </c>
      <c r="B1712" s="6" t="str">
        <f>SMALL('Lineal Mixto'!$C$5:$C$2004,A1712)</f>
      </c>
      <c r="C1712" s="6" t="str">
        <f>A1712/COUNT('Lineal Mixto'!$C$5:$C$2004)</f>
      </c>
      <c r="D1712" s="6" t="str">
        <f>ABS(C1712-B1712)</f>
      </c>
    </row>
    <row r="1713">
      <c r="A1713" s="5">
        <v>1689</v>
      </c>
      <c r="B1713" s="5" t="str">
        <f>SMALL('Lineal Mixto'!$C$5:$C$2004,A1713)</f>
      </c>
      <c r="C1713" s="5" t="str">
        <f>A1713/COUNT('Lineal Mixto'!$C$5:$C$2004)</f>
      </c>
      <c r="D1713" s="5" t="str">
        <f>ABS(C1713-B1713)</f>
      </c>
    </row>
    <row r="1714">
      <c r="A1714" s="6">
        <v>1690</v>
      </c>
      <c r="B1714" s="6" t="str">
        <f>SMALL('Lineal Mixto'!$C$5:$C$2004,A1714)</f>
      </c>
      <c r="C1714" s="6" t="str">
        <f>A1714/COUNT('Lineal Mixto'!$C$5:$C$2004)</f>
      </c>
      <c r="D1714" s="6" t="str">
        <f>ABS(C1714-B1714)</f>
      </c>
    </row>
    <row r="1715">
      <c r="A1715" s="5">
        <v>1691</v>
      </c>
      <c r="B1715" s="5" t="str">
        <f>SMALL('Lineal Mixto'!$C$5:$C$2004,A1715)</f>
      </c>
      <c r="C1715" s="5" t="str">
        <f>A1715/COUNT('Lineal Mixto'!$C$5:$C$2004)</f>
      </c>
      <c r="D1715" s="5" t="str">
        <f>ABS(C1715-B1715)</f>
      </c>
    </row>
    <row r="1716">
      <c r="A1716" s="6">
        <v>1692</v>
      </c>
      <c r="B1716" s="6" t="str">
        <f>SMALL('Lineal Mixto'!$C$5:$C$2004,A1716)</f>
      </c>
      <c r="C1716" s="6" t="str">
        <f>A1716/COUNT('Lineal Mixto'!$C$5:$C$2004)</f>
      </c>
      <c r="D1716" s="6" t="str">
        <f>ABS(C1716-B1716)</f>
      </c>
    </row>
    <row r="1717">
      <c r="A1717" s="5">
        <v>1693</v>
      </c>
      <c r="B1717" s="5" t="str">
        <f>SMALL('Lineal Mixto'!$C$5:$C$2004,A1717)</f>
      </c>
      <c r="C1717" s="5" t="str">
        <f>A1717/COUNT('Lineal Mixto'!$C$5:$C$2004)</f>
      </c>
      <c r="D1717" s="5" t="str">
        <f>ABS(C1717-B1717)</f>
      </c>
    </row>
    <row r="1718">
      <c r="A1718" s="6">
        <v>1694</v>
      </c>
      <c r="B1718" s="6" t="str">
        <f>SMALL('Lineal Mixto'!$C$5:$C$2004,A1718)</f>
      </c>
      <c r="C1718" s="6" t="str">
        <f>A1718/COUNT('Lineal Mixto'!$C$5:$C$2004)</f>
      </c>
      <c r="D1718" s="6" t="str">
        <f>ABS(C1718-B1718)</f>
      </c>
    </row>
    <row r="1719">
      <c r="A1719" s="5">
        <v>1695</v>
      </c>
      <c r="B1719" s="5" t="str">
        <f>SMALL('Lineal Mixto'!$C$5:$C$2004,A1719)</f>
      </c>
      <c r="C1719" s="5" t="str">
        <f>A1719/COUNT('Lineal Mixto'!$C$5:$C$2004)</f>
      </c>
      <c r="D1719" s="5" t="str">
        <f>ABS(C1719-B1719)</f>
      </c>
    </row>
    <row r="1720">
      <c r="A1720" s="6">
        <v>1696</v>
      </c>
      <c r="B1720" s="6" t="str">
        <f>SMALL('Lineal Mixto'!$C$5:$C$2004,A1720)</f>
      </c>
      <c r="C1720" s="6" t="str">
        <f>A1720/COUNT('Lineal Mixto'!$C$5:$C$2004)</f>
      </c>
      <c r="D1720" s="6" t="str">
        <f>ABS(C1720-B1720)</f>
      </c>
    </row>
    <row r="1721">
      <c r="A1721" s="5">
        <v>1697</v>
      </c>
      <c r="B1721" s="5" t="str">
        <f>SMALL('Lineal Mixto'!$C$5:$C$2004,A1721)</f>
      </c>
      <c r="C1721" s="5" t="str">
        <f>A1721/COUNT('Lineal Mixto'!$C$5:$C$2004)</f>
      </c>
      <c r="D1721" s="5" t="str">
        <f>ABS(C1721-B1721)</f>
      </c>
    </row>
    <row r="1722">
      <c r="A1722" s="6">
        <v>1698</v>
      </c>
      <c r="B1722" s="6" t="str">
        <f>SMALL('Lineal Mixto'!$C$5:$C$2004,A1722)</f>
      </c>
      <c r="C1722" s="6" t="str">
        <f>A1722/COUNT('Lineal Mixto'!$C$5:$C$2004)</f>
      </c>
      <c r="D1722" s="6" t="str">
        <f>ABS(C1722-B1722)</f>
      </c>
    </row>
    <row r="1723">
      <c r="A1723" s="5">
        <v>1699</v>
      </c>
      <c r="B1723" s="5" t="str">
        <f>SMALL('Lineal Mixto'!$C$5:$C$2004,A1723)</f>
      </c>
      <c r="C1723" s="5" t="str">
        <f>A1723/COUNT('Lineal Mixto'!$C$5:$C$2004)</f>
      </c>
      <c r="D1723" s="5" t="str">
        <f>ABS(C1723-B1723)</f>
      </c>
    </row>
    <row r="1724">
      <c r="A1724" s="6">
        <v>1700</v>
      </c>
      <c r="B1724" s="6" t="str">
        <f>SMALL('Lineal Mixto'!$C$5:$C$2004,A1724)</f>
      </c>
      <c r="C1724" s="6" t="str">
        <f>A1724/COUNT('Lineal Mixto'!$C$5:$C$2004)</f>
      </c>
      <c r="D1724" s="6" t="str">
        <f>ABS(C1724-B1724)</f>
      </c>
    </row>
    <row r="1725">
      <c r="A1725" s="5">
        <v>1701</v>
      </c>
      <c r="B1725" s="5" t="str">
        <f>SMALL('Lineal Mixto'!$C$5:$C$2004,A1725)</f>
      </c>
      <c r="C1725" s="5" t="str">
        <f>A1725/COUNT('Lineal Mixto'!$C$5:$C$2004)</f>
      </c>
      <c r="D1725" s="5" t="str">
        <f>ABS(C1725-B1725)</f>
      </c>
    </row>
    <row r="1726">
      <c r="A1726" s="6">
        <v>1702</v>
      </c>
      <c r="B1726" s="6" t="str">
        <f>SMALL('Lineal Mixto'!$C$5:$C$2004,A1726)</f>
      </c>
      <c r="C1726" s="6" t="str">
        <f>A1726/COUNT('Lineal Mixto'!$C$5:$C$2004)</f>
      </c>
      <c r="D1726" s="6" t="str">
        <f>ABS(C1726-B1726)</f>
      </c>
    </row>
    <row r="1727">
      <c r="A1727" s="5">
        <v>1703</v>
      </c>
      <c r="B1727" s="5" t="str">
        <f>SMALL('Lineal Mixto'!$C$5:$C$2004,A1727)</f>
      </c>
      <c r="C1727" s="5" t="str">
        <f>A1727/COUNT('Lineal Mixto'!$C$5:$C$2004)</f>
      </c>
      <c r="D1727" s="5" t="str">
        <f>ABS(C1727-B1727)</f>
      </c>
    </row>
    <row r="1728">
      <c r="A1728" s="6">
        <v>1704</v>
      </c>
      <c r="B1728" s="6" t="str">
        <f>SMALL('Lineal Mixto'!$C$5:$C$2004,A1728)</f>
      </c>
      <c r="C1728" s="6" t="str">
        <f>A1728/COUNT('Lineal Mixto'!$C$5:$C$2004)</f>
      </c>
      <c r="D1728" s="6" t="str">
        <f>ABS(C1728-B1728)</f>
      </c>
    </row>
    <row r="1729">
      <c r="A1729" s="5">
        <v>1705</v>
      </c>
      <c r="B1729" s="5" t="str">
        <f>SMALL('Lineal Mixto'!$C$5:$C$2004,A1729)</f>
      </c>
      <c r="C1729" s="5" t="str">
        <f>A1729/COUNT('Lineal Mixto'!$C$5:$C$2004)</f>
      </c>
      <c r="D1729" s="5" t="str">
        <f>ABS(C1729-B1729)</f>
      </c>
    </row>
    <row r="1730">
      <c r="A1730" s="6">
        <v>1706</v>
      </c>
      <c r="B1730" s="6" t="str">
        <f>SMALL('Lineal Mixto'!$C$5:$C$2004,A1730)</f>
      </c>
      <c r="C1730" s="6" t="str">
        <f>A1730/COUNT('Lineal Mixto'!$C$5:$C$2004)</f>
      </c>
      <c r="D1730" s="6" t="str">
        <f>ABS(C1730-B1730)</f>
      </c>
    </row>
    <row r="1731">
      <c r="A1731" s="5">
        <v>1707</v>
      </c>
      <c r="B1731" s="5" t="str">
        <f>SMALL('Lineal Mixto'!$C$5:$C$2004,A1731)</f>
      </c>
      <c r="C1731" s="5" t="str">
        <f>A1731/COUNT('Lineal Mixto'!$C$5:$C$2004)</f>
      </c>
      <c r="D1731" s="5" t="str">
        <f>ABS(C1731-B1731)</f>
      </c>
    </row>
    <row r="1732">
      <c r="A1732" s="6">
        <v>1708</v>
      </c>
      <c r="B1732" s="6" t="str">
        <f>SMALL('Lineal Mixto'!$C$5:$C$2004,A1732)</f>
      </c>
      <c r="C1732" s="6" t="str">
        <f>A1732/COUNT('Lineal Mixto'!$C$5:$C$2004)</f>
      </c>
      <c r="D1732" s="6" t="str">
        <f>ABS(C1732-B1732)</f>
      </c>
    </row>
    <row r="1733">
      <c r="A1733" s="5">
        <v>1709</v>
      </c>
      <c r="B1733" s="5" t="str">
        <f>SMALL('Lineal Mixto'!$C$5:$C$2004,A1733)</f>
      </c>
      <c r="C1733" s="5" t="str">
        <f>A1733/COUNT('Lineal Mixto'!$C$5:$C$2004)</f>
      </c>
      <c r="D1733" s="5" t="str">
        <f>ABS(C1733-B1733)</f>
      </c>
    </row>
    <row r="1734">
      <c r="A1734" s="6">
        <v>1710</v>
      </c>
      <c r="B1734" s="6" t="str">
        <f>SMALL('Lineal Mixto'!$C$5:$C$2004,A1734)</f>
      </c>
      <c r="C1734" s="6" t="str">
        <f>A1734/COUNT('Lineal Mixto'!$C$5:$C$2004)</f>
      </c>
      <c r="D1734" s="6" t="str">
        <f>ABS(C1734-B1734)</f>
      </c>
    </row>
    <row r="1735">
      <c r="A1735" s="5">
        <v>1711</v>
      </c>
      <c r="B1735" s="5" t="str">
        <f>SMALL('Lineal Mixto'!$C$5:$C$2004,A1735)</f>
      </c>
      <c r="C1735" s="5" t="str">
        <f>A1735/COUNT('Lineal Mixto'!$C$5:$C$2004)</f>
      </c>
      <c r="D1735" s="5" t="str">
        <f>ABS(C1735-B1735)</f>
      </c>
    </row>
    <row r="1736">
      <c r="A1736" s="6">
        <v>1712</v>
      </c>
      <c r="B1736" s="6" t="str">
        <f>SMALL('Lineal Mixto'!$C$5:$C$2004,A1736)</f>
      </c>
      <c r="C1736" s="6" t="str">
        <f>A1736/COUNT('Lineal Mixto'!$C$5:$C$2004)</f>
      </c>
      <c r="D1736" s="6" t="str">
        <f>ABS(C1736-B1736)</f>
      </c>
    </row>
    <row r="1737">
      <c r="A1737" s="5">
        <v>1713</v>
      </c>
      <c r="B1737" s="5" t="str">
        <f>SMALL('Lineal Mixto'!$C$5:$C$2004,A1737)</f>
      </c>
      <c r="C1737" s="5" t="str">
        <f>A1737/COUNT('Lineal Mixto'!$C$5:$C$2004)</f>
      </c>
      <c r="D1737" s="5" t="str">
        <f>ABS(C1737-B1737)</f>
      </c>
    </row>
    <row r="1738">
      <c r="A1738" s="6">
        <v>1714</v>
      </c>
      <c r="B1738" s="6" t="str">
        <f>SMALL('Lineal Mixto'!$C$5:$C$2004,A1738)</f>
      </c>
      <c r="C1738" s="6" t="str">
        <f>A1738/COUNT('Lineal Mixto'!$C$5:$C$2004)</f>
      </c>
      <c r="D1738" s="6" t="str">
        <f>ABS(C1738-B1738)</f>
      </c>
    </row>
    <row r="1739">
      <c r="A1739" s="5">
        <v>1715</v>
      </c>
      <c r="B1739" s="5" t="str">
        <f>SMALL('Lineal Mixto'!$C$5:$C$2004,A1739)</f>
      </c>
      <c r="C1739" s="5" t="str">
        <f>A1739/COUNT('Lineal Mixto'!$C$5:$C$2004)</f>
      </c>
      <c r="D1739" s="5" t="str">
        <f>ABS(C1739-B1739)</f>
      </c>
    </row>
    <row r="1740">
      <c r="A1740" s="6">
        <v>1716</v>
      </c>
      <c r="B1740" s="6" t="str">
        <f>SMALL('Lineal Mixto'!$C$5:$C$2004,A1740)</f>
      </c>
      <c r="C1740" s="6" t="str">
        <f>A1740/COUNT('Lineal Mixto'!$C$5:$C$2004)</f>
      </c>
      <c r="D1740" s="6" t="str">
        <f>ABS(C1740-B1740)</f>
      </c>
    </row>
    <row r="1741">
      <c r="A1741" s="5">
        <v>1717</v>
      </c>
      <c r="B1741" s="5" t="str">
        <f>SMALL('Lineal Mixto'!$C$5:$C$2004,A1741)</f>
      </c>
      <c r="C1741" s="5" t="str">
        <f>A1741/COUNT('Lineal Mixto'!$C$5:$C$2004)</f>
      </c>
      <c r="D1741" s="5" t="str">
        <f>ABS(C1741-B1741)</f>
      </c>
    </row>
    <row r="1742">
      <c r="A1742" s="6">
        <v>1718</v>
      </c>
      <c r="B1742" s="6" t="str">
        <f>SMALL('Lineal Mixto'!$C$5:$C$2004,A1742)</f>
      </c>
      <c r="C1742" s="6" t="str">
        <f>A1742/COUNT('Lineal Mixto'!$C$5:$C$2004)</f>
      </c>
      <c r="D1742" s="6" t="str">
        <f>ABS(C1742-B1742)</f>
      </c>
    </row>
    <row r="1743">
      <c r="A1743" s="5">
        <v>1719</v>
      </c>
      <c r="B1743" s="5" t="str">
        <f>SMALL('Lineal Mixto'!$C$5:$C$2004,A1743)</f>
      </c>
      <c r="C1743" s="5" t="str">
        <f>A1743/COUNT('Lineal Mixto'!$C$5:$C$2004)</f>
      </c>
      <c r="D1743" s="5" t="str">
        <f>ABS(C1743-B1743)</f>
      </c>
    </row>
    <row r="1744">
      <c r="A1744" s="6">
        <v>1720</v>
      </c>
      <c r="B1744" s="6" t="str">
        <f>SMALL('Lineal Mixto'!$C$5:$C$2004,A1744)</f>
      </c>
      <c r="C1744" s="6" t="str">
        <f>A1744/COUNT('Lineal Mixto'!$C$5:$C$2004)</f>
      </c>
      <c r="D1744" s="6" t="str">
        <f>ABS(C1744-B1744)</f>
      </c>
    </row>
    <row r="1745">
      <c r="A1745" s="5">
        <v>1721</v>
      </c>
      <c r="B1745" s="5" t="str">
        <f>SMALL('Lineal Mixto'!$C$5:$C$2004,A1745)</f>
      </c>
      <c r="C1745" s="5" t="str">
        <f>A1745/COUNT('Lineal Mixto'!$C$5:$C$2004)</f>
      </c>
      <c r="D1745" s="5" t="str">
        <f>ABS(C1745-B1745)</f>
      </c>
    </row>
    <row r="1746">
      <c r="A1746" s="6">
        <v>1722</v>
      </c>
      <c r="B1746" s="6" t="str">
        <f>SMALL('Lineal Mixto'!$C$5:$C$2004,A1746)</f>
      </c>
      <c r="C1746" s="6" t="str">
        <f>A1746/COUNT('Lineal Mixto'!$C$5:$C$2004)</f>
      </c>
      <c r="D1746" s="6" t="str">
        <f>ABS(C1746-B1746)</f>
      </c>
    </row>
    <row r="1747">
      <c r="A1747" s="5">
        <v>1723</v>
      </c>
      <c r="B1747" s="5" t="str">
        <f>SMALL('Lineal Mixto'!$C$5:$C$2004,A1747)</f>
      </c>
      <c r="C1747" s="5" t="str">
        <f>A1747/COUNT('Lineal Mixto'!$C$5:$C$2004)</f>
      </c>
      <c r="D1747" s="5" t="str">
        <f>ABS(C1747-B1747)</f>
      </c>
    </row>
    <row r="1748">
      <c r="A1748" s="6">
        <v>1724</v>
      </c>
      <c r="B1748" s="6" t="str">
        <f>SMALL('Lineal Mixto'!$C$5:$C$2004,A1748)</f>
      </c>
      <c r="C1748" s="6" t="str">
        <f>A1748/COUNT('Lineal Mixto'!$C$5:$C$2004)</f>
      </c>
      <c r="D1748" s="6" t="str">
        <f>ABS(C1748-B1748)</f>
      </c>
    </row>
    <row r="1749">
      <c r="A1749" s="5">
        <v>1725</v>
      </c>
      <c r="B1749" s="5" t="str">
        <f>SMALL('Lineal Mixto'!$C$5:$C$2004,A1749)</f>
      </c>
      <c r="C1749" s="5" t="str">
        <f>A1749/COUNT('Lineal Mixto'!$C$5:$C$2004)</f>
      </c>
      <c r="D1749" s="5" t="str">
        <f>ABS(C1749-B1749)</f>
      </c>
    </row>
    <row r="1750">
      <c r="A1750" s="6">
        <v>1726</v>
      </c>
      <c r="B1750" s="6" t="str">
        <f>SMALL('Lineal Mixto'!$C$5:$C$2004,A1750)</f>
      </c>
      <c r="C1750" s="6" t="str">
        <f>A1750/COUNT('Lineal Mixto'!$C$5:$C$2004)</f>
      </c>
      <c r="D1750" s="6" t="str">
        <f>ABS(C1750-B1750)</f>
      </c>
    </row>
    <row r="1751">
      <c r="A1751" s="5">
        <v>1727</v>
      </c>
      <c r="B1751" s="5" t="str">
        <f>SMALL('Lineal Mixto'!$C$5:$C$2004,A1751)</f>
      </c>
      <c r="C1751" s="5" t="str">
        <f>A1751/COUNT('Lineal Mixto'!$C$5:$C$2004)</f>
      </c>
      <c r="D1751" s="5" t="str">
        <f>ABS(C1751-B1751)</f>
      </c>
    </row>
    <row r="1752">
      <c r="A1752" s="6">
        <v>1728</v>
      </c>
      <c r="B1752" s="6" t="str">
        <f>SMALL('Lineal Mixto'!$C$5:$C$2004,A1752)</f>
      </c>
      <c r="C1752" s="6" t="str">
        <f>A1752/COUNT('Lineal Mixto'!$C$5:$C$2004)</f>
      </c>
      <c r="D1752" s="6" t="str">
        <f>ABS(C1752-B1752)</f>
      </c>
    </row>
    <row r="1753">
      <c r="A1753" s="5">
        <v>1729</v>
      </c>
      <c r="B1753" s="5" t="str">
        <f>SMALL('Lineal Mixto'!$C$5:$C$2004,A1753)</f>
      </c>
      <c r="C1753" s="5" t="str">
        <f>A1753/COUNT('Lineal Mixto'!$C$5:$C$2004)</f>
      </c>
      <c r="D1753" s="5" t="str">
        <f>ABS(C1753-B1753)</f>
      </c>
    </row>
    <row r="1754">
      <c r="A1754" s="6">
        <v>1730</v>
      </c>
      <c r="B1754" s="6" t="str">
        <f>SMALL('Lineal Mixto'!$C$5:$C$2004,A1754)</f>
      </c>
      <c r="C1754" s="6" t="str">
        <f>A1754/COUNT('Lineal Mixto'!$C$5:$C$2004)</f>
      </c>
      <c r="D1754" s="6" t="str">
        <f>ABS(C1754-B1754)</f>
      </c>
    </row>
    <row r="1755">
      <c r="A1755" s="5">
        <v>1731</v>
      </c>
      <c r="B1755" s="5" t="str">
        <f>SMALL('Lineal Mixto'!$C$5:$C$2004,A1755)</f>
      </c>
      <c r="C1755" s="5" t="str">
        <f>A1755/COUNT('Lineal Mixto'!$C$5:$C$2004)</f>
      </c>
      <c r="D1755" s="5" t="str">
        <f>ABS(C1755-B1755)</f>
      </c>
    </row>
    <row r="1756">
      <c r="A1756" s="6">
        <v>1732</v>
      </c>
      <c r="B1756" s="6" t="str">
        <f>SMALL('Lineal Mixto'!$C$5:$C$2004,A1756)</f>
      </c>
      <c r="C1756" s="6" t="str">
        <f>A1756/COUNT('Lineal Mixto'!$C$5:$C$2004)</f>
      </c>
      <c r="D1756" s="6" t="str">
        <f>ABS(C1756-B1756)</f>
      </c>
    </row>
    <row r="1757">
      <c r="A1757" s="5">
        <v>1733</v>
      </c>
      <c r="B1757" s="5" t="str">
        <f>SMALL('Lineal Mixto'!$C$5:$C$2004,A1757)</f>
      </c>
      <c r="C1757" s="5" t="str">
        <f>A1757/COUNT('Lineal Mixto'!$C$5:$C$2004)</f>
      </c>
      <c r="D1757" s="5" t="str">
        <f>ABS(C1757-B1757)</f>
      </c>
    </row>
    <row r="1758">
      <c r="A1758" s="6">
        <v>1734</v>
      </c>
      <c r="B1758" s="6" t="str">
        <f>SMALL('Lineal Mixto'!$C$5:$C$2004,A1758)</f>
      </c>
      <c r="C1758" s="6" t="str">
        <f>A1758/COUNT('Lineal Mixto'!$C$5:$C$2004)</f>
      </c>
      <c r="D1758" s="6" t="str">
        <f>ABS(C1758-B1758)</f>
      </c>
    </row>
    <row r="1759">
      <c r="A1759" s="5">
        <v>1735</v>
      </c>
      <c r="B1759" s="5" t="str">
        <f>SMALL('Lineal Mixto'!$C$5:$C$2004,A1759)</f>
      </c>
      <c r="C1759" s="5" t="str">
        <f>A1759/COUNT('Lineal Mixto'!$C$5:$C$2004)</f>
      </c>
      <c r="D1759" s="5" t="str">
        <f>ABS(C1759-B1759)</f>
      </c>
    </row>
    <row r="1760">
      <c r="A1760" s="6">
        <v>1736</v>
      </c>
      <c r="B1760" s="6" t="str">
        <f>SMALL('Lineal Mixto'!$C$5:$C$2004,A1760)</f>
      </c>
      <c r="C1760" s="6" t="str">
        <f>A1760/COUNT('Lineal Mixto'!$C$5:$C$2004)</f>
      </c>
      <c r="D1760" s="6" t="str">
        <f>ABS(C1760-B1760)</f>
      </c>
    </row>
    <row r="1761">
      <c r="A1761" s="5">
        <v>1737</v>
      </c>
      <c r="B1761" s="5" t="str">
        <f>SMALL('Lineal Mixto'!$C$5:$C$2004,A1761)</f>
      </c>
      <c r="C1761" s="5" t="str">
        <f>A1761/COUNT('Lineal Mixto'!$C$5:$C$2004)</f>
      </c>
      <c r="D1761" s="5" t="str">
        <f>ABS(C1761-B1761)</f>
      </c>
    </row>
    <row r="1762">
      <c r="A1762" s="6">
        <v>1738</v>
      </c>
      <c r="B1762" s="6" t="str">
        <f>SMALL('Lineal Mixto'!$C$5:$C$2004,A1762)</f>
      </c>
      <c r="C1762" s="6" t="str">
        <f>A1762/COUNT('Lineal Mixto'!$C$5:$C$2004)</f>
      </c>
      <c r="D1762" s="6" t="str">
        <f>ABS(C1762-B1762)</f>
      </c>
    </row>
    <row r="1763">
      <c r="A1763" s="5">
        <v>1739</v>
      </c>
      <c r="B1763" s="5" t="str">
        <f>SMALL('Lineal Mixto'!$C$5:$C$2004,A1763)</f>
      </c>
      <c r="C1763" s="5" t="str">
        <f>A1763/COUNT('Lineal Mixto'!$C$5:$C$2004)</f>
      </c>
      <c r="D1763" s="5" t="str">
        <f>ABS(C1763-B1763)</f>
      </c>
    </row>
    <row r="1764">
      <c r="A1764" s="6">
        <v>1740</v>
      </c>
      <c r="B1764" s="6" t="str">
        <f>SMALL('Lineal Mixto'!$C$5:$C$2004,A1764)</f>
      </c>
      <c r="C1764" s="6" t="str">
        <f>A1764/COUNT('Lineal Mixto'!$C$5:$C$2004)</f>
      </c>
      <c r="D1764" s="6" t="str">
        <f>ABS(C1764-B1764)</f>
      </c>
    </row>
    <row r="1765">
      <c r="A1765" s="5">
        <v>1741</v>
      </c>
      <c r="B1765" s="5" t="str">
        <f>SMALL('Lineal Mixto'!$C$5:$C$2004,A1765)</f>
      </c>
      <c r="C1765" s="5" t="str">
        <f>A1765/COUNT('Lineal Mixto'!$C$5:$C$2004)</f>
      </c>
      <c r="D1765" s="5" t="str">
        <f>ABS(C1765-B1765)</f>
      </c>
    </row>
    <row r="1766">
      <c r="A1766" s="6">
        <v>1742</v>
      </c>
      <c r="B1766" s="6" t="str">
        <f>SMALL('Lineal Mixto'!$C$5:$C$2004,A1766)</f>
      </c>
      <c r="C1766" s="6" t="str">
        <f>A1766/COUNT('Lineal Mixto'!$C$5:$C$2004)</f>
      </c>
      <c r="D1766" s="6" t="str">
        <f>ABS(C1766-B1766)</f>
      </c>
    </row>
    <row r="1767">
      <c r="A1767" s="5">
        <v>1743</v>
      </c>
      <c r="B1767" s="5" t="str">
        <f>SMALL('Lineal Mixto'!$C$5:$C$2004,A1767)</f>
      </c>
      <c r="C1767" s="5" t="str">
        <f>A1767/COUNT('Lineal Mixto'!$C$5:$C$2004)</f>
      </c>
      <c r="D1767" s="5" t="str">
        <f>ABS(C1767-B1767)</f>
      </c>
    </row>
    <row r="1768">
      <c r="A1768" s="6">
        <v>1744</v>
      </c>
      <c r="B1768" s="6" t="str">
        <f>SMALL('Lineal Mixto'!$C$5:$C$2004,A1768)</f>
      </c>
      <c r="C1768" s="6" t="str">
        <f>A1768/COUNT('Lineal Mixto'!$C$5:$C$2004)</f>
      </c>
      <c r="D1768" s="6" t="str">
        <f>ABS(C1768-B1768)</f>
      </c>
    </row>
    <row r="1769">
      <c r="A1769" s="5">
        <v>1745</v>
      </c>
      <c r="B1769" s="5" t="str">
        <f>SMALL('Lineal Mixto'!$C$5:$C$2004,A1769)</f>
      </c>
      <c r="C1769" s="5" t="str">
        <f>A1769/COUNT('Lineal Mixto'!$C$5:$C$2004)</f>
      </c>
      <c r="D1769" s="5" t="str">
        <f>ABS(C1769-B1769)</f>
      </c>
    </row>
    <row r="1770">
      <c r="A1770" s="6">
        <v>1746</v>
      </c>
      <c r="B1770" s="6" t="str">
        <f>SMALL('Lineal Mixto'!$C$5:$C$2004,A1770)</f>
      </c>
      <c r="C1770" s="6" t="str">
        <f>A1770/COUNT('Lineal Mixto'!$C$5:$C$2004)</f>
      </c>
      <c r="D1770" s="6" t="str">
        <f>ABS(C1770-B1770)</f>
      </c>
    </row>
    <row r="1771">
      <c r="A1771" s="5">
        <v>1747</v>
      </c>
      <c r="B1771" s="5" t="str">
        <f>SMALL('Lineal Mixto'!$C$5:$C$2004,A1771)</f>
      </c>
      <c r="C1771" s="5" t="str">
        <f>A1771/COUNT('Lineal Mixto'!$C$5:$C$2004)</f>
      </c>
      <c r="D1771" s="5" t="str">
        <f>ABS(C1771-B1771)</f>
      </c>
    </row>
    <row r="1772">
      <c r="A1772" s="6">
        <v>1748</v>
      </c>
      <c r="B1772" s="6" t="str">
        <f>SMALL('Lineal Mixto'!$C$5:$C$2004,A1772)</f>
      </c>
      <c r="C1772" s="6" t="str">
        <f>A1772/COUNT('Lineal Mixto'!$C$5:$C$2004)</f>
      </c>
      <c r="D1772" s="6" t="str">
        <f>ABS(C1772-B1772)</f>
      </c>
    </row>
    <row r="1773">
      <c r="A1773" s="5">
        <v>1749</v>
      </c>
      <c r="B1773" s="5" t="str">
        <f>SMALL('Lineal Mixto'!$C$5:$C$2004,A1773)</f>
      </c>
      <c r="C1773" s="5" t="str">
        <f>A1773/COUNT('Lineal Mixto'!$C$5:$C$2004)</f>
      </c>
      <c r="D1773" s="5" t="str">
        <f>ABS(C1773-B1773)</f>
      </c>
    </row>
    <row r="1774">
      <c r="A1774" s="6">
        <v>1750</v>
      </c>
      <c r="B1774" s="6" t="str">
        <f>SMALL('Lineal Mixto'!$C$5:$C$2004,A1774)</f>
      </c>
      <c r="C1774" s="6" t="str">
        <f>A1774/COUNT('Lineal Mixto'!$C$5:$C$2004)</f>
      </c>
      <c r="D1774" s="6" t="str">
        <f>ABS(C1774-B1774)</f>
      </c>
    </row>
    <row r="1775">
      <c r="A1775" s="5">
        <v>1751</v>
      </c>
      <c r="B1775" s="5" t="str">
        <f>SMALL('Lineal Mixto'!$C$5:$C$2004,A1775)</f>
      </c>
      <c r="C1775" s="5" t="str">
        <f>A1775/COUNT('Lineal Mixto'!$C$5:$C$2004)</f>
      </c>
      <c r="D1775" s="5" t="str">
        <f>ABS(C1775-B1775)</f>
      </c>
    </row>
    <row r="1776">
      <c r="A1776" s="6">
        <v>1752</v>
      </c>
      <c r="B1776" s="6" t="str">
        <f>SMALL('Lineal Mixto'!$C$5:$C$2004,A1776)</f>
      </c>
      <c r="C1776" s="6" t="str">
        <f>A1776/COUNT('Lineal Mixto'!$C$5:$C$2004)</f>
      </c>
      <c r="D1776" s="6" t="str">
        <f>ABS(C1776-B1776)</f>
      </c>
    </row>
    <row r="1777">
      <c r="A1777" s="5">
        <v>1753</v>
      </c>
      <c r="B1777" s="5" t="str">
        <f>SMALL('Lineal Mixto'!$C$5:$C$2004,A1777)</f>
      </c>
      <c r="C1777" s="5" t="str">
        <f>A1777/COUNT('Lineal Mixto'!$C$5:$C$2004)</f>
      </c>
      <c r="D1777" s="5" t="str">
        <f>ABS(C1777-B1777)</f>
      </c>
    </row>
    <row r="1778">
      <c r="A1778" s="6">
        <v>1754</v>
      </c>
      <c r="B1778" s="6" t="str">
        <f>SMALL('Lineal Mixto'!$C$5:$C$2004,A1778)</f>
      </c>
      <c r="C1778" s="6" t="str">
        <f>A1778/COUNT('Lineal Mixto'!$C$5:$C$2004)</f>
      </c>
      <c r="D1778" s="6" t="str">
        <f>ABS(C1778-B1778)</f>
      </c>
    </row>
    <row r="1779">
      <c r="A1779" s="5">
        <v>1755</v>
      </c>
      <c r="B1779" s="5" t="str">
        <f>SMALL('Lineal Mixto'!$C$5:$C$2004,A1779)</f>
      </c>
      <c r="C1779" s="5" t="str">
        <f>A1779/COUNT('Lineal Mixto'!$C$5:$C$2004)</f>
      </c>
      <c r="D1779" s="5" t="str">
        <f>ABS(C1779-B1779)</f>
      </c>
    </row>
    <row r="1780">
      <c r="A1780" s="6">
        <v>1756</v>
      </c>
      <c r="B1780" s="6" t="str">
        <f>SMALL('Lineal Mixto'!$C$5:$C$2004,A1780)</f>
      </c>
      <c r="C1780" s="6" t="str">
        <f>A1780/COUNT('Lineal Mixto'!$C$5:$C$2004)</f>
      </c>
      <c r="D1780" s="6" t="str">
        <f>ABS(C1780-B1780)</f>
      </c>
    </row>
    <row r="1781">
      <c r="A1781" s="5">
        <v>1757</v>
      </c>
      <c r="B1781" s="5" t="str">
        <f>SMALL('Lineal Mixto'!$C$5:$C$2004,A1781)</f>
      </c>
      <c r="C1781" s="5" t="str">
        <f>A1781/COUNT('Lineal Mixto'!$C$5:$C$2004)</f>
      </c>
      <c r="D1781" s="5" t="str">
        <f>ABS(C1781-B1781)</f>
      </c>
    </row>
    <row r="1782">
      <c r="A1782" s="6">
        <v>1758</v>
      </c>
      <c r="B1782" s="6" t="str">
        <f>SMALL('Lineal Mixto'!$C$5:$C$2004,A1782)</f>
      </c>
      <c r="C1782" s="6" t="str">
        <f>A1782/COUNT('Lineal Mixto'!$C$5:$C$2004)</f>
      </c>
      <c r="D1782" s="6" t="str">
        <f>ABS(C1782-B1782)</f>
      </c>
    </row>
    <row r="1783">
      <c r="A1783" s="5">
        <v>1759</v>
      </c>
      <c r="B1783" s="5" t="str">
        <f>SMALL('Lineal Mixto'!$C$5:$C$2004,A1783)</f>
      </c>
      <c r="C1783" s="5" t="str">
        <f>A1783/COUNT('Lineal Mixto'!$C$5:$C$2004)</f>
      </c>
      <c r="D1783" s="5" t="str">
        <f>ABS(C1783-B1783)</f>
      </c>
    </row>
    <row r="1784">
      <c r="A1784" s="6">
        <v>1760</v>
      </c>
      <c r="B1784" s="6" t="str">
        <f>SMALL('Lineal Mixto'!$C$5:$C$2004,A1784)</f>
      </c>
      <c r="C1784" s="6" t="str">
        <f>A1784/COUNT('Lineal Mixto'!$C$5:$C$2004)</f>
      </c>
      <c r="D1784" s="6" t="str">
        <f>ABS(C1784-B1784)</f>
      </c>
    </row>
    <row r="1785">
      <c r="A1785" s="5">
        <v>1761</v>
      </c>
      <c r="B1785" s="5" t="str">
        <f>SMALL('Lineal Mixto'!$C$5:$C$2004,A1785)</f>
      </c>
      <c r="C1785" s="5" t="str">
        <f>A1785/COUNT('Lineal Mixto'!$C$5:$C$2004)</f>
      </c>
      <c r="D1785" s="5" t="str">
        <f>ABS(C1785-B1785)</f>
      </c>
    </row>
    <row r="1786">
      <c r="A1786" s="6">
        <v>1762</v>
      </c>
      <c r="B1786" s="6" t="str">
        <f>SMALL('Lineal Mixto'!$C$5:$C$2004,A1786)</f>
      </c>
      <c r="C1786" s="6" t="str">
        <f>A1786/COUNT('Lineal Mixto'!$C$5:$C$2004)</f>
      </c>
      <c r="D1786" s="6" t="str">
        <f>ABS(C1786-B1786)</f>
      </c>
    </row>
    <row r="1787">
      <c r="A1787" s="5">
        <v>1763</v>
      </c>
      <c r="B1787" s="5" t="str">
        <f>SMALL('Lineal Mixto'!$C$5:$C$2004,A1787)</f>
      </c>
      <c r="C1787" s="5" t="str">
        <f>A1787/COUNT('Lineal Mixto'!$C$5:$C$2004)</f>
      </c>
      <c r="D1787" s="5" t="str">
        <f>ABS(C1787-B1787)</f>
      </c>
    </row>
    <row r="1788">
      <c r="A1788" s="6">
        <v>1764</v>
      </c>
      <c r="B1788" s="6" t="str">
        <f>SMALL('Lineal Mixto'!$C$5:$C$2004,A1788)</f>
      </c>
      <c r="C1788" s="6" t="str">
        <f>A1788/COUNT('Lineal Mixto'!$C$5:$C$2004)</f>
      </c>
      <c r="D1788" s="6" t="str">
        <f>ABS(C1788-B1788)</f>
      </c>
    </row>
    <row r="1789">
      <c r="A1789" s="5">
        <v>1765</v>
      </c>
      <c r="B1789" s="5" t="str">
        <f>SMALL('Lineal Mixto'!$C$5:$C$2004,A1789)</f>
      </c>
      <c r="C1789" s="5" t="str">
        <f>A1789/COUNT('Lineal Mixto'!$C$5:$C$2004)</f>
      </c>
      <c r="D1789" s="5" t="str">
        <f>ABS(C1789-B1789)</f>
      </c>
    </row>
    <row r="1790">
      <c r="A1790" s="6">
        <v>1766</v>
      </c>
      <c r="B1790" s="6" t="str">
        <f>SMALL('Lineal Mixto'!$C$5:$C$2004,A1790)</f>
      </c>
      <c r="C1790" s="6" t="str">
        <f>A1790/COUNT('Lineal Mixto'!$C$5:$C$2004)</f>
      </c>
      <c r="D1790" s="6" t="str">
        <f>ABS(C1790-B1790)</f>
      </c>
    </row>
    <row r="1791">
      <c r="A1791" s="5">
        <v>1767</v>
      </c>
      <c r="B1791" s="5" t="str">
        <f>SMALL('Lineal Mixto'!$C$5:$C$2004,A1791)</f>
      </c>
      <c r="C1791" s="5" t="str">
        <f>A1791/COUNT('Lineal Mixto'!$C$5:$C$2004)</f>
      </c>
      <c r="D1791" s="5" t="str">
        <f>ABS(C1791-B1791)</f>
      </c>
    </row>
    <row r="1792">
      <c r="A1792" s="6">
        <v>1768</v>
      </c>
      <c r="B1792" s="6" t="str">
        <f>SMALL('Lineal Mixto'!$C$5:$C$2004,A1792)</f>
      </c>
      <c r="C1792" s="6" t="str">
        <f>A1792/COUNT('Lineal Mixto'!$C$5:$C$2004)</f>
      </c>
      <c r="D1792" s="6" t="str">
        <f>ABS(C1792-B1792)</f>
      </c>
    </row>
    <row r="1793">
      <c r="A1793" s="5">
        <v>1769</v>
      </c>
      <c r="B1793" s="5" t="str">
        <f>SMALL('Lineal Mixto'!$C$5:$C$2004,A1793)</f>
      </c>
      <c r="C1793" s="5" t="str">
        <f>A1793/COUNT('Lineal Mixto'!$C$5:$C$2004)</f>
      </c>
      <c r="D1793" s="5" t="str">
        <f>ABS(C1793-B1793)</f>
      </c>
    </row>
    <row r="1794">
      <c r="A1794" s="6">
        <v>1770</v>
      </c>
      <c r="B1794" s="6" t="str">
        <f>SMALL('Lineal Mixto'!$C$5:$C$2004,A1794)</f>
      </c>
      <c r="C1794" s="6" t="str">
        <f>A1794/COUNT('Lineal Mixto'!$C$5:$C$2004)</f>
      </c>
      <c r="D1794" s="6" t="str">
        <f>ABS(C1794-B1794)</f>
      </c>
    </row>
    <row r="1795">
      <c r="A1795" s="5">
        <v>1771</v>
      </c>
      <c r="B1795" s="5" t="str">
        <f>SMALL('Lineal Mixto'!$C$5:$C$2004,A1795)</f>
      </c>
      <c r="C1795" s="5" t="str">
        <f>A1795/COUNT('Lineal Mixto'!$C$5:$C$2004)</f>
      </c>
      <c r="D1795" s="5" t="str">
        <f>ABS(C1795-B1795)</f>
      </c>
    </row>
    <row r="1796">
      <c r="A1796" s="6">
        <v>1772</v>
      </c>
      <c r="B1796" s="6" t="str">
        <f>SMALL('Lineal Mixto'!$C$5:$C$2004,A1796)</f>
      </c>
      <c r="C1796" s="6" t="str">
        <f>A1796/COUNT('Lineal Mixto'!$C$5:$C$2004)</f>
      </c>
      <c r="D1796" s="6" t="str">
        <f>ABS(C1796-B1796)</f>
      </c>
    </row>
    <row r="1797">
      <c r="A1797" s="5">
        <v>1773</v>
      </c>
      <c r="B1797" s="5" t="str">
        <f>SMALL('Lineal Mixto'!$C$5:$C$2004,A1797)</f>
      </c>
      <c r="C1797" s="5" t="str">
        <f>A1797/COUNT('Lineal Mixto'!$C$5:$C$2004)</f>
      </c>
      <c r="D1797" s="5" t="str">
        <f>ABS(C1797-B1797)</f>
      </c>
    </row>
    <row r="1798">
      <c r="A1798" s="6">
        <v>1774</v>
      </c>
      <c r="B1798" s="6" t="str">
        <f>SMALL('Lineal Mixto'!$C$5:$C$2004,A1798)</f>
      </c>
      <c r="C1798" s="6" t="str">
        <f>A1798/COUNT('Lineal Mixto'!$C$5:$C$2004)</f>
      </c>
      <c r="D1798" s="6" t="str">
        <f>ABS(C1798-B1798)</f>
      </c>
    </row>
    <row r="1799">
      <c r="A1799" s="5">
        <v>1775</v>
      </c>
      <c r="B1799" s="5" t="str">
        <f>SMALL('Lineal Mixto'!$C$5:$C$2004,A1799)</f>
      </c>
      <c r="C1799" s="5" t="str">
        <f>A1799/COUNT('Lineal Mixto'!$C$5:$C$2004)</f>
      </c>
      <c r="D1799" s="5" t="str">
        <f>ABS(C1799-B1799)</f>
      </c>
    </row>
    <row r="1800">
      <c r="A1800" s="6">
        <v>1776</v>
      </c>
      <c r="B1800" s="6" t="str">
        <f>SMALL('Lineal Mixto'!$C$5:$C$2004,A1800)</f>
      </c>
      <c r="C1800" s="6" t="str">
        <f>A1800/COUNT('Lineal Mixto'!$C$5:$C$2004)</f>
      </c>
      <c r="D1800" s="6" t="str">
        <f>ABS(C1800-B1800)</f>
      </c>
    </row>
    <row r="1801">
      <c r="A1801" s="5">
        <v>1777</v>
      </c>
      <c r="B1801" s="5" t="str">
        <f>SMALL('Lineal Mixto'!$C$5:$C$2004,A1801)</f>
      </c>
      <c r="C1801" s="5" t="str">
        <f>A1801/COUNT('Lineal Mixto'!$C$5:$C$2004)</f>
      </c>
      <c r="D1801" s="5" t="str">
        <f>ABS(C1801-B1801)</f>
      </c>
    </row>
    <row r="1802">
      <c r="A1802" s="6">
        <v>1778</v>
      </c>
      <c r="B1802" s="6" t="str">
        <f>SMALL('Lineal Mixto'!$C$5:$C$2004,A1802)</f>
      </c>
      <c r="C1802" s="6" t="str">
        <f>A1802/COUNT('Lineal Mixto'!$C$5:$C$2004)</f>
      </c>
      <c r="D1802" s="6" t="str">
        <f>ABS(C1802-B1802)</f>
      </c>
    </row>
    <row r="1803">
      <c r="A1803" s="5">
        <v>1779</v>
      </c>
      <c r="B1803" s="5" t="str">
        <f>SMALL('Lineal Mixto'!$C$5:$C$2004,A1803)</f>
      </c>
      <c r="C1803" s="5" t="str">
        <f>A1803/COUNT('Lineal Mixto'!$C$5:$C$2004)</f>
      </c>
      <c r="D1803" s="5" t="str">
        <f>ABS(C1803-B1803)</f>
      </c>
    </row>
    <row r="1804">
      <c r="A1804" s="6">
        <v>1780</v>
      </c>
      <c r="B1804" s="6" t="str">
        <f>SMALL('Lineal Mixto'!$C$5:$C$2004,A1804)</f>
      </c>
      <c r="C1804" s="6" t="str">
        <f>A1804/COUNT('Lineal Mixto'!$C$5:$C$2004)</f>
      </c>
      <c r="D1804" s="6" t="str">
        <f>ABS(C1804-B1804)</f>
      </c>
    </row>
    <row r="1805">
      <c r="A1805" s="5">
        <v>1781</v>
      </c>
      <c r="B1805" s="5" t="str">
        <f>SMALL('Lineal Mixto'!$C$5:$C$2004,A1805)</f>
      </c>
      <c r="C1805" s="5" t="str">
        <f>A1805/COUNT('Lineal Mixto'!$C$5:$C$2004)</f>
      </c>
      <c r="D1805" s="5" t="str">
        <f>ABS(C1805-B1805)</f>
      </c>
    </row>
    <row r="1806">
      <c r="A1806" s="6">
        <v>1782</v>
      </c>
      <c r="B1806" s="6" t="str">
        <f>SMALL('Lineal Mixto'!$C$5:$C$2004,A1806)</f>
      </c>
      <c r="C1806" s="6" t="str">
        <f>A1806/COUNT('Lineal Mixto'!$C$5:$C$2004)</f>
      </c>
      <c r="D1806" s="6" t="str">
        <f>ABS(C1806-B1806)</f>
      </c>
    </row>
    <row r="1807">
      <c r="A1807" s="5">
        <v>1783</v>
      </c>
      <c r="B1807" s="5" t="str">
        <f>SMALL('Lineal Mixto'!$C$5:$C$2004,A1807)</f>
      </c>
      <c r="C1807" s="5" t="str">
        <f>A1807/COUNT('Lineal Mixto'!$C$5:$C$2004)</f>
      </c>
      <c r="D1807" s="5" t="str">
        <f>ABS(C1807-B1807)</f>
      </c>
    </row>
    <row r="1808">
      <c r="A1808" s="6">
        <v>1784</v>
      </c>
      <c r="B1808" s="6" t="str">
        <f>SMALL('Lineal Mixto'!$C$5:$C$2004,A1808)</f>
      </c>
      <c r="C1808" s="6" t="str">
        <f>A1808/COUNT('Lineal Mixto'!$C$5:$C$2004)</f>
      </c>
      <c r="D1808" s="6" t="str">
        <f>ABS(C1808-B1808)</f>
      </c>
    </row>
    <row r="1809">
      <c r="A1809" s="5">
        <v>1785</v>
      </c>
      <c r="B1809" s="5" t="str">
        <f>SMALL('Lineal Mixto'!$C$5:$C$2004,A1809)</f>
      </c>
      <c r="C1809" s="5" t="str">
        <f>A1809/COUNT('Lineal Mixto'!$C$5:$C$2004)</f>
      </c>
      <c r="D1809" s="5" t="str">
        <f>ABS(C1809-B1809)</f>
      </c>
    </row>
    <row r="1810">
      <c r="A1810" s="6">
        <v>1786</v>
      </c>
      <c r="B1810" s="6" t="str">
        <f>SMALL('Lineal Mixto'!$C$5:$C$2004,A1810)</f>
      </c>
      <c r="C1810" s="6" t="str">
        <f>A1810/COUNT('Lineal Mixto'!$C$5:$C$2004)</f>
      </c>
      <c r="D1810" s="6" t="str">
        <f>ABS(C1810-B1810)</f>
      </c>
    </row>
    <row r="1811">
      <c r="A1811" s="5">
        <v>1787</v>
      </c>
      <c r="B1811" s="5" t="str">
        <f>SMALL('Lineal Mixto'!$C$5:$C$2004,A1811)</f>
      </c>
      <c r="C1811" s="5" t="str">
        <f>A1811/COUNT('Lineal Mixto'!$C$5:$C$2004)</f>
      </c>
      <c r="D1811" s="5" t="str">
        <f>ABS(C1811-B1811)</f>
      </c>
    </row>
    <row r="1812">
      <c r="A1812" s="6">
        <v>1788</v>
      </c>
      <c r="B1812" s="6" t="str">
        <f>SMALL('Lineal Mixto'!$C$5:$C$2004,A1812)</f>
      </c>
      <c r="C1812" s="6" t="str">
        <f>A1812/COUNT('Lineal Mixto'!$C$5:$C$2004)</f>
      </c>
      <c r="D1812" s="6" t="str">
        <f>ABS(C1812-B1812)</f>
      </c>
    </row>
    <row r="1813">
      <c r="A1813" s="5">
        <v>1789</v>
      </c>
      <c r="B1813" s="5" t="str">
        <f>SMALL('Lineal Mixto'!$C$5:$C$2004,A1813)</f>
      </c>
      <c r="C1813" s="5" t="str">
        <f>A1813/COUNT('Lineal Mixto'!$C$5:$C$2004)</f>
      </c>
      <c r="D1813" s="5" t="str">
        <f>ABS(C1813-B1813)</f>
      </c>
    </row>
    <row r="1814">
      <c r="A1814" s="6">
        <v>1790</v>
      </c>
      <c r="B1814" s="6" t="str">
        <f>SMALL('Lineal Mixto'!$C$5:$C$2004,A1814)</f>
      </c>
      <c r="C1814" s="6" t="str">
        <f>A1814/COUNT('Lineal Mixto'!$C$5:$C$2004)</f>
      </c>
      <c r="D1814" s="6" t="str">
        <f>ABS(C1814-B1814)</f>
      </c>
    </row>
    <row r="1815">
      <c r="A1815" s="5">
        <v>1791</v>
      </c>
      <c r="B1815" s="5" t="str">
        <f>SMALL('Lineal Mixto'!$C$5:$C$2004,A1815)</f>
      </c>
      <c r="C1815" s="5" t="str">
        <f>A1815/COUNT('Lineal Mixto'!$C$5:$C$2004)</f>
      </c>
      <c r="D1815" s="5" t="str">
        <f>ABS(C1815-B1815)</f>
      </c>
    </row>
    <row r="1816">
      <c r="A1816" s="6">
        <v>1792</v>
      </c>
      <c r="B1816" s="6" t="str">
        <f>SMALL('Lineal Mixto'!$C$5:$C$2004,A1816)</f>
      </c>
      <c r="C1816" s="6" t="str">
        <f>A1816/COUNT('Lineal Mixto'!$C$5:$C$2004)</f>
      </c>
      <c r="D1816" s="6" t="str">
        <f>ABS(C1816-B1816)</f>
      </c>
    </row>
    <row r="1817">
      <c r="A1817" s="5">
        <v>1793</v>
      </c>
      <c r="B1817" s="5" t="str">
        <f>SMALL('Lineal Mixto'!$C$5:$C$2004,A1817)</f>
      </c>
      <c r="C1817" s="5" t="str">
        <f>A1817/COUNT('Lineal Mixto'!$C$5:$C$2004)</f>
      </c>
      <c r="D1817" s="5" t="str">
        <f>ABS(C1817-B1817)</f>
      </c>
    </row>
    <row r="1818">
      <c r="A1818" s="6">
        <v>1794</v>
      </c>
      <c r="B1818" s="6" t="str">
        <f>SMALL('Lineal Mixto'!$C$5:$C$2004,A1818)</f>
      </c>
      <c r="C1818" s="6" t="str">
        <f>A1818/COUNT('Lineal Mixto'!$C$5:$C$2004)</f>
      </c>
      <c r="D1818" s="6" t="str">
        <f>ABS(C1818-B1818)</f>
      </c>
    </row>
    <row r="1819">
      <c r="A1819" s="5">
        <v>1795</v>
      </c>
      <c r="B1819" s="5" t="str">
        <f>SMALL('Lineal Mixto'!$C$5:$C$2004,A1819)</f>
      </c>
      <c r="C1819" s="5" t="str">
        <f>A1819/COUNT('Lineal Mixto'!$C$5:$C$2004)</f>
      </c>
      <c r="D1819" s="5" t="str">
        <f>ABS(C1819-B1819)</f>
      </c>
    </row>
    <row r="1820">
      <c r="A1820" s="6">
        <v>1796</v>
      </c>
      <c r="B1820" s="6" t="str">
        <f>SMALL('Lineal Mixto'!$C$5:$C$2004,A1820)</f>
      </c>
      <c r="C1820" s="6" t="str">
        <f>A1820/COUNT('Lineal Mixto'!$C$5:$C$2004)</f>
      </c>
      <c r="D1820" s="6" t="str">
        <f>ABS(C1820-B1820)</f>
      </c>
    </row>
    <row r="1821">
      <c r="A1821" s="5">
        <v>1797</v>
      </c>
      <c r="B1821" s="5" t="str">
        <f>SMALL('Lineal Mixto'!$C$5:$C$2004,A1821)</f>
      </c>
      <c r="C1821" s="5" t="str">
        <f>A1821/COUNT('Lineal Mixto'!$C$5:$C$2004)</f>
      </c>
      <c r="D1821" s="5" t="str">
        <f>ABS(C1821-B1821)</f>
      </c>
    </row>
    <row r="1822">
      <c r="A1822" s="6">
        <v>1798</v>
      </c>
      <c r="B1822" s="6" t="str">
        <f>SMALL('Lineal Mixto'!$C$5:$C$2004,A1822)</f>
      </c>
      <c r="C1822" s="6" t="str">
        <f>A1822/COUNT('Lineal Mixto'!$C$5:$C$2004)</f>
      </c>
      <c r="D1822" s="6" t="str">
        <f>ABS(C1822-B1822)</f>
      </c>
    </row>
    <row r="1823">
      <c r="A1823" s="5">
        <v>1799</v>
      </c>
      <c r="B1823" s="5" t="str">
        <f>SMALL('Lineal Mixto'!$C$5:$C$2004,A1823)</f>
      </c>
      <c r="C1823" s="5" t="str">
        <f>A1823/COUNT('Lineal Mixto'!$C$5:$C$2004)</f>
      </c>
      <c r="D1823" s="5" t="str">
        <f>ABS(C1823-B1823)</f>
      </c>
    </row>
    <row r="1824">
      <c r="A1824" s="6">
        <v>1800</v>
      </c>
      <c r="B1824" s="6" t="str">
        <f>SMALL('Lineal Mixto'!$C$5:$C$2004,A1824)</f>
      </c>
      <c r="C1824" s="6" t="str">
        <f>A1824/COUNT('Lineal Mixto'!$C$5:$C$2004)</f>
      </c>
      <c r="D1824" s="6" t="str">
        <f>ABS(C1824-B1824)</f>
      </c>
    </row>
    <row r="1825">
      <c r="A1825" s="5">
        <v>1801</v>
      </c>
      <c r="B1825" s="5" t="str">
        <f>SMALL('Lineal Mixto'!$C$5:$C$2004,A1825)</f>
      </c>
      <c r="C1825" s="5" t="str">
        <f>A1825/COUNT('Lineal Mixto'!$C$5:$C$2004)</f>
      </c>
      <c r="D1825" s="5" t="str">
        <f>ABS(C1825-B1825)</f>
      </c>
    </row>
    <row r="1826">
      <c r="A1826" s="6">
        <v>1802</v>
      </c>
      <c r="B1826" s="6" t="str">
        <f>SMALL('Lineal Mixto'!$C$5:$C$2004,A1826)</f>
      </c>
      <c r="C1826" s="6" t="str">
        <f>A1826/COUNT('Lineal Mixto'!$C$5:$C$2004)</f>
      </c>
      <c r="D1826" s="6" t="str">
        <f>ABS(C1826-B1826)</f>
      </c>
    </row>
    <row r="1827">
      <c r="A1827" s="5">
        <v>1803</v>
      </c>
      <c r="B1827" s="5" t="str">
        <f>SMALL('Lineal Mixto'!$C$5:$C$2004,A1827)</f>
      </c>
      <c r="C1827" s="5" t="str">
        <f>A1827/COUNT('Lineal Mixto'!$C$5:$C$2004)</f>
      </c>
      <c r="D1827" s="5" t="str">
        <f>ABS(C1827-B1827)</f>
      </c>
    </row>
    <row r="1828">
      <c r="A1828" s="6">
        <v>1804</v>
      </c>
      <c r="B1828" s="6" t="str">
        <f>SMALL('Lineal Mixto'!$C$5:$C$2004,A1828)</f>
      </c>
      <c r="C1828" s="6" t="str">
        <f>A1828/COUNT('Lineal Mixto'!$C$5:$C$2004)</f>
      </c>
      <c r="D1828" s="6" t="str">
        <f>ABS(C1828-B1828)</f>
      </c>
    </row>
    <row r="1829">
      <c r="A1829" s="5">
        <v>1805</v>
      </c>
      <c r="B1829" s="5" t="str">
        <f>SMALL('Lineal Mixto'!$C$5:$C$2004,A1829)</f>
      </c>
      <c r="C1829" s="5" t="str">
        <f>A1829/COUNT('Lineal Mixto'!$C$5:$C$2004)</f>
      </c>
      <c r="D1829" s="5" t="str">
        <f>ABS(C1829-B1829)</f>
      </c>
    </row>
    <row r="1830">
      <c r="A1830" s="6">
        <v>1806</v>
      </c>
      <c r="B1830" s="6" t="str">
        <f>SMALL('Lineal Mixto'!$C$5:$C$2004,A1830)</f>
      </c>
      <c r="C1830" s="6" t="str">
        <f>A1830/COUNT('Lineal Mixto'!$C$5:$C$2004)</f>
      </c>
      <c r="D1830" s="6" t="str">
        <f>ABS(C1830-B1830)</f>
      </c>
    </row>
    <row r="1831">
      <c r="A1831" s="5">
        <v>1807</v>
      </c>
      <c r="B1831" s="5" t="str">
        <f>SMALL('Lineal Mixto'!$C$5:$C$2004,A1831)</f>
      </c>
      <c r="C1831" s="5" t="str">
        <f>A1831/COUNT('Lineal Mixto'!$C$5:$C$2004)</f>
      </c>
      <c r="D1831" s="5" t="str">
        <f>ABS(C1831-B1831)</f>
      </c>
    </row>
    <row r="1832">
      <c r="A1832" s="6">
        <v>1808</v>
      </c>
      <c r="B1832" s="6" t="str">
        <f>SMALL('Lineal Mixto'!$C$5:$C$2004,A1832)</f>
      </c>
      <c r="C1832" s="6" t="str">
        <f>A1832/COUNT('Lineal Mixto'!$C$5:$C$2004)</f>
      </c>
      <c r="D1832" s="6" t="str">
        <f>ABS(C1832-B1832)</f>
      </c>
    </row>
    <row r="1833">
      <c r="A1833" s="5">
        <v>1809</v>
      </c>
      <c r="B1833" s="5" t="str">
        <f>SMALL('Lineal Mixto'!$C$5:$C$2004,A1833)</f>
      </c>
      <c r="C1833" s="5" t="str">
        <f>A1833/COUNT('Lineal Mixto'!$C$5:$C$2004)</f>
      </c>
      <c r="D1833" s="5" t="str">
        <f>ABS(C1833-B1833)</f>
      </c>
    </row>
    <row r="1834">
      <c r="A1834" s="6">
        <v>1810</v>
      </c>
      <c r="B1834" s="6" t="str">
        <f>SMALL('Lineal Mixto'!$C$5:$C$2004,A1834)</f>
      </c>
      <c r="C1834" s="6" t="str">
        <f>A1834/COUNT('Lineal Mixto'!$C$5:$C$2004)</f>
      </c>
      <c r="D1834" s="6" t="str">
        <f>ABS(C1834-B1834)</f>
      </c>
    </row>
    <row r="1835">
      <c r="A1835" s="5">
        <v>1811</v>
      </c>
      <c r="B1835" s="5" t="str">
        <f>SMALL('Lineal Mixto'!$C$5:$C$2004,A1835)</f>
      </c>
      <c r="C1835" s="5" t="str">
        <f>A1835/COUNT('Lineal Mixto'!$C$5:$C$2004)</f>
      </c>
      <c r="D1835" s="5" t="str">
        <f>ABS(C1835-B1835)</f>
      </c>
    </row>
    <row r="1836">
      <c r="A1836" s="6">
        <v>1812</v>
      </c>
      <c r="B1836" s="6" t="str">
        <f>SMALL('Lineal Mixto'!$C$5:$C$2004,A1836)</f>
      </c>
      <c r="C1836" s="6" t="str">
        <f>A1836/COUNT('Lineal Mixto'!$C$5:$C$2004)</f>
      </c>
      <c r="D1836" s="6" t="str">
        <f>ABS(C1836-B1836)</f>
      </c>
    </row>
    <row r="1837">
      <c r="A1837" s="5">
        <v>1813</v>
      </c>
      <c r="B1837" s="5" t="str">
        <f>SMALL('Lineal Mixto'!$C$5:$C$2004,A1837)</f>
      </c>
      <c r="C1837" s="5" t="str">
        <f>A1837/COUNT('Lineal Mixto'!$C$5:$C$2004)</f>
      </c>
      <c r="D1837" s="5" t="str">
        <f>ABS(C1837-B1837)</f>
      </c>
    </row>
    <row r="1838">
      <c r="A1838" s="6">
        <v>1814</v>
      </c>
      <c r="B1838" s="6" t="str">
        <f>SMALL('Lineal Mixto'!$C$5:$C$2004,A1838)</f>
      </c>
      <c r="C1838" s="6" t="str">
        <f>A1838/COUNT('Lineal Mixto'!$C$5:$C$2004)</f>
      </c>
      <c r="D1838" s="6" t="str">
        <f>ABS(C1838-B1838)</f>
      </c>
    </row>
    <row r="1839">
      <c r="A1839" s="5">
        <v>1815</v>
      </c>
      <c r="B1839" s="5" t="str">
        <f>SMALL('Lineal Mixto'!$C$5:$C$2004,A1839)</f>
      </c>
      <c r="C1839" s="5" t="str">
        <f>A1839/COUNT('Lineal Mixto'!$C$5:$C$2004)</f>
      </c>
      <c r="D1839" s="5" t="str">
        <f>ABS(C1839-B1839)</f>
      </c>
    </row>
    <row r="1840">
      <c r="A1840" s="6">
        <v>1816</v>
      </c>
      <c r="B1840" s="6" t="str">
        <f>SMALL('Lineal Mixto'!$C$5:$C$2004,A1840)</f>
      </c>
      <c r="C1840" s="6" t="str">
        <f>A1840/COUNT('Lineal Mixto'!$C$5:$C$2004)</f>
      </c>
      <c r="D1840" s="6" t="str">
        <f>ABS(C1840-B1840)</f>
      </c>
    </row>
    <row r="1841">
      <c r="A1841" s="5">
        <v>1817</v>
      </c>
      <c r="B1841" s="5" t="str">
        <f>SMALL('Lineal Mixto'!$C$5:$C$2004,A1841)</f>
      </c>
      <c r="C1841" s="5" t="str">
        <f>A1841/COUNT('Lineal Mixto'!$C$5:$C$2004)</f>
      </c>
      <c r="D1841" s="5" t="str">
        <f>ABS(C1841-B1841)</f>
      </c>
    </row>
    <row r="1842">
      <c r="A1842" s="6">
        <v>1818</v>
      </c>
      <c r="B1842" s="6" t="str">
        <f>SMALL('Lineal Mixto'!$C$5:$C$2004,A1842)</f>
      </c>
      <c r="C1842" s="6" t="str">
        <f>A1842/COUNT('Lineal Mixto'!$C$5:$C$2004)</f>
      </c>
      <c r="D1842" s="6" t="str">
        <f>ABS(C1842-B1842)</f>
      </c>
    </row>
    <row r="1843">
      <c r="A1843" s="5">
        <v>1819</v>
      </c>
      <c r="B1843" s="5" t="str">
        <f>SMALL('Lineal Mixto'!$C$5:$C$2004,A1843)</f>
      </c>
      <c r="C1843" s="5" t="str">
        <f>A1843/COUNT('Lineal Mixto'!$C$5:$C$2004)</f>
      </c>
      <c r="D1843" s="5" t="str">
        <f>ABS(C1843-B1843)</f>
      </c>
    </row>
    <row r="1844">
      <c r="A1844" s="6">
        <v>1820</v>
      </c>
      <c r="B1844" s="6" t="str">
        <f>SMALL('Lineal Mixto'!$C$5:$C$2004,A1844)</f>
      </c>
      <c r="C1844" s="6" t="str">
        <f>A1844/COUNT('Lineal Mixto'!$C$5:$C$2004)</f>
      </c>
      <c r="D1844" s="6" t="str">
        <f>ABS(C1844-B1844)</f>
      </c>
    </row>
    <row r="1845">
      <c r="A1845" s="5">
        <v>1821</v>
      </c>
      <c r="B1845" s="5" t="str">
        <f>SMALL('Lineal Mixto'!$C$5:$C$2004,A1845)</f>
      </c>
      <c r="C1845" s="5" t="str">
        <f>A1845/COUNT('Lineal Mixto'!$C$5:$C$2004)</f>
      </c>
      <c r="D1845" s="5" t="str">
        <f>ABS(C1845-B1845)</f>
      </c>
    </row>
    <row r="1846">
      <c r="A1846" s="6">
        <v>1822</v>
      </c>
      <c r="B1846" s="6" t="str">
        <f>SMALL('Lineal Mixto'!$C$5:$C$2004,A1846)</f>
      </c>
      <c r="C1846" s="6" t="str">
        <f>A1846/COUNT('Lineal Mixto'!$C$5:$C$2004)</f>
      </c>
      <c r="D1846" s="6" t="str">
        <f>ABS(C1846-B1846)</f>
      </c>
    </row>
    <row r="1847">
      <c r="A1847" s="5">
        <v>1823</v>
      </c>
      <c r="B1847" s="5" t="str">
        <f>SMALL('Lineal Mixto'!$C$5:$C$2004,A1847)</f>
      </c>
      <c r="C1847" s="5" t="str">
        <f>A1847/COUNT('Lineal Mixto'!$C$5:$C$2004)</f>
      </c>
      <c r="D1847" s="5" t="str">
        <f>ABS(C1847-B1847)</f>
      </c>
    </row>
    <row r="1848">
      <c r="A1848" s="6">
        <v>1824</v>
      </c>
      <c r="B1848" s="6" t="str">
        <f>SMALL('Lineal Mixto'!$C$5:$C$2004,A1848)</f>
      </c>
      <c r="C1848" s="6" t="str">
        <f>A1848/COUNT('Lineal Mixto'!$C$5:$C$2004)</f>
      </c>
      <c r="D1848" s="6" t="str">
        <f>ABS(C1848-B1848)</f>
      </c>
    </row>
    <row r="1849">
      <c r="A1849" s="5">
        <v>1825</v>
      </c>
      <c r="B1849" s="5" t="str">
        <f>SMALL('Lineal Mixto'!$C$5:$C$2004,A1849)</f>
      </c>
      <c r="C1849" s="5" t="str">
        <f>A1849/COUNT('Lineal Mixto'!$C$5:$C$2004)</f>
      </c>
      <c r="D1849" s="5" t="str">
        <f>ABS(C1849-B1849)</f>
      </c>
    </row>
    <row r="1850">
      <c r="A1850" s="6">
        <v>1826</v>
      </c>
      <c r="B1850" s="6" t="str">
        <f>SMALL('Lineal Mixto'!$C$5:$C$2004,A1850)</f>
      </c>
      <c r="C1850" s="6" t="str">
        <f>A1850/COUNT('Lineal Mixto'!$C$5:$C$2004)</f>
      </c>
      <c r="D1850" s="6" t="str">
        <f>ABS(C1850-B1850)</f>
      </c>
    </row>
    <row r="1851">
      <c r="A1851" s="5">
        <v>1827</v>
      </c>
      <c r="B1851" s="5" t="str">
        <f>SMALL('Lineal Mixto'!$C$5:$C$2004,A1851)</f>
      </c>
      <c r="C1851" s="5" t="str">
        <f>A1851/COUNT('Lineal Mixto'!$C$5:$C$2004)</f>
      </c>
      <c r="D1851" s="5" t="str">
        <f>ABS(C1851-B1851)</f>
      </c>
    </row>
    <row r="1852">
      <c r="A1852" s="6">
        <v>1828</v>
      </c>
      <c r="B1852" s="6" t="str">
        <f>SMALL('Lineal Mixto'!$C$5:$C$2004,A1852)</f>
      </c>
      <c r="C1852" s="6" t="str">
        <f>A1852/COUNT('Lineal Mixto'!$C$5:$C$2004)</f>
      </c>
      <c r="D1852" s="6" t="str">
        <f>ABS(C1852-B1852)</f>
      </c>
    </row>
    <row r="1853">
      <c r="A1853" s="5">
        <v>1829</v>
      </c>
      <c r="B1853" s="5" t="str">
        <f>SMALL('Lineal Mixto'!$C$5:$C$2004,A1853)</f>
      </c>
      <c r="C1853" s="5" t="str">
        <f>A1853/COUNT('Lineal Mixto'!$C$5:$C$2004)</f>
      </c>
      <c r="D1853" s="5" t="str">
        <f>ABS(C1853-B1853)</f>
      </c>
    </row>
    <row r="1854">
      <c r="A1854" s="6">
        <v>1830</v>
      </c>
      <c r="B1854" s="6" t="str">
        <f>SMALL('Lineal Mixto'!$C$5:$C$2004,A1854)</f>
      </c>
      <c r="C1854" s="6" t="str">
        <f>A1854/COUNT('Lineal Mixto'!$C$5:$C$2004)</f>
      </c>
      <c r="D1854" s="6" t="str">
        <f>ABS(C1854-B1854)</f>
      </c>
    </row>
    <row r="1855">
      <c r="A1855" s="5">
        <v>1831</v>
      </c>
      <c r="B1855" s="5" t="str">
        <f>SMALL('Lineal Mixto'!$C$5:$C$2004,A1855)</f>
      </c>
      <c r="C1855" s="5" t="str">
        <f>A1855/COUNT('Lineal Mixto'!$C$5:$C$2004)</f>
      </c>
      <c r="D1855" s="5" t="str">
        <f>ABS(C1855-B1855)</f>
      </c>
    </row>
    <row r="1856">
      <c r="A1856" s="6">
        <v>1832</v>
      </c>
      <c r="B1856" s="6" t="str">
        <f>SMALL('Lineal Mixto'!$C$5:$C$2004,A1856)</f>
      </c>
      <c r="C1856" s="6" t="str">
        <f>A1856/COUNT('Lineal Mixto'!$C$5:$C$2004)</f>
      </c>
      <c r="D1856" s="6" t="str">
        <f>ABS(C1856-B1856)</f>
      </c>
    </row>
    <row r="1857">
      <c r="A1857" s="5">
        <v>1833</v>
      </c>
      <c r="B1857" s="5" t="str">
        <f>SMALL('Lineal Mixto'!$C$5:$C$2004,A1857)</f>
      </c>
      <c r="C1857" s="5" t="str">
        <f>A1857/COUNT('Lineal Mixto'!$C$5:$C$2004)</f>
      </c>
      <c r="D1857" s="5" t="str">
        <f>ABS(C1857-B1857)</f>
      </c>
    </row>
    <row r="1858">
      <c r="A1858" s="6">
        <v>1834</v>
      </c>
      <c r="B1858" s="6" t="str">
        <f>SMALL('Lineal Mixto'!$C$5:$C$2004,A1858)</f>
      </c>
      <c r="C1858" s="6" t="str">
        <f>A1858/COUNT('Lineal Mixto'!$C$5:$C$2004)</f>
      </c>
      <c r="D1858" s="6" t="str">
        <f>ABS(C1858-B1858)</f>
      </c>
    </row>
    <row r="1859">
      <c r="A1859" s="5">
        <v>1835</v>
      </c>
      <c r="B1859" s="5" t="str">
        <f>SMALL('Lineal Mixto'!$C$5:$C$2004,A1859)</f>
      </c>
      <c r="C1859" s="5" t="str">
        <f>A1859/COUNT('Lineal Mixto'!$C$5:$C$2004)</f>
      </c>
      <c r="D1859" s="5" t="str">
        <f>ABS(C1859-B1859)</f>
      </c>
    </row>
    <row r="1860">
      <c r="A1860" s="6">
        <v>1836</v>
      </c>
      <c r="B1860" s="6" t="str">
        <f>SMALL('Lineal Mixto'!$C$5:$C$2004,A1860)</f>
      </c>
      <c r="C1860" s="6" t="str">
        <f>A1860/COUNT('Lineal Mixto'!$C$5:$C$2004)</f>
      </c>
      <c r="D1860" s="6" t="str">
        <f>ABS(C1860-B1860)</f>
      </c>
    </row>
    <row r="1861">
      <c r="A1861" s="5">
        <v>1837</v>
      </c>
      <c r="B1861" s="5" t="str">
        <f>SMALL('Lineal Mixto'!$C$5:$C$2004,A1861)</f>
      </c>
      <c r="C1861" s="5" t="str">
        <f>A1861/COUNT('Lineal Mixto'!$C$5:$C$2004)</f>
      </c>
      <c r="D1861" s="5" t="str">
        <f>ABS(C1861-B1861)</f>
      </c>
    </row>
    <row r="1862">
      <c r="A1862" s="6">
        <v>1838</v>
      </c>
      <c r="B1862" s="6" t="str">
        <f>SMALL('Lineal Mixto'!$C$5:$C$2004,A1862)</f>
      </c>
      <c r="C1862" s="6" t="str">
        <f>A1862/COUNT('Lineal Mixto'!$C$5:$C$2004)</f>
      </c>
      <c r="D1862" s="6" t="str">
        <f>ABS(C1862-B1862)</f>
      </c>
    </row>
    <row r="1863">
      <c r="A1863" s="5">
        <v>1839</v>
      </c>
      <c r="B1863" s="5" t="str">
        <f>SMALL('Lineal Mixto'!$C$5:$C$2004,A1863)</f>
      </c>
      <c r="C1863" s="5" t="str">
        <f>A1863/COUNT('Lineal Mixto'!$C$5:$C$2004)</f>
      </c>
      <c r="D1863" s="5" t="str">
        <f>ABS(C1863-B1863)</f>
      </c>
    </row>
    <row r="1864">
      <c r="A1864" s="6">
        <v>1840</v>
      </c>
      <c r="B1864" s="6" t="str">
        <f>SMALL('Lineal Mixto'!$C$5:$C$2004,A1864)</f>
      </c>
      <c r="C1864" s="6" t="str">
        <f>A1864/COUNT('Lineal Mixto'!$C$5:$C$2004)</f>
      </c>
      <c r="D1864" s="6" t="str">
        <f>ABS(C1864-B1864)</f>
      </c>
    </row>
    <row r="1865">
      <c r="A1865" s="5">
        <v>1841</v>
      </c>
      <c r="B1865" s="5" t="str">
        <f>SMALL('Lineal Mixto'!$C$5:$C$2004,A1865)</f>
      </c>
      <c r="C1865" s="5" t="str">
        <f>A1865/COUNT('Lineal Mixto'!$C$5:$C$2004)</f>
      </c>
      <c r="D1865" s="5" t="str">
        <f>ABS(C1865-B1865)</f>
      </c>
    </row>
    <row r="1866">
      <c r="A1866" s="6">
        <v>1842</v>
      </c>
      <c r="B1866" s="6" t="str">
        <f>SMALL('Lineal Mixto'!$C$5:$C$2004,A1866)</f>
      </c>
      <c r="C1866" s="6" t="str">
        <f>A1866/COUNT('Lineal Mixto'!$C$5:$C$2004)</f>
      </c>
      <c r="D1866" s="6" t="str">
        <f>ABS(C1866-B1866)</f>
      </c>
    </row>
    <row r="1867">
      <c r="A1867" s="5">
        <v>1843</v>
      </c>
      <c r="B1867" s="5" t="str">
        <f>SMALL('Lineal Mixto'!$C$5:$C$2004,A1867)</f>
      </c>
      <c r="C1867" s="5" t="str">
        <f>A1867/COUNT('Lineal Mixto'!$C$5:$C$2004)</f>
      </c>
      <c r="D1867" s="5" t="str">
        <f>ABS(C1867-B1867)</f>
      </c>
    </row>
    <row r="1868">
      <c r="A1868" s="6">
        <v>1844</v>
      </c>
      <c r="B1868" s="6" t="str">
        <f>SMALL('Lineal Mixto'!$C$5:$C$2004,A1868)</f>
      </c>
      <c r="C1868" s="6" t="str">
        <f>A1868/COUNT('Lineal Mixto'!$C$5:$C$2004)</f>
      </c>
      <c r="D1868" s="6" t="str">
        <f>ABS(C1868-B1868)</f>
      </c>
    </row>
    <row r="1869">
      <c r="A1869" s="5">
        <v>1845</v>
      </c>
      <c r="B1869" s="5" t="str">
        <f>SMALL('Lineal Mixto'!$C$5:$C$2004,A1869)</f>
      </c>
      <c r="C1869" s="5" t="str">
        <f>A1869/COUNT('Lineal Mixto'!$C$5:$C$2004)</f>
      </c>
      <c r="D1869" s="5" t="str">
        <f>ABS(C1869-B1869)</f>
      </c>
    </row>
    <row r="1870">
      <c r="A1870" s="6">
        <v>1846</v>
      </c>
      <c r="B1870" s="6" t="str">
        <f>SMALL('Lineal Mixto'!$C$5:$C$2004,A1870)</f>
      </c>
      <c r="C1870" s="6" t="str">
        <f>A1870/COUNT('Lineal Mixto'!$C$5:$C$2004)</f>
      </c>
      <c r="D1870" s="6" t="str">
        <f>ABS(C1870-B1870)</f>
      </c>
    </row>
    <row r="1871">
      <c r="A1871" s="5">
        <v>1847</v>
      </c>
      <c r="B1871" s="5" t="str">
        <f>SMALL('Lineal Mixto'!$C$5:$C$2004,A1871)</f>
      </c>
      <c r="C1871" s="5" t="str">
        <f>A1871/COUNT('Lineal Mixto'!$C$5:$C$2004)</f>
      </c>
      <c r="D1871" s="5" t="str">
        <f>ABS(C1871-B1871)</f>
      </c>
    </row>
    <row r="1872">
      <c r="A1872" s="6">
        <v>1848</v>
      </c>
      <c r="B1872" s="6" t="str">
        <f>SMALL('Lineal Mixto'!$C$5:$C$2004,A1872)</f>
      </c>
      <c r="C1872" s="6" t="str">
        <f>A1872/COUNT('Lineal Mixto'!$C$5:$C$2004)</f>
      </c>
      <c r="D1872" s="6" t="str">
        <f>ABS(C1872-B1872)</f>
      </c>
    </row>
    <row r="1873">
      <c r="A1873" s="5">
        <v>1849</v>
      </c>
      <c r="B1873" s="5" t="str">
        <f>SMALL('Lineal Mixto'!$C$5:$C$2004,A1873)</f>
      </c>
      <c r="C1873" s="5" t="str">
        <f>A1873/COUNT('Lineal Mixto'!$C$5:$C$2004)</f>
      </c>
      <c r="D1873" s="5" t="str">
        <f>ABS(C1873-B1873)</f>
      </c>
    </row>
    <row r="1874">
      <c r="A1874" s="6">
        <v>1850</v>
      </c>
      <c r="B1874" s="6" t="str">
        <f>SMALL('Lineal Mixto'!$C$5:$C$2004,A1874)</f>
      </c>
      <c r="C1874" s="6" t="str">
        <f>A1874/COUNT('Lineal Mixto'!$C$5:$C$2004)</f>
      </c>
      <c r="D1874" s="6" t="str">
        <f>ABS(C1874-B1874)</f>
      </c>
    </row>
    <row r="1875">
      <c r="A1875" s="5">
        <v>1851</v>
      </c>
      <c r="B1875" s="5" t="str">
        <f>SMALL('Lineal Mixto'!$C$5:$C$2004,A1875)</f>
      </c>
      <c r="C1875" s="5" t="str">
        <f>A1875/COUNT('Lineal Mixto'!$C$5:$C$2004)</f>
      </c>
      <c r="D1875" s="5" t="str">
        <f>ABS(C1875-B1875)</f>
      </c>
    </row>
    <row r="1876">
      <c r="A1876" s="6">
        <v>1852</v>
      </c>
      <c r="B1876" s="6" t="str">
        <f>SMALL('Lineal Mixto'!$C$5:$C$2004,A1876)</f>
      </c>
      <c r="C1876" s="6" t="str">
        <f>A1876/COUNT('Lineal Mixto'!$C$5:$C$2004)</f>
      </c>
      <c r="D1876" s="6" t="str">
        <f>ABS(C1876-B1876)</f>
      </c>
    </row>
    <row r="1877">
      <c r="A1877" s="5">
        <v>1853</v>
      </c>
      <c r="B1877" s="5" t="str">
        <f>SMALL('Lineal Mixto'!$C$5:$C$2004,A1877)</f>
      </c>
      <c r="C1877" s="5" t="str">
        <f>A1877/COUNT('Lineal Mixto'!$C$5:$C$2004)</f>
      </c>
      <c r="D1877" s="5" t="str">
        <f>ABS(C1877-B1877)</f>
      </c>
    </row>
    <row r="1878">
      <c r="A1878" s="6">
        <v>1854</v>
      </c>
      <c r="B1878" s="6" t="str">
        <f>SMALL('Lineal Mixto'!$C$5:$C$2004,A1878)</f>
      </c>
      <c r="C1878" s="6" t="str">
        <f>A1878/COUNT('Lineal Mixto'!$C$5:$C$2004)</f>
      </c>
      <c r="D1878" s="6" t="str">
        <f>ABS(C1878-B1878)</f>
      </c>
    </row>
    <row r="1879">
      <c r="A1879" s="5">
        <v>1855</v>
      </c>
      <c r="B1879" s="5" t="str">
        <f>SMALL('Lineal Mixto'!$C$5:$C$2004,A1879)</f>
      </c>
      <c r="C1879" s="5" t="str">
        <f>A1879/COUNT('Lineal Mixto'!$C$5:$C$2004)</f>
      </c>
      <c r="D1879" s="5" t="str">
        <f>ABS(C1879-B1879)</f>
      </c>
    </row>
    <row r="1880">
      <c r="A1880" s="6">
        <v>1856</v>
      </c>
      <c r="B1880" s="6" t="str">
        <f>SMALL('Lineal Mixto'!$C$5:$C$2004,A1880)</f>
      </c>
      <c r="C1880" s="6" t="str">
        <f>A1880/COUNT('Lineal Mixto'!$C$5:$C$2004)</f>
      </c>
      <c r="D1880" s="6" t="str">
        <f>ABS(C1880-B1880)</f>
      </c>
    </row>
    <row r="1881">
      <c r="A1881" s="5">
        <v>1857</v>
      </c>
      <c r="B1881" s="5" t="str">
        <f>SMALL('Lineal Mixto'!$C$5:$C$2004,A1881)</f>
      </c>
      <c r="C1881" s="5" t="str">
        <f>A1881/COUNT('Lineal Mixto'!$C$5:$C$2004)</f>
      </c>
      <c r="D1881" s="5" t="str">
        <f>ABS(C1881-B1881)</f>
      </c>
    </row>
    <row r="1882">
      <c r="A1882" s="6">
        <v>1858</v>
      </c>
      <c r="B1882" s="6" t="str">
        <f>SMALL('Lineal Mixto'!$C$5:$C$2004,A1882)</f>
      </c>
      <c r="C1882" s="6" t="str">
        <f>A1882/COUNT('Lineal Mixto'!$C$5:$C$2004)</f>
      </c>
      <c r="D1882" s="6" t="str">
        <f>ABS(C1882-B1882)</f>
      </c>
    </row>
    <row r="1883">
      <c r="A1883" s="5">
        <v>1859</v>
      </c>
      <c r="B1883" s="5" t="str">
        <f>SMALL('Lineal Mixto'!$C$5:$C$2004,A1883)</f>
      </c>
      <c r="C1883" s="5" t="str">
        <f>A1883/COUNT('Lineal Mixto'!$C$5:$C$2004)</f>
      </c>
      <c r="D1883" s="5" t="str">
        <f>ABS(C1883-B1883)</f>
      </c>
    </row>
    <row r="1884">
      <c r="A1884" s="6">
        <v>1860</v>
      </c>
      <c r="B1884" s="6" t="str">
        <f>SMALL('Lineal Mixto'!$C$5:$C$2004,A1884)</f>
      </c>
      <c r="C1884" s="6" t="str">
        <f>A1884/COUNT('Lineal Mixto'!$C$5:$C$2004)</f>
      </c>
      <c r="D1884" s="6" t="str">
        <f>ABS(C1884-B1884)</f>
      </c>
    </row>
    <row r="1885">
      <c r="A1885" s="5">
        <v>1861</v>
      </c>
      <c r="B1885" s="5" t="str">
        <f>SMALL('Lineal Mixto'!$C$5:$C$2004,A1885)</f>
      </c>
      <c r="C1885" s="5" t="str">
        <f>A1885/COUNT('Lineal Mixto'!$C$5:$C$2004)</f>
      </c>
      <c r="D1885" s="5" t="str">
        <f>ABS(C1885-B1885)</f>
      </c>
    </row>
    <row r="1886">
      <c r="A1886" s="6">
        <v>1862</v>
      </c>
      <c r="B1886" s="6" t="str">
        <f>SMALL('Lineal Mixto'!$C$5:$C$2004,A1886)</f>
      </c>
      <c r="C1886" s="6" t="str">
        <f>A1886/COUNT('Lineal Mixto'!$C$5:$C$2004)</f>
      </c>
      <c r="D1886" s="6" t="str">
        <f>ABS(C1886-B1886)</f>
      </c>
    </row>
    <row r="1887">
      <c r="A1887" s="5">
        <v>1863</v>
      </c>
      <c r="B1887" s="5" t="str">
        <f>SMALL('Lineal Mixto'!$C$5:$C$2004,A1887)</f>
      </c>
      <c r="C1887" s="5" t="str">
        <f>A1887/COUNT('Lineal Mixto'!$C$5:$C$2004)</f>
      </c>
      <c r="D1887" s="5" t="str">
        <f>ABS(C1887-B1887)</f>
      </c>
    </row>
    <row r="1888">
      <c r="A1888" s="6">
        <v>1864</v>
      </c>
      <c r="B1888" s="6" t="str">
        <f>SMALL('Lineal Mixto'!$C$5:$C$2004,A1888)</f>
      </c>
      <c r="C1888" s="6" t="str">
        <f>A1888/COUNT('Lineal Mixto'!$C$5:$C$2004)</f>
      </c>
      <c r="D1888" s="6" t="str">
        <f>ABS(C1888-B1888)</f>
      </c>
    </row>
    <row r="1889">
      <c r="A1889" s="5">
        <v>1865</v>
      </c>
      <c r="B1889" s="5" t="str">
        <f>SMALL('Lineal Mixto'!$C$5:$C$2004,A1889)</f>
      </c>
      <c r="C1889" s="5" t="str">
        <f>A1889/COUNT('Lineal Mixto'!$C$5:$C$2004)</f>
      </c>
      <c r="D1889" s="5" t="str">
        <f>ABS(C1889-B1889)</f>
      </c>
    </row>
    <row r="1890">
      <c r="A1890" s="6">
        <v>1866</v>
      </c>
      <c r="B1890" s="6" t="str">
        <f>SMALL('Lineal Mixto'!$C$5:$C$2004,A1890)</f>
      </c>
      <c r="C1890" s="6" t="str">
        <f>A1890/COUNT('Lineal Mixto'!$C$5:$C$2004)</f>
      </c>
      <c r="D1890" s="6" t="str">
        <f>ABS(C1890-B1890)</f>
      </c>
    </row>
    <row r="1891">
      <c r="A1891" s="5">
        <v>1867</v>
      </c>
      <c r="B1891" s="5" t="str">
        <f>SMALL('Lineal Mixto'!$C$5:$C$2004,A1891)</f>
      </c>
      <c r="C1891" s="5" t="str">
        <f>A1891/COUNT('Lineal Mixto'!$C$5:$C$2004)</f>
      </c>
      <c r="D1891" s="5" t="str">
        <f>ABS(C1891-B1891)</f>
      </c>
    </row>
    <row r="1892">
      <c r="A1892" s="6">
        <v>1868</v>
      </c>
      <c r="B1892" s="6" t="str">
        <f>SMALL('Lineal Mixto'!$C$5:$C$2004,A1892)</f>
      </c>
      <c r="C1892" s="6" t="str">
        <f>A1892/COUNT('Lineal Mixto'!$C$5:$C$2004)</f>
      </c>
      <c r="D1892" s="6" t="str">
        <f>ABS(C1892-B1892)</f>
      </c>
    </row>
    <row r="1893">
      <c r="A1893" s="5">
        <v>1869</v>
      </c>
      <c r="B1893" s="5" t="str">
        <f>SMALL('Lineal Mixto'!$C$5:$C$2004,A1893)</f>
      </c>
      <c r="C1893" s="5" t="str">
        <f>A1893/COUNT('Lineal Mixto'!$C$5:$C$2004)</f>
      </c>
      <c r="D1893" s="5" t="str">
        <f>ABS(C1893-B1893)</f>
      </c>
    </row>
    <row r="1894">
      <c r="A1894" s="6">
        <v>1870</v>
      </c>
      <c r="B1894" s="6" t="str">
        <f>SMALL('Lineal Mixto'!$C$5:$C$2004,A1894)</f>
      </c>
      <c r="C1894" s="6" t="str">
        <f>A1894/COUNT('Lineal Mixto'!$C$5:$C$2004)</f>
      </c>
      <c r="D1894" s="6" t="str">
        <f>ABS(C1894-B1894)</f>
      </c>
    </row>
    <row r="1895">
      <c r="A1895" s="5">
        <v>1871</v>
      </c>
      <c r="B1895" s="5" t="str">
        <f>SMALL('Lineal Mixto'!$C$5:$C$2004,A1895)</f>
      </c>
      <c r="C1895" s="5" t="str">
        <f>A1895/COUNT('Lineal Mixto'!$C$5:$C$2004)</f>
      </c>
      <c r="D1895" s="5" t="str">
        <f>ABS(C1895-B1895)</f>
      </c>
    </row>
    <row r="1896">
      <c r="A1896" s="6">
        <v>1872</v>
      </c>
      <c r="B1896" s="6" t="str">
        <f>SMALL('Lineal Mixto'!$C$5:$C$2004,A1896)</f>
      </c>
      <c r="C1896" s="6" t="str">
        <f>A1896/COUNT('Lineal Mixto'!$C$5:$C$2004)</f>
      </c>
      <c r="D1896" s="6" t="str">
        <f>ABS(C1896-B1896)</f>
      </c>
    </row>
    <row r="1897">
      <c r="A1897" s="5">
        <v>1873</v>
      </c>
      <c r="B1897" s="5" t="str">
        <f>SMALL('Lineal Mixto'!$C$5:$C$2004,A1897)</f>
      </c>
      <c r="C1897" s="5" t="str">
        <f>A1897/COUNT('Lineal Mixto'!$C$5:$C$2004)</f>
      </c>
      <c r="D1897" s="5" t="str">
        <f>ABS(C1897-B1897)</f>
      </c>
    </row>
    <row r="1898">
      <c r="A1898" s="6">
        <v>1874</v>
      </c>
      <c r="B1898" s="6" t="str">
        <f>SMALL('Lineal Mixto'!$C$5:$C$2004,A1898)</f>
      </c>
      <c r="C1898" s="6" t="str">
        <f>A1898/COUNT('Lineal Mixto'!$C$5:$C$2004)</f>
      </c>
      <c r="D1898" s="6" t="str">
        <f>ABS(C1898-B1898)</f>
      </c>
    </row>
    <row r="1899">
      <c r="A1899" s="5">
        <v>1875</v>
      </c>
      <c r="B1899" s="5" t="str">
        <f>SMALL('Lineal Mixto'!$C$5:$C$2004,A1899)</f>
      </c>
      <c r="C1899" s="5" t="str">
        <f>A1899/COUNT('Lineal Mixto'!$C$5:$C$2004)</f>
      </c>
      <c r="D1899" s="5" t="str">
        <f>ABS(C1899-B1899)</f>
      </c>
    </row>
    <row r="1900">
      <c r="A1900" s="6">
        <v>1876</v>
      </c>
      <c r="B1900" s="6" t="str">
        <f>SMALL('Lineal Mixto'!$C$5:$C$2004,A1900)</f>
      </c>
      <c r="C1900" s="6" t="str">
        <f>A1900/COUNT('Lineal Mixto'!$C$5:$C$2004)</f>
      </c>
      <c r="D1900" s="6" t="str">
        <f>ABS(C1900-B1900)</f>
      </c>
    </row>
    <row r="1901">
      <c r="A1901" s="5">
        <v>1877</v>
      </c>
      <c r="B1901" s="5" t="str">
        <f>SMALL('Lineal Mixto'!$C$5:$C$2004,A1901)</f>
      </c>
      <c r="C1901" s="5" t="str">
        <f>A1901/COUNT('Lineal Mixto'!$C$5:$C$2004)</f>
      </c>
      <c r="D1901" s="5" t="str">
        <f>ABS(C1901-B1901)</f>
      </c>
    </row>
    <row r="1902">
      <c r="A1902" s="6">
        <v>1878</v>
      </c>
      <c r="B1902" s="6" t="str">
        <f>SMALL('Lineal Mixto'!$C$5:$C$2004,A1902)</f>
      </c>
      <c r="C1902" s="6" t="str">
        <f>A1902/COUNT('Lineal Mixto'!$C$5:$C$2004)</f>
      </c>
      <c r="D1902" s="6" t="str">
        <f>ABS(C1902-B1902)</f>
      </c>
    </row>
    <row r="1903">
      <c r="A1903" s="5">
        <v>1879</v>
      </c>
      <c r="B1903" s="5" t="str">
        <f>SMALL('Lineal Mixto'!$C$5:$C$2004,A1903)</f>
      </c>
      <c r="C1903" s="5" t="str">
        <f>A1903/COUNT('Lineal Mixto'!$C$5:$C$2004)</f>
      </c>
      <c r="D1903" s="5" t="str">
        <f>ABS(C1903-B1903)</f>
      </c>
    </row>
    <row r="1904">
      <c r="A1904" s="6">
        <v>1880</v>
      </c>
      <c r="B1904" s="6" t="str">
        <f>SMALL('Lineal Mixto'!$C$5:$C$2004,A1904)</f>
      </c>
      <c r="C1904" s="6" t="str">
        <f>A1904/COUNT('Lineal Mixto'!$C$5:$C$2004)</f>
      </c>
      <c r="D1904" s="6" t="str">
        <f>ABS(C1904-B1904)</f>
      </c>
    </row>
    <row r="1905">
      <c r="A1905" s="5">
        <v>1881</v>
      </c>
      <c r="B1905" s="5" t="str">
        <f>SMALL('Lineal Mixto'!$C$5:$C$2004,A1905)</f>
      </c>
      <c r="C1905" s="5" t="str">
        <f>A1905/COUNT('Lineal Mixto'!$C$5:$C$2004)</f>
      </c>
      <c r="D1905" s="5" t="str">
        <f>ABS(C1905-B1905)</f>
      </c>
    </row>
    <row r="1906">
      <c r="A1906" s="6">
        <v>1882</v>
      </c>
      <c r="B1906" s="6" t="str">
        <f>SMALL('Lineal Mixto'!$C$5:$C$2004,A1906)</f>
      </c>
      <c r="C1906" s="6" t="str">
        <f>A1906/COUNT('Lineal Mixto'!$C$5:$C$2004)</f>
      </c>
      <c r="D1906" s="6" t="str">
        <f>ABS(C1906-B1906)</f>
      </c>
    </row>
    <row r="1907">
      <c r="A1907" s="5">
        <v>1883</v>
      </c>
      <c r="B1907" s="5" t="str">
        <f>SMALL('Lineal Mixto'!$C$5:$C$2004,A1907)</f>
      </c>
      <c r="C1907" s="5" t="str">
        <f>A1907/COUNT('Lineal Mixto'!$C$5:$C$2004)</f>
      </c>
      <c r="D1907" s="5" t="str">
        <f>ABS(C1907-B1907)</f>
      </c>
    </row>
    <row r="1908">
      <c r="A1908" s="6">
        <v>1884</v>
      </c>
      <c r="B1908" s="6" t="str">
        <f>SMALL('Lineal Mixto'!$C$5:$C$2004,A1908)</f>
      </c>
      <c r="C1908" s="6" t="str">
        <f>A1908/COUNT('Lineal Mixto'!$C$5:$C$2004)</f>
      </c>
      <c r="D1908" s="6" t="str">
        <f>ABS(C1908-B1908)</f>
      </c>
    </row>
    <row r="1909">
      <c r="A1909" s="5">
        <v>1885</v>
      </c>
      <c r="B1909" s="5" t="str">
        <f>SMALL('Lineal Mixto'!$C$5:$C$2004,A1909)</f>
      </c>
      <c r="C1909" s="5" t="str">
        <f>A1909/COUNT('Lineal Mixto'!$C$5:$C$2004)</f>
      </c>
      <c r="D1909" s="5" t="str">
        <f>ABS(C1909-B1909)</f>
      </c>
    </row>
    <row r="1910">
      <c r="A1910" s="6">
        <v>1886</v>
      </c>
      <c r="B1910" s="6" t="str">
        <f>SMALL('Lineal Mixto'!$C$5:$C$2004,A1910)</f>
      </c>
      <c r="C1910" s="6" t="str">
        <f>A1910/COUNT('Lineal Mixto'!$C$5:$C$2004)</f>
      </c>
      <c r="D1910" s="6" t="str">
        <f>ABS(C1910-B1910)</f>
      </c>
    </row>
    <row r="1911">
      <c r="A1911" s="5">
        <v>1887</v>
      </c>
      <c r="B1911" s="5" t="str">
        <f>SMALL('Lineal Mixto'!$C$5:$C$2004,A1911)</f>
      </c>
      <c r="C1911" s="5" t="str">
        <f>A1911/COUNT('Lineal Mixto'!$C$5:$C$2004)</f>
      </c>
      <c r="D1911" s="5" t="str">
        <f>ABS(C1911-B1911)</f>
      </c>
    </row>
    <row r="1912">
      <c r="A1912" s="6">
        <v>1888</v>
      </c>
      <c r="B1912" s="6" t="str">
        <f>SMALL('Lineal Mixto'!$C$5:$C$2004,A1912)</f>
      </c>
      <c r="C1912" s="6" t="str">
        <f>A1912/COUNT('Lineal Mixto'!$C$5:$C$2004)</f>
      </c>
      <c r="D1912" s="6" t="str">
        <f>ABS(C1912-B1912)</f>
      </c>
    </row>
    <row r="1913">
      <c r="A1913" s="5">
        <v>1889</v>
      </c>
      <c r="B1913" s="5" t="str">
        <f>SMALL('Lineal Mixto'!$C$5:$C$2004,A1913)</f>
      </c>
      <c r="C1913" s="5" t="str">
        <f>A1913/COUNT('Lineal Mixto'!$C$5:$C$2004)</f>
      </c>
      <c r="D1913" s="5" t="str">
        <f>ABS(C1913-B1913)</f>
      </c>
    </row>
    <row r="1914">
      <c r="A1914" s="6">
        <v>1890</v>
      </c>
      <c r="B1914" s="6" t="str">
        <f>SMALL('Lineal Mixto'!$C$5:$C$2004,A1914)</f>
      </c>
      <c r="C1914" s="6" t="str">
        <f>A1914/COUNT('Lineal Mixto'!$C$5:$C$2004)</f>
      </c>
      <c r="D1914" s="6" t="str">
        <f>ABS(C1914-B1914)</f>
      </c>
    </row>
    <row r="1915">
      <c r="A1915" s="5">
        <v>1891</v>
      </c>
      <c r="B1915" s="5" t="str">
        <f>SMALL('Lineal Mixto'!$C$5:$C$2004,A1915)</f>
      </c>
      <c r="C1915" s="5" t="str">
        <f>A1915/COUNT('Lineal Mixto'!$C$5:$C$2004)</f>
      </c>
      <c r="D1915" s="5" t="str">
        <f>ABS(C1915-B1915)</f>
      </c>
    </row>
    <row r="1916">
      <c r="A1916" s="6">
        <v>1892</v>
      </c>
      <c r="B1916" s="6" t="str">
        <f>SMALL('Lineal Mixto'!$C$5:$C$2004,A1916)</f>
      </c>
      <c r="C1916" s="6" t="str">
        <f>A1916/COUNT('Lineal Mixto'!$C$5:$C$2004)</f>
      </c>
      <c r="D1916" s="6" t="str">
        <f>ABS(C1916-B1916)</f>
      </c>
    </row>
    <row r="1917">
      <c r="A1917" s="5">
        <v>1893</v>
      </c>
      <c r="B1917" s="5" t="str">
        <f>SMALL('Lineal Mixto'!$C$5:$C$2004,A1917)</f>
      </c>
      <c r="C1917" s="5" t="str">
        <f>A1917/COUNT('Lineal Mixto'!$C$5:$C$2004)</f>
      </c>
      <c r="D1917" s="5" t="str">
        <f>ABS(C1917-B1917)</f>
      </c>
    </row>
    <row r="1918">
      <c r="A1918" s="6">
        <v>1894</v>
      </c>
      <c r="B1918" s="6" t="str">
        <f>SMALL('Lineal Mixto'!$C$5:$C$2004,A1918)</f>
      </c>
      <c r="C1918" s="6" t="str">
        <f>A1918/COUNT('Lineal Mixto'!$C$5:$C$2004)</f>
      </c>
      <c r="D1918" s="6" t="str">
        <f>ABS(C1918-B1918)</f>
      </c>
    </row>
    <row r="1919">
      <c r="A1919" s="5">
        <v>1895</v>
      </c>
      <c r="B1919" s="5" t="str">
        <f>SMALL('Lineal Mixto'!$C$5:$C$2004,A1919)</f>
      </c>
      <c r="C1919" s="5" t="str">
        <f>A1919/COUNT('Lineal Mixto'!$C$5:$C$2004)</f>
      </c>
      <c r="D1919" s="5" t="str">
        <f>ABS(C1919-B1919)</f>
      </c>
    </row>
    <row r="1920">
      <c r="A1920" s="6">
        <v>1896</v>
      </c>
      <c r="B1920" s="6" t="str">
        <f>SMALL('Lineal Mixto'!$C$5:$C$2004,A1920)</f>
      </c>
      <c r="C1920" s="6" t="str">
        <f>A1920/COUNT('Lineal Mixto'!$C$5:$C$2004)</f>
      </c>
      <c r="D1920" s="6" t="str">
        <f>ABS(C1920-B1920)</f>
      </c>
    </row>
    <row r="1921">
      <c r="A1921" s="5">
        <v>1897</v>
      </c>
      <c r="B1921" s="5" t="str">
        <f>SMALL('Lineal Mixto'!$C$5:$C$2004,A1921)</f>
      </c>
      <c r="C1921" s="5" t="str">
        <f>A1921/COUNT('Lineal Mixto'!$C$5:$C$2004)</f>
      </c>
      <c r="D1921" s="5" t="str">
        <f>ABS(C1921-B1921)</f>
      </c>
    </row>
    <row r="1922">
      <c r="A1922" s="6">
        <v>1898</v>
      </c>
      <c r="B1922" s="6" t="str">
        <f>SMALL('Lineal Mixto'!$C$5:$C$2004,A1922)</f>
      </c>
      <c r="C1922" s="6" t="str">
        <f>A1922/COUNT('Lineal Mixto'!$C$5:$C$2004)</f>
      </c>
      <c r="D1922" s="6" t="str">
        <f>ABS(C1922-B1922)</f>
      </c>
    </row>
    <row r="1923">
      <c r="A1923" s="5">
        <v>1899</v>
      </c>
      <c r="B1923" s="5" t="str">
        <f>SMALL('Lineal Mixto'!$C$5:$C$2004,A1923)</f>
      </c>
      <c r="C1923" s="5" t="str">
        <f>A1923/COUNT('Lineal Mixto'!$C$5:$C$2004)</f>
      </c>
      <c r="D1923" s="5" t="str">
        <f>ABS(C1923-B1923)</f>
      </c>
    </row>
    <row r="1924">
      <c r="A1924" s="6">
        <v>1900</v>
      </c>
      <c r="B1924" s="6" t="str">
        <f>SMALL('Lineal Mixto'!$C$5:$C$2004,A1924)</f>
      </c>
      <c r="C1924" s="6" t="str">
        <f>A1924/COUNT('Lineal Mixto'!$C$5:$C$2004)</f>
      </c>
      <c r="D1924" s="6" t="str">
        <f>ABS(C1924-B1924)</f>
      </c>
    </row>
    <row r="1925">
      <c r="A1925" s="5">
        <v>1901</v>
      </c>
      <c r="B1925" s="5" t="str">
        <f>SMALL('Lineal Mixto'!$C$5:$C$2004,A1925)</f>
      </c>
      <c r="C1925" s="5" t="str">
        <f>A1925/COUNT('Lineal Mixto'!$C$5:$C$2004)</f>
      </c>
      <c r="D1925" s="5" t="str">
        <f>ABS(C1925-B1925)</f>
      </c>
    </row>
    <row r="1926">
      <c r="A1926" s="6">
        <v>1902</v>
      </c>
      <c r="B1926" s="6" t="str">
        <f>SMALL('Lineal Mixto'!$C$5:$C$2004,A1926)</f>
      </c>
      <c r="C1926" s="6" t="str">
        <f>A1926/COUNT('Lineal Mixto'!$C$5:$C$2004)</f>
      </c>
      <c r="D1926" s="6" t="str">
        <f>ABS(C1926-B1926)</f>
      </c>
    </row>
    <row r="1927">
      <c r="A1927" s="5">
        <v>1903</v>
      </c>
      <c r="B1927" s="5" t="str">
        <f>SMALL('Lineal Mixto'!$C$5:$C$2004,A1927)</f>
      </c>
      <c r="C1927" s="5" t="str">
        <f>A1927/COUNT('Lineal Mixto'!$C$5:$C$2004)</f>
      </c>
      <c r="D1927" s="5" t="str">
        <f>ABS(C1927-B1927)</f>
      </c>
    </row>
    <row r="1928">
      <c r="A1928" s="6">
        <v>1904</v>
      </c>
      <c r="B1928" s="6" t="str">
        <f>SMALL('Lineal Mixto'!$C$5:$C$2004,A1928)</f>
      </c>
      <c r="C1928" s="6" t="str">
        <f>A1928/COUNT('Lineal Mixto'!$C$5:$C$2004)</f>
      </c>
      <c r="D1928" s="6" t="str">
        <f>ABS(C1928-B1928)</f>
      </c>
    </row>
    <row r="1929">
      <c r="A1929" s="5">
        <v>1905</v>
      </c>
      <c r="B1929" s="5" t="str">
        <f>SMALL('Lineal Mixto'!$C$5:$C$2004,A1929)</f>
      </c>
      <c r="C1929" s="5" t="str">
        <f>A1929/COUNT('Lineal Mixto'!$C$5:$C$2004)</f>
      </c>
      <c r="D1929" s="5" t="str">
        <f>ABS(C1929-B1929)</f>
      </c>
    </row>
    <row r="1930">
      <c r="A1930" s="6">
        <v>1906</v>
      </c>
      <c r="B1930" s="6" t="str">
        <f>SMALL('Lineal Mixto'!$C$5:$C$2004,A1930)</f>
      </c>
      <c r="C1930" s="6" t="str">
        <f>A1930/COUNT('Lineal Mixto'!$C$5:$C$2004)</f>
      </c>
      <c r="D1930" s="6" t="str">
        <f>ABS(C1930-B1930)</f>
      </c>
    </row>
    <row r="1931">
      <c r="A1931" s="5">
        <v>1907</v>
      </c>
      <c r="B1931" s="5" t="str">
        <f>SMALL('Lineal Mixto'!$C$5:$C$2004,A1931)</f>
      </c>
      <c r="C1931" s="5" t="str">
        <f>A1931/COUNT('Lineal Mixto'!$C$5:$C$2004)</f>
      </c>
      <c r="D1931" s="5" t="str">
        <f>ABS(C1931-B1931)</f>
      </c>
    </row>
    <row r="1932">
      <c r="A1932" s="6">
        <v>1908</v>
      </c>
      <c r="B1932" s="6" t="str">
        <f>SMALL('Lineal Mixto'!$C$5:$C$2004,A1932)</f>
      </c>
      <c r="C1932" s="6" t="str">
        <f>A1932/COUNT('Lineal Mixto'!$C$5:$C$2004)</f>
      </c>
      <c r="D1932" s="6" t="str">
        <f>ABS(C1932-B1932)</f>
      </c>
    </row>
    <row r="1933">
      <c r="A1933" s="5">
        <v>1909</v>
      </c>
      <c r="B1933" s="5" t="str">
        <f>SMALL('Lineal Mixto'!$C$5:$C$2004,A1933)</f>
      </c>
      <c r="C1933" s="5" t="str">
        <f>A1933/COUNT('Lineal Mixto'!$C$5:$C$2004)</f>
      </c>
      <c r="D1933" s="5" t="str">
        <f>ABS(C1933-B1933)</f>
      </c>
    </row>
    <row r="1934">
      <c r="A1934" s="6">
        <v>1910</v>
      </c>
      <c r="B1934" s="6" t="str">
        <f>SMALL('Lineal Mixto'!$C$5:$C$2004,A1934)</f>
      </c>
      <c r="C1934" s="6" t="str">
        <f>A1934/COUNT('Lineal Mixto'!$C$5:$C$2004)</f>
      </c>
      <c r="D1934" s="6" t="str">
        <f>ABS(C1934-B1934)</f>
      </c>
    </row>
    <row r="1935">
      <c r="A1935" s="5">
        <v>1911</v>
      </c>
      <c r="B1935" s="5" t="str">
        <f>SMALL('Lineal Mixto'!$C$5:$C$2004,A1935)</f>
      </c>
      <c r="C1935" s="5" t="str">
        <f>A1935/COUNT('Lineal Mixto'!$C$5:$C$2004)</f>
      </c>
      <c r="D1935" s="5" t="str">
        <f>ABS(C1935-B1935)</f>
      </c>
    </row>
    <row r="1936">
      <c r="A1936" s="6">
        <v>1912</v>
      </c>
      <c r="B1936" s="6" t="str">
        <f>SMALL('Lineal Mixto'!$C$5:$C$2004,A1936)</f>
      </c>
      <c r="C1936" s="6" t="str">
        <f>A1936/COUNT('Lineal Mixto'!$C$5:$C$2004)</f>
      </c>
      <c r="D1936" s="6" t="str">
        <f>ABS(C1936-B1936)</f>
      </c>
    </row>
    <row r="1937">
      <c r="A1937" s="5">
        <v>1913</v>
      </c>
      <c r="B1937" s="5" t="str">
        <f>SMALL('Lineal Mixto'!$C$5:$C$2004,A1937)</f>
      </c>
      <c r="C1937" s="5" t="str">
        <f>A1937/COUNT('Lineal Mixto'!$C$5:$C$2004)</f>
      </c>
      <c r="D1937" s="5" t="str">
        <f>ABS(C1937-B1937)</f>
      </c>
    </row>
    <row r="1938">
      <c r="A1938" s="6">
        <v>1914</v>
      </c>
      <c r="B1938" s="6" t="str">
        <f>SMALL('Lineal Mixto'!$C$5:$C$2004,A1938)</f>
      </c>
      <c r="C1938" s="6" t="str">
        <f>A1938/COUNT('Lineal Mixto'!$C$5:$C$2004)</f>
      </c>
      <c r="D1938" s="6" t="str">
        <f>ABS(C1938-B1938)</f>
      </c>
    </row>
    <row r="1939">
      <c r="A1939" s="5">
        <v>1915</v>
      </c>
      <c r="B1939" s="5" t="str">
        <f>SMALL('Lineal Mixto'!$C$5:$C$2004,A1939)</f>
      </c>
      <c r="C1939" s="5" t="str">
        <f>A1939/COUNT('Lineal Mixto'!$C$5:$C$2004)</f>
      </c>
      <c r="D1939" s="5" t="str">
        <f>ABS(C1939-B1939)</f>
      </c>
    </row>
    <row r="1940">
      <c r="A1940" s="6">
        <v>1916</v>
      </c>
      <c r="B1940" s="6" t="str">
        <f>SMALL('Lineal Mixto'!$C$5:$C$2004,A1940)</f>
      </c>
      <c r="C1940" s="6" t="str">
        <f>A1940/COUNT('Lineal Mixto'!$C$5:$C$2004)</f>
      </c>
      <c r="D1940" s="6" t="str">
        <f>ABS(C1940-B1940)</f>
      </c>
    </row>
    <row r="1941">
      <c r="A1941" s="5">
        <v>1917</v>
      </c>
      <c r="B1941" s="5" t="str">
        <f>SMALL('Lineal Mixto'!$C$5:$C$2004,A1941)</f>
      </c>
      <c r="C1941" s="5" t="str">
        <f>A1941/COUNT('Lineal Mixto'!$C$5:$C$2004)</f>
      </c>
      <c r="D1941" s="5" t="str">
        <f>ABS(C1941-B1941)</f>
      </c>
    </row>
    <row r="1942">
      <c r="A1942" s="6">
        <v>1918</v>
      </c>
      <c r="B1942" s="6" t="str">
        <f>SMALL('Lineal Mixto'!$C$5:$C$2004,A1942)</f>
      </c>
      <c r="C1942" s="6" t="str">
        <f>A1942/COUNT('Lineal Mixto'!$C$5:$C$2004)</f>
      </c>
      <c r="D1942" s="6" t="str">
        <f>ABS(C1942-B1942)</f>
      </c>
    </row>
    <row r="1943">
      <c r="A1943" s="5">
        <v>1919</v>
      </c>
      <c r="B1943" s="5" t="str">
        <f>SMALL('Lineal Mixto'!$C$5:$C$2004,A1943)</f>
      </c>
      <c r="C1943" s="5" t="str">
        <f>A1943/COUNT('Lineal Mixto'!$C$5:$C$2004)</f>
      </c>
      <c r="D1943" s="5" t="str">
        <f>ABS(C1943-B1943)</f>
      </c>
    </row>
    <row r="1944">
      <c r="A1944" s="6">
        <v>1920</v>
      </c>
      <c r="B1944" s="6" t="str">
        <f>SMALL('Lineal Mixto'!$C$5:$C$2004,A1944)</f>
      </c>
      <c r="C1944" s="6" t="str">
        <f>A1944/COUNT('Lineal Mixto'!$C$5:$C$2004)</f>
      </c>
      <c r="D1944" s="6" t="str">
        <f>ABS(C1944-B1944)</f>
      </c>
    </row>
    <row r="1945">
      <c r="A1945" s="5">
        <v>1921</v>
      </c>
      <c r="B1945" s="5" t="str">
        <f>SMALL('Lineal Mixto'!$C$5:$C$2004,A1945)</f>
      </c>
      <c r="C1945" s="5" t="str">
        <f>A1945/COUNT('Lineal Mixto'!$C$5:$C$2004)</f>
      </c>
      <c r="D1945" s="5" t="str">
        <f>ABS(C1945-B1945)</f>
      </c>
    </row>
    <row r="1946">
      <c r="A1946" s="6">
        <v>1922</v>
      </c>
      <c r="B1946" s="6" t="str">
        <f>SMALL('Lineal Mixto'!$C$5:$C$2004,A1946)</f>
      </c>
      <c r="C1946" s="6" t="str">
        <f>A1946/COUNT('Lineal Mixto'!$C$5:$C$2004)</f>
      </c>
      <c r="D1946" s="6" t="str">
        <f>ABS(C1946-B1946)</f>
      </c>
    </row>
    <row r="1947">
      <c r="A1947" s="5">
        <v>1923</v>
      </c>
      <c r="B1947" s="5" t="str">
        <f>SMALL('Lineal Mixto'!$C$5:$C$2004,A1947)</f>
      </c>
      <c r="C1947" s="5" t="str">
        <f>A1947/COUNT('Lineal Mixto'!$C$5:$C$2004)</f>
      </c>
      <c r="D1947" s="5" t="str">
        <f>ABS(C1947-B1947)</f>
      </c>
    </row>
    <row r="1948">
      <c r="A1948" s="6">
        <v>1924</v>
      </c>
      <c r="B1948" s="6" t="str">
        <f>SMALL('Lineal Mixto'!$C$5:$C$2004,A1948)</f>
      </c>
      <c r="C1948" s="6" t="str">
        <f>A1948/COUNT('Lineal Mixto'!$C$5:$C$2004)</f>
      </c>
      <c r="D1948" s="6" t="str">
        <f>ABS(C1948-B1948)</f>
      </c>
    </row>
    <row r="1949">
      <c r="A1949" s="5">
        <v>1925</v>
      </c>
      <c r="B1949" s="5" t="str">
        <f>SMALL('Lineal Mixto'!$C$5:$C$2004,A1949)</f>
      </c>
      <c r="C1949" s="5" t="str">
        <f>A1949/COUNT('Lineal Mixto'!$C$5:$C$2004)</f>
      </c>
      <c r="D1949" s="5" t="str">
        <f>ABS(C1949-B1949)</f>
      </c>
    </row>
    <row r="1950">
      <c r="A1950" s="6">
        <v>1926</v>
      </c>
      <c r="B1950" s="6" t="str">
        <f>SMALL('Lineal Mixto'!$C$5:$C$2004,A1950)</f>
      </c>
      <c r="C1950" s="6" t="str">
        <f>A1950/COUNT('Lineal Mixto'!$C$5:$C$2004)</f>
      </c>
      <c r="D1950" s="6" t="str">
        <f>ABS(C1950-B1950)</f>
      </c>
    </row>
    <row r="1951">
      <c r="A1951" s="5">
        <v>1927</v>
      </c>
      <c r="B1951" s="5" t="str">
        <f>SMALL('Lineal Mixto'!$C$5:$C$2004,A1951)</f>
      </c>
      <c r="C1951" s="5" t="str">
        <f>A1951/COUNT('Lineal Mixto'!$C$5:$C$2004)</f>
      </c>
      <c r="D1951" s="5" t="str">
        <f>ABS(C1951-B1951)</f>
      </c>
    </row>
    <row r="1952">
      <c r="A1952" s="6">
        <v>1928</v>
      </c>
      <c r="B1952" s="6" t="str">
        <f>SMALL('Lineal Mixto'!$C$5:$C$2004,A1952)</f>
      </c>
      <c r="C1952" s="6" t="str">
        <f>A1952/COUNT('Lineal Mixto'!$C$5:$C$2004)</f>
      </c>
      <c r="D1952" s="6" t="str">
        <f>ABS(C1952-B1952)</f>
      </c>
    </row>
    <row r="1953">
      <c r="A1953" s="5">
        <v>1929</v>
      </c>
      <c r="B1953" s="5" t="str">
        <f>SMALL('Lineal Mixto'!$C$5:$C$2004,A1953)</f>
      </c>
      <c r="C1953" s="5" t="str">
        <f>A1953/COUNT('Lineal Mixto'!$C$5:$C$2004)</f>
      </c>
      <c r="D1953" s="5" t="str">
        <f>ABS(C1953-B1953)</f>
      </c>
    </row>
    <row r="1954">
      <c r="A1954" s="6">
        <v>1930</v>
      </c>
      <c r="B1954" s="6" t="str">
        <f>SMALL('Lineal Mixto'!$C$5:$C$2004,A1954)</f>
      </c>
      <c r="C1954" s="6" t="str">
        <f>A1954/COUNT('Lineal Mixto'!$C$5:$C$2004)</f>
      </c>
      <c r="D1954" s="6" t="str">
        <f>ABS(C1954-B1954)</f>
      </c>
    </row>
    <row r="1955">
      <c r="A1955" s="5">
        <v>1931</v>
      </c>
      <c r="B1955" s="5" t="str">
        <f>SMALL('Lineal Mixto'!$C$5:$C$2004,A1955)</f>
      </c>
      <c r="C1955" s="5" t="str">
        <f>A1955/COUNT('Lineal Mixto'!$C$5:$C$2004)</f>
      </c>
      <c r="D1955" s="5" t="str">
        <f>ABS(C1955-B1955)</f>
      </c>
    </row>
    <row r="1956">
      <c r="A1956" s="6">
        <v>1932</v>
      </c>
      <c r="B1956" s="6" t="str">
        <f>SMALL('Lineal Mixto'!$C$5:$C$2004,A1956)</f>
      </c>
      <c r="C1956" s="6" t="str">
        <f>A1956/COUNT('Lineal Mixto'!$C$5:$C$2004)</f>
      </c>
      <c r="D1956" s="6" t="str">
        <f>ABS(C1956-B1956)</f>
      </c>
    </row>
    <row r="1957">
      <c r="A1957" s="5">
        <v>1933</v>
      </c>
      <c r="B1957" s="5" t="str">
        <f>SMALL('Lineal Mixto'!$C$5:$C$2004,A1957)</f>
      </c>
      <c r="C1957" s="5" t="str">
        <f>A1957/COUNT('Lineal Mixto'!$C$5:$C$2004)</f>
      </c>
      <c r="D1957" s="5" t="str">
        <f>ABS(C1957-B1957)</f>
      </c>
    </row>
    <row r="1958">
      <c r="A1958" s="6">
        <v>1934</v>
      </c>
      <c r="B1958" s="6" t="str">
        <f>SMALL('Lineal Mixto'!$C$5:$C$2004,A1958)</f>
      </c>
      <c r="C1958" s="6" t="str">
        <f>A1958/COUNT('Lineal Mixto'!$C$5:$C$2004)</f>
      </c>
      <c r="D1958" s="6" t="str">
        <f>ABS(C1958-B1958)</f>
      </c>
    </row>
    <row r="1959">
      <c r="A1959" s="5">
        <v>1935</v>
      </c>
      <c r="B1959" s="5" t="str">
        <f>SMALL('Lineal Mixto'!$C$5:$C$2004,A1959)</f>
      </c>
      <c r="C1959" s="5" t="str">
        <f>A1959/COUNT('Lineal Mixto'!$C$5:$C$2004)</f>
      </c>
      <c r="D1959" s="5" t="str">
        <f>ABS(C1959-B1959)</f>
      </c>
    </row>
    <row r="1960">
      <c r="A1960" s="6">
        <v>1936</v>
      </c>
      <c r="B1960" s="6" t="str">
        <f>SMALL('Lineal Mixto'!$C$5:$C$2004,A1960)</f>
      </c>
      <c r="C1960" s="6" t="str">
        <f>A1960/COUNT('Lineal Mixto'!$C$5:$C$2004)</f>
      </c>
      <c r="D1960" s="6" t="str">
        <f>ABS(C1960-B1960)</f>
      </c>
    </row>
    <row r="1961">
      <c r="A1961" s="5">
        <v>1937</v>
      </c>
      <c r="B1961" s="5" t="str">
        <f>SMALL('Lineal Mixto'!$C$5:$C$2004,A1961)</f>
      </c>
      <c r="C1961" s="5" t="str">
        <f>A1961/COUNT('Lineal Mixto'!$C$5:$C$2004)</f>
      </c>
      <c r="D1961" s="5" t="str">
        <f>ABS(C1961-B1961)</f>
      </c>
    </row>
    <row r="1962">
      <c r="A1962" s="6">
        <v>1938</v>
      </c>
      <c r="B1962" s="6" t="str">
        <f>SMALL('Lineal Mixto'!$C$5:$C$2004,A1962)</f>
      </c>
      <c r="C1962" s="6" t="str">
        <f>A1962/COUNT('Lineal Mixto'!$C$5:$C$2004)</f>
      </c>
      <c r="D1962" s="6" t="str">
        <f>ABS(C1962-B1962)</f>
      </c>
    </row>
    <row r="1963">
      <c r="A1963" s="5">
        <v>1939</v>
      </c>
      <c r="B1963" s="5" t="str">
        <f>SMALL('Lineal Mixto'!$C$5:$C$2004,A1963)</f>
      </c>
      <c r="C1963" s="5" t="str">
        <f>A1963/COUNT('Lineal Mixto'!$C$5:$C$2004)</f>
      </c>
      <c r="D1963" s="5" t="str">
        <f>ABS(C1963-B1963)</f>
      </c>
    </row>
    <row r="1964">
      <c r="A1964" s="6">
        <v>1940</v>
      </c>
      <c r="B1964" s="6" t="str">
        <f>SMALL('Lineal Mixto'!$C$5:$C$2004,A1964)</f>
      </c>
      <c r="C1964" s="6" t="str">
        <f>A1964/COUNT('Lineal Mixto'!$C$5:$C$2004)</f>
      </c>
      <c r="D1964" s="6" t="str">
        <f>ABS(C1964-B1964)</f>
      </c>
    </row>
    <row r="1965">
      <c r="A1965" s="5">
        <v>1941</v>
      </c>
      <c r="B1965" s="5" t="str">
        <f>SMALL('Lineal Mixto'!$C$5:$C$2004,A1965)</f>
      </c>
      <c r="C1965" s="5" t="str">
        <f>A1965/COUNT('Lineal Mixto'!$C$5:$C$2004)</f>
      </c>
      <c r="D1965" s="5" t="str">
        <f>ABS(C1965-B1965)</f>
      </c>
    </row>
    <row r="1966">
      <c r="A1966" s="6">
        <v>1942</v>
      </c>
      <c r="B1966" s="6" t="str">
        <f>SMALL('Lineal Mixto'!$C$5:$C$2004,A1966)</f>
      </c>
      <c r="C1966" s="6" t="str">
        <f>A1966/COUNT('Lineal Mixto'!$C$5:$C$2004)</f>
      </c>
      <c r="D1966" s="6" t="str">
        <f>ABS(C1966-B1966)</f>
      </c>
    </row>
    <row r="1967">
      <c r="A1967" s="5">
        <v>1943</v>
      </c>
      <c r="B1967" s="5" t="str">
        <f>SMALL('Lineal Mixto'!$C$5:$C$2004,A1967)</f>
      </c>
      <c r="C1967" s="5" t="str">
        <f>A1967/COUNT('Lineal Mixto'!$C$5:$C$2004)</f>
      </c>
      <c r="D1967" s="5" t="str">
        <f>ABS(C1967-B1967)</f>
      </c>
    </row>
    <row r="1968">
      <c r="A1968" s="6">
        <v>1944</v>
      </c>
      <c r="B1968" s="6" t="str">
        <f>SMALL('Lineal Mixto'!$C$5:$C$2004,A1968)</f>
      </c>
      <c r="C1968" s="6" t="str">
        <f>A1968/COUNT('Lineal Mixto'!$C$5:$C$2004)</f>
      </c>
      <c r="D1968" s="6" t="str">
        <f>ABS(C1968-B1968)</f>
      </c>
    </row>
    <row r="1969">
      <c r="A1969" s="5">
        <v>1945</v>
      </c>
      <c r="B1969" s="5" t="str">
        <f>SMALL('Lineal Mixto'!$C$5:$C$2004,A1969)</f>
      </c>
      <c r="C1969" s="5" t="str">
        <f>A1969/COUNT('Lineal Mixto'!$C$5:$C$2004)</f>
      </c>
      <c r="D1969" s="5" t="str">
        <f>ABS(C1969-B1969)</f>
      </c>
    </row>
    <row r="1970">
      <c r="A1970" s="6">
        <v>1946</v>
      </c>
      <c r="B1970" s="6" t="str">
        <f>SMALL('Lineal Mixto'!$C$5:$C$2004,A1970)</f>
      </c>
      <c r="C1970" s="6" t="str">
        <f>A1970/COUNT('Lineal Mixto'!$C$5:$C$2004)</f>
      </c>
      <c r="D1970" s="6" t="str">
        <f>ABS(C1970-B1970)</f>
      </c>
    </row>
    <row r="1971">
      <c r="A1971" s="5">
        <v>1947</v>
      </c>
      <c r="B1971" s="5" t="str">
        <f>SMALL('Lineal Mixto'!$C$5:$C$2004,A1971)</f>
      </c>
      <c r="C1971" s="5" t="str">
        <f>A1971/COUNT('Lineal Mixto'!$C$5:$C$2004)</f>
      </c>
      <c r="D1971" s="5" t="str">
        <f>ABS(C1971-B1971)</f>
      </c>
    </row>
    <row r="1972">
      <c r="A1972" s="6">
        <v>1948</v>
      </c>
      <c r="B1972" s="6" t="str">
        <f>SMALL('Lineal Mixto'!$C$5:$C$2004,A1972)</f>
      </c>
      <c r="C1972" s="6" t="str">
        <f>A1972/COUNT('Lineal Mixto'!$C$5:$C$2004)</f>
      </c>
      <c r="D1972" s="6" t="str">
        <f>ABS(C1972-B1972)</f>
      </c>
    </row>
    <row r="1973">
      <c r="A1973" s="5">
        <v>1949</v>
      </c>
      <c r="B1973" s="5" t="str">
        <f>SMALL('Lineal Mixto'!$C$5:$C$2004,A1973)</f>
      </c>
      <c r="C1973" s="5" t="str">
        <f>A1973/COUNT('Lineal Mixto'!$C$5:$C$2004)</f>
      </c>
      <c r="D1973" s="5" t="str">
        <f>ABS(C1973-B1973)</f>
      </c>
    </row>
    <row r="1974">
      <c r="A1974" s="6">
        <v>1950</v>
      </c>
      <c r="B1974" s="6" t="str">
        <f>SMALL('Lineal Mixto'!$C$5:$C$2004,A1974)</f>
      </c>
      <c r="C1974" s="6" t="str">
        <f>A1974/COUNT('Lineal Mixto'!$C$5:$C$2004)</f>
      </c>
      <c r="D1974" s="6" t="str">
        <f>ABS(C1974-B1974)</f>
      </c>
    </row>
    <row r="1975">
      <c r="A1975" s="5">
        <v>1951</v>
      </c>
      <c r="B1975" s="5" t="str">
        <f>SMALL('Lineal Mixto'!$C$5:$C$2004,A1975)</f>
      </c>
      <c r="C1975" s="5" t="str">
        <f>A1975/COUNT('Lineal Mixto'!$C$5:$C$2004)</f>
      </c>
      <c r="D1975" s="5" t="str">
        <f>ABS(C1975-B1975)</f>
      </c>
    </row>
    <row r="1976">
      <c r="A1976" s="6">
        <v>1952</v>
      </c>
      <c r="B1976" s="6" t="str">
        <f>SMALL('Lineal Mixto'!$C$5:$C$2004,A1976)</f>
      </c>
      <c r="C1976" s="6" t="str">
        <f>A1976/COUNT('Lineal Mixto'!$C$5:$C$2004)</f>
      </c>
      <c r="D1976" s="6" t="str">
        <f>ABS(C1976-B1976)</f>
      </c>
    </row>
    <row r="1977">
      <c r="A1977" s="5">
        <v>1953</v>
      </c>
      <c r="B1977" s="5" t="str">
        <f>SMALL('Lineal Mixto'!$C$5:$C$2004,A1977)</f>
      </c>
      <c r="C1977" s="5" t="str">
        <f>A1977/COUNT('Lineal Mixto'!$C$5:$C$2004)</f>
      </c>
      <c r="D1977" s="5" t="str">
        <f>ABS(C1977-B1977)</f>
      </c>
    </row>
    <row r="1978">
      <c r="A1978" s="6">
        <v>1954</v>
      </c>
      <c r="B1978" s="6" t="str">
        <f>SMALL('Lineal Mixto'!$C$5:$C$2004,A1978)</f>
      </c>
      <c r="C1978" s="6" t="str">
        <f>A1978/COUNT('Lineal Mixto'!$C$5:$C$2004)</f>
      </c>
      <c r="D1978" s="6" t="str">
        <f>ABS(C1978-B1978)</f>
      </c>
    </row>
    <row r="1979">
      <c r="A1979" s="5">
        <v>1955</v>
      </c>
      <c r="B1979" s="5" t="str">
        <f>SMALL('Lineal Mixto'!$C$5:$C$2004,A1979)</f>
      </c>
      <c r="C1979" s="5" t="str">
        <f>A1979/COUNT('Lineal Mixto'!$C$5:$C$2004)</f>
      </c>
      <c r="D1979" s="5" t="str">
        <f>ABS(C1979-B1979)</f>
      </c>
    </row>
    <row r="1980">
      <c r="A1980" s="6">
        <v>1956</v>
      </c>
      <c r="B1980" s="6" t="str">
        <f>SMALL('Lineal Mixto'!$C$5:$C$2004,A1980)</f>
      </c>
      <c r="C1980" s="6" t="str">
        <f>A1980/COUNT('Lineal Mixto'!$C$5:$C$2004)</f>
      </c>
      <c r="D1980" s="6" t="str">
        <f>ABS(C1980-B1980)</f>
      </c>
    </row>
    <row r="1981">
      <c r="A1981" s="5">
        <v>1957</v>
      </c>
      <c r="B1981" s="5" t="str">
        <f>SMALL('Lineal Mixto'!$C$5:$C$2004,A1981)</f>
      </c>
      <c r="C1981" s="5" t="str">
        <f>A1981/COUNT('Lineal Mixto'!$C$5:$C$2004)</f>
      </c>
      <c r="D1981" s="5" t="str">
        <f>ABS(C1981-B1981)</f>
      </c>
    </row>
    <row r="1982">
      <c r="A1982" s="6">
        <v>1958</v>
      </c>
      <c r="B1982" s="6" t="str">
        <f>SMALL('Lineal Mixto'!$C$5:$C$2004,A1982)</f>
      </c>
      <c r="C1982" s="6" t="str">
        <f>A1982/COUNT('Lineal Mixto'!$C$5:$C$2004)</f>
      </c>
      <c r="D1982" s="6" t="str">
        <f>ABS(C1982-B1982)</f>
      </c>
    </row>
    <row r="1983">
      <c r="A1983" s="5">
        <v>1959</v>
      </c>
      <c r="B1983" s="5" t="str">
        <f>SMALL('Lineal Mixto'!$C$5:$C$2004,A1983)</f>
      </c>
      <c r="C1983" s="5" t="str">
        <f>A1983/COUNT('Lineal Mixto'!$C$5:$C$2004)</f>
      </c>
      <c r="D1983" s="5" t="str">
        <f>ABS(C1983-B1983)</f>
      </c>
    </row>
    <row r="1984">
      <c r="A1984" s="6">
        <v>1960</v>
      </c>
      <c r="B1984" s="6" t="str">
        <f>SMALL('Lineal Mixto'!$C$5:$C$2004,A1984)</f>
      </c>
      <c r="C1984" s="6" t="str">
        <f>A1984/COUNT('Lineal Mixto'!$C$5:$C$2004)</f>
      </c>
      <c r="D1984" s="6" t="str">
        <f>ABS(C1984-B1984)</f>
      </c>
    </row>
    <row r="1985">
      <c r="A1985" s="5">
        <v>1961</v>
      </c>
      <c r="B1985" s="5" t="str">
        <f>SMALL('Lineal Mixto'!$C$5:$C$2004,A1985)</f>
      </c>
      <c r="C1985" s="5" t="str">
        <f>A1985/COUNT('Lineal Mixto'!$C$5:$C$2004)</f>
      </c>
      <c r="D1985" s="5" t="str">
        <f>ABS(C1985-B1985)</f>
      </c>
    </row>
    <row r="1986">
      <c r="A1986" s="6">
        <v>1962</v>
      </c>
      <c r="B1986" s="6" t="str">
        <f>SMALL('Lineal Mixto'!$C$5:$C$2004,A1986)</f>
      </c>
      <c r="C1986" s="6" t="str">
        <f>A1986/COUNT('Lineal Mixto'!$C$5:$C$2004)</f>
      </c>
      <c r="D1986" s="6" t="str">
        <f>ABS(C1986-B1986)</f>
      </c>
    </row>
    <row r="1987">
      <c r="A1987" s="5">
        <v>1963</v>
      </c>
      <c r="B1987" s="5" t="str">
        <f>SMALL('Lineal Mixto'!$C$5:$C$2004,A1987)</f>
      </c>
      <c r="C1987" s="5" t="str">
        <f>A1987/COUNT('Lineal Mixto'!$C$5:$C$2004)</f>
      </c>
      <c r="D1987" s="5" t="str">
        <f>ABS(C1987-B1987)</f>
      </c>
    </row>
    <row r="1988">
      <c r="A1988" s="6">
        <v>1964</v>
      </c>
      <c r="B1988" s="6" t="str">
        <f>SMALL('Lineal Mixto'!$C$5:$C$2004,A1988)</f>
      </c>
      <c r="C1988" s="6" t="str">
        <f>A1988/COUNT('Lineal Mixto'!$C$5:$C$2004)</f>
      </c>
      <c r="D1988" s="6" t="str">
        <f>ABS(C1988-B1988)</f>
      </c>
    </row>
    <row r="1989">
      <c r="A1989" s="5">
        <v>1965</v>
      </c>
      <c r="B1989" s="5" t="str">
        <f>SMALL('Lineal Mixto'!$C$5:$C$2004,A1989)</f>
      </c>
      <c r="C1989" s="5" t="str">
        <f>A1989/COUNT('Lineal Mixto'!$C$5:$C$2004)</f>
      </c>
      <c r="D1989" s="5" t="str">
        <f>ABS(C1989-B1989)</f>
      </c>
    </row>
    <row r="1990">
      <c r="A1990" s="6">
        <v>1966</v>
      </c>
      <c r="B1990" s="6" t="str">
        <f>SMALL('Lineal Mixto'!$C$5:$C$2004,A1990)</f>
      </c>
      <c r="C1990" s="6" t="str">
        <f>A1990/COUNT('Lineal Mixto'!$C$5:$C$2004)</f>
      </c>
      <c r="D1990" s="6" t="str">
        <f>ABS(C1990-B1990)</f>
      </c>
    </row>
    <row r="1991">
      <c r="A1991" s="5">
        <v>1967</v>
      </c>
      <c r="B1991" s="5" t="str">
        <f>SMALL('Lineal Mixto'!$C$5:$C$2004,A1991)</f>
      </c>
      <c r="C1991" s="5" t="str">
        <f>A1991/COUNT('Lineal Mixto'!$C$5:$C$2004)</f>
      </c>
      <c r="D1991" s="5" t="str">
        <f>ABS(C1991-B1991)</f>
      </c>
    </row>
    <row r="1992">
      <c r="A1992" s="6">
        <v>1968</v>
      </c>
      <c r="B1992" s="6" t="str">
        <f>SMALL('Lineal Mixto'!$C$5:$C$2004,A1992)</f>
      </c>
      <c r="C1992" s="6" t="str">
        <f>A1992/COUNT('Lineal Mixto'!$C$5:$C$2004)</f>
      </c>
      <c r="D1992" s="6" t="str">
        <f>ABS(C1992-B1992)</f>
      </c>
    </row>
    <row r="1993">
      <c r="A1993" s="5">
        <v>1969</v>
      </c>
      <c r="B1993" s="5" t="str">
        <f>SMALL('Lineal Mixto'!$C$5:$C$2004,A1993)</f>
      </c>
      <c r="C1993" s="5" t="str">
        <f>A1993/COUNT('Lineal Mixto'!$C$5:$C$2004)</f>
      </c>
      <c r="D1993" s="5" t="str">
        <f>ABS(C1993-B1993)</f>
      </c>
    </row>
    <row r="1994">
      <c r="A1994" s="6">
        <v>1970</v>
      </c>
      <c r="B1994" s="6" t="str">
        <f>SMALL('Lineal Mixto'!$C$5:$C$2004,A1994)</f>
      </c>
      <c r="C1994" s="6" t="str">
        <f>A1994/COUNT('Lineal Mixto'!$C$5:$C$2004)</f>
      </c>
      <c r="D1994" s="6" t="str">
        <f>ABS(C1994-B1994)</f>
      </c>
    </row>
    <row r="1995">
      <c r="A1995" s="5">
        <v>1971</v>
      </c>
      <c r="B1995" s="5" t="str">
        <f>SMALL('Lineal Mixto'!$C$5:$C$2004,A1995)</f>
      </c>
      <c r="C1995" s="5" t="str">
        <f>A1995/COUNT('Lineal Mixto'!$C$5:$C$2004)</f>
      </c>
      <c r="D1995" s="5" t="str">
        <f>ABS(C1995-B1995)</f>
      </c>
    </row>
    <row r="1996">
      <c r="A1996" s="6">
        <v>1972</v>
      </c>
      <c r="B1996" s="6" t="str">
        <f>SMALL('Lineal Mixto'!$C$5:$C$2004,A1996)</f>
      </c>
      <c r="C1996" s="6" t="str">
        <f>A1996/COUNT('Lineal Mixto'!$C$5:$C$2004)</f>
      </c>
      <c r="D1996" s="6" t="str">
        <f>ABS(C1996-B1996)</f>
      </c>
    </row>
    <row r="1997">
      <c r="A1997" s="5">
        <v>1973</v>
      </c>
      <c r="B1997" s="5" t="str">
        <f>SMALL('Lineal Mixto'!$C$5:$C$2004,A1997)</f>
      </c>
      <c r="C1997" s="5" t="str">
        <f>A1997/COUNT('Lineal Mixto'!$C$5:$C$2004)</f>
      </c>
      <c r="D1997" s="5" t="str">
        <f>ABS(C1997-B1997)</f>
      </c>
    </row>
    <row r="1998">
      <c r="A1998" s="6">
        <v>1974</v>
      </c>
      <c r="B1998" s="6" t="str">
        <f>SMALL('Lineal Mixto'!$C$5:$C$2004,A1998)</f>
      </c>
      <c r="C1998" s="6" t="str">
        <f>A1998/COUNT('Lineal Mixto'!$C$5:$C$2004)</f>
      </c>
      <c r="D1998" s="6" t="str">
        <f>ABS(C1998-B1998)</f>
      </c>
    </row>
    <row r="1999">
      <c r="A1999" s="5">
        <v>1975</v>
      </c>
      <c r="B1999" s="5" t="str">
        <f>SMALL('Lineal Mixto'!$C$5:$C$2004,A1999)</f>
      </c>
      <c r="C1999" s="5" t="str">
        <f>A1999/COUNT('Lineal Mixto'!$C$5:$C$2004)</f>
      </c>
      <c r="D1999" s="5" t="str">
        <f>ABS(C1999-B1999)</f>
      </c>
    </row>
    <row r="2000">
      <c r="A2000" s="6">
        <v>1976</v>
      </c>
      <c r="B2000" s="6" t="str">
        <f>SMALL('Lineal Mixto'!$C$5:$C$2004,A2000)</f>
      </c>
      <c r="C2000" s="6" t="str">
        <f>A2000/COUNT('Lineal Mixto'!$C$5:$C$2004)</f>
      </c>
      <c r="D2000" s="6" t="str">
        <f>ABS(C2000-B2000)</f>
      </c>
    </row>
    <row r="2001">
      <c r="A2001" s="5">
        <v>1977</v>
      </c>
      <c r="B2001" s="5" t="str">
        <f>SMALL('Lineal Mixto'!$C$5:$C$2004,A2001)</f>
      </c>
      <c r="C2001" s="5" t="str">
        <f>A2001/COUNT('Lineal Mixto'!$C$5:$C$2004)</f>
      </c>
      <c r="D2001" s="5" t="str">
        <f>ABS(C2001-B2001)</f>
      </c>
    </row>
    <row r="2002">
      <c r="A2002" s="6">
        <v>1978</v>
      </c>
      <c r="B2002" s="6" t="str">
        <f>SMALL('Lineal Mixto'!$C$5:$C$2004,A2002)</f>
      </c>
      <c r="C2002" s="6" t="str">
        <f>A2002/COUNT('Lineal Mixto'!$C$5:$C$2004)</f>
      </c>
      <c r="D2002" s="6" t="str">
        <f>ABS(C2002-B2002)</f>
      </c>
    </row>
    <row r="2003">
      <c r="A2003" s="5">
        <v>1979</v>
      </c>
      <c r="B2003" s="5" t="str">
        <f>SMALL('Lineal Mixto'!$C$5:$C$2004,A2003)</f>
      </c>
      <c r="C2003" s="5" t="str">
        <f>A2003/COUNT('Lineal Mixto'!$C$5:$C$2004)</f>
      </c>
      <c r="D2003" s="5" t="str">
        <f>ABS(C2003-B2003)</f>
      </c>
    </row>
    <row r="2004">
      <c r="A2004" s="6">
        <v>1980</v>
      </c>
      <c r="B2004" s="6" t="str">
        <f>SMALL('Lineal Mixto'!$C$5:$C$2004,A2004)</f>
      </c>
      <c r="C2004" s="6" t="str">
        <f>A2004/COUNT('Lineal Mixto'!$C$5:$C$2004)</f>
      </c>
      <c r="D2004" s="6" t="str">
        <f>ABS(C2004-B2004)</f>
      </c>
    </row>
    <row r="2005">
      <c r="A2005" s="5">
        <v>1981</v>
      </c>
      <c r="B2005" s="5" t="str">
        <f>SMALL('Lineal Mixto'!$C$5:$C$2004,A2005)</f>
      </c>
      <c r="C2005" s="5" t="str">
        <f>A2005/COUNT('Lineal Mixto'!$C$5:$C$2004)</f>
      </c>
      <c r="D2005" s="5" t="str">
        <f>ABS(C2005-B2005)</f>
      </c>
    </row>
    <row r="2006">
      <c r="A2006" s="6">
        <v>1982</v>
      </c>
      <c r="B2006" s="6" t="str">
        <f>SMALL('Lineal Mixto'!$C$5:$C$2004,A2006)</f>
      </c>
      <c r="C2006" s="6" t="str">
        <f>A2006/COUNT('Lineal Mixto'!$C$5:$C$2004)</f>
      </c>
      <c r="D2006" s="6" t="str">
        <f>ABS(C2006-B2006)</f>
      </c>
    </row>
    <row r="2007">
      <c r="A2007" s="5">
        <v>1983</v>
      </c>
      <c r="B2007" s="5" t="str">
        <f>SMALL('Lineal Mixto'!$C$5:$C$2004,A2007)</f>
      </c>
      <c r="C2007" s="5" t="str">
        <f>A2007/COUNT('Lineal Mixto'!$C$5:$C$2004)</f>
      </c>
      <c r="D2007" s="5" t="str">
        <f>ABS(C2007-B2007)</f>
      </c>
    </row>
    <row r="2008">
      <c r="A2008" s="6">
        <v>1984</v>
      </c>
      <c r="B2008" s="6" t="str">
        <f>SMALL('Lineal Mixto'!$C$5:$C$2004,A2008)</f>
      </c>
      <c r="C2008" s="6" t="str">
        <f>A2008/COUNT('Lineal Mixto'!$C$5:$C$2004)</f>
      </c>
      <c r="D2008" s="6" t="str">
        <f>ABS(C2008-B2008)</f>
      </c>
    </row>
    <row r="2009">
      <c r="A2009" s="5">
        <v>1985</v>
      </c>
      <c r="B2009" s="5" t="str">
        <f>SMALL('Lineal Mixto'!$C$5:$C$2004,A2009)</f>
      </c>
      <c r="C2009" s="5" t="str">
        <f>A2009/COUNT('Lineal Mixto'!$C$5:$C$2004)</f>
      </c>
      <c r="D2009" s="5" t="str">
        <f>ABS(C2009-B2009)</f>
      </c>
    </row>
    <row r="2010">
      <c r="A2010" s="6">
        <v>1986</v>
      </c>
      <c r="B2010" s="6" t="str">
        <f>SMALL('Lineal Mixto'!$C$5:$C$2004,A2010)</f>
      </c>
      <c r="C2010" s="6" t="str">
        <f>A2010/COUNT('Lineal Mixto'!$C$5:$C$2004)</f>
      </c>
      <c r="D2010" s="6" t="str">
        <f>ABS(C2010-B2010)</f>
      </c>
    </row>
    <row r="2011">
      <c r="A2011" s="5">
        <v>1987</v>
      </c>
      <c r="B2011" s="5" t="str">
        <f>SMALL('Lineal Mixto'!$C$5:$C$2004,A2011)</f>
      </c>
      <c r="C2011" s="5" t="str">
        <f>A2011/COUNT('Lineal Mixto'!$C$5:$C$2004)</f>
      </c>
      <c r="D2011" s="5" t="str">
        <f>ABS(C2011-B2011)</f>
      </c>
    </row>
    <row r="2012">
      <c r="A2012" s="6">
        <v>1988</v>
      </c>
      <c r="B2012" s="6" t="str">
        <f>SMALL('Lineal Mixto'!$C$5:$C$2004,A2012)</f>
      </c>
      <c r="C2012" s="6" t="str">
        <f>A2012/COUNT('Lineal Mixto'!$C$5:$C$2004)</f>
      </c>
      <c r="D2012" s="6" t="str">
        <f>ABS(C2012-B2012)</f>
      </c>
    </row>
    <row r="2013">
      <c r="A2013" s="5">
        <v>1989</v>
      </c>
      <c r="B2013" s="5" t="str">
        <f>SMALL('Lineal Mixto'!$C$5:$C$2004,A2013)</f>
      </c>
      <c r="C2013" s="5" t="str">
        <f>A2013/COUNT('Lineal Mixto'!$C$5:$C$2004)</f>
      </c>
      <c r="D2013" s="5" t="str">
        <f>ABS(C2013-B2013)</f>
      </c>
    </row>
    <row r="2014">
      <c r="A2014" s="6">
        <v>1990</v>
      </c>
      <c r="B2014" s="6" t="str">
        <f>SMALL('Lineal Mixto'!$C$5:$C$2004,A2014)</f>
      </c>
      <c r="C2014" s="6" t="str">
        <f>A2014/COUNT('Lineal Mixto'!$C$5:$C$2004)</f>
      </c>
      <c r="D2014" s="6" t="str">
        <f>ABS(C2014-B2014)</f>
      </c>
    </row>
    <row r="2015">
      <c r="A2015" s="5">
        <v>1991</v>
      </c>
      <c r="B2015" s="5" t="str">
        <f>SMALL('Lineal Mixto'!$C$5:$C$2004,A2015)</f>
      </c>
      <c r="C2015" s="5" t="str">
        <f>A2015/COUNT('Lineal Mixto'!$C$5:$C$2004)</f>
      </c>
      <c r="D2015" s="5" t="str">
        <f>ABS(C2015-B2015)</f>
      </c>
    </row>
    <row r="2016">
      <c r="A2016" s="6">
        <v>1992</v>
      </c>
      <c r="B2016" s="6" t="str">
        <f>SMALL('Lineal Mixto'!$C$5:$C$2004,A2016)</f>
      </c>
      <c r="C2016" s="6" t="str">
        <f>A2016/COUNT('Lineal Mixto'!$C$5:$C$2004)</f>
      </c>
      <c r="D2016" s="6" t="str">
        <f>ABS(C2016-B2016)</f>
      </c>
    </row>
    <row r="2017">
      <c r="A2017" s="5">
        <v>1993</v>
      </c>
      <c r="B2017" s="5" t="str">
        <f>SMALL('Lineal Mixto'!$C$5:$C$2004,A2017)</f>
      </c>
      <c r="C2017" s="5" t="str">
        <f>A2017/COUNT('Lineal Mixto'!$C$5:$C$2004)</f>
      </c>
      <c r="D2017" s="5" t="str">
        <f>ABS(C2017-B2017)</f>
      </c>
    </row>
    <row r="2018">
      <c r="A2018" s="6">
        <v>1994</v>
      </c>
      <c r="B2018" s="6" t="str">
        <f>SMALL('Lineal Mixto'!$C$5:$C$2004,A2018)</f>
      </c>
      <c r="C2018" s="6" t="str">
        <f>A2018/COUNT('Lineal Mixto'!$C$5:$C$2004)</f>
      </c>
      <c r="D2018" s="6" t="str">
        <f>ABS(C2018-B2018)</f>
      </c>
    </row>
    <row r="2019">
      <c r="A2019" s="5">
        <v>1995</v>
      </c>
      <c r="B2019" s="5" t="str">
        <f>SMALL('Lineal Mixto'!$C$5:$C$2004,A2019)</f>
      </c>
      <c r="C2019" s="5" t="str">
        <f>A2019/COUNT('Lineal Mixto'!$C$5:$C$2004)</f>
      </c>
      <c r="D2019" s="5" t="str">
        <f>ABS(C2019-B2019)</f>
      </c>
    </row>
    <row r="2020">
      <c r="A2020" s="6">
        <v>1996</v>
      </c>
      <c r="B2020" s="6" t="str">
        <f>SMALL('Lineal Mixto'!$C$5:$C$2004,A2020)</f>
      </c>
      <c r="C2020" s="6" t="str">
        <f>A2020/COUNT('Lineal Mixto'!$C$5:$C$2004)</f>
      </c>
      <c r="D2020" s="6" t="str">
        <f>ABS(C2020-B2020)</f>
      </c>
    </row>
    <row r="2021">
      <c r="A2021" s="5">
        <v>1997</v>
      </c>
      <c r="B2021" s="5" t="str">
        <f>SMALL('Lineal Mixto'!$C$5:$C$2004,A2021)</f>
      </c>
      <c r="C2021" s="5" t="str">
        <f>A2021/COUNT('Lineal Mixto'!$C$5:$C$2004)</f>
      </c>
      <c r="D2021" s="5" t="str">
        <f>ABS(C2021-B2021)</f>
      </c>
    </row>
    <row r="2022">
      <c r="A2022" s="6">
        <v>1998</v>
      </c>
      <c r="B2022" s="6" t="str">
        <f>SMALL('Lineal Mixto'!$C$5:$C$2004,A2022)</f>
      </c>
      <c r="C2022" s="6" t="str">
        <f>A2022/COUNT('Lineal Mixto'!$C$5:$C$2004)</f>
      </c>
      <c r="D2022" s="6" t="str">
        <f>ABS(C2022-B2022)</f>
      </c>
    </row>
    <row r="2023">
      <c r="A2023" s="5">
        <v>1999</v>
      </c>
      <c r="B2023" s="5" t="str">
        <f>SMALL('Lineal Mixto'!$C$5:$C$2004,A2023)</f>
      </c>
      <c r="C2023" s="5" t="str">
        <f>A2023/COUNT('Lineal Mixto'!$C$5:$C$2004)</f>
      </c>
      <c r="D2023" s="5" t="str">
        <f>ABS(C2023-B2023)</f>
      </c>
    </row>
    <row r="2024">
      <c r="A2024" s="6">
        <v>2000</v>
      </c>
      <c r="B2024" s="6" t="str">
        <f>SMALL('Lineal Mixto'!$C$5:$C$2004,A2024)</f>
      </c>
      <c r="C2024" s="6" t="str">
        <f>A2024/COUNT('Lineal Mixto'!$C$5:$C$2004)</f>
      </c>
      <c r="D2024" s="6" t="str">
        <f>ABS(C2024-B2024)</f>
      </c>
    </row>
    <row r="2026" ht="22" customHeight="true">
      <c r="A2026" s="3" t="s">
        <v>22</v>
      </c>
      <c r="B2026" s="3"/>
      <c r="C2026" s="3"/>
      <c r="D2026" s="3"/>
      <c r="E2026" s="3"/>
      <c r="F2026" s="3"/>
      <c r="G2026" s="3"/>
      <c r="H2026" s="3"/>
    </row>
    <row r="2027">
      <c r="A2027" s="4" t="s">
        <v>23</v>
      </c>
      <c r="B2027" s="4" t="s">
        <v>24</v>
      </c>
      <c r="C2027" s="4" t="s">
        <v>25</v>
      </c>
      <c r="D2027" s="4" t="s">
        <v>26</v>
      </c>
      <c r="E2027" s="4" t="s">
        <v>27</v>
      </c>
    </row>
    <row r="2028">
      <c r="A2028" s="5">
        <v>1</v>
      </c>
      <c r="B2028" s="5" t="str">
        <f>INDEX('Lineal Mixto'!$C$5:$C$2004,2*A2028-1)</f>
      </c>
      <c r="C2028" s="5" t="str">
        <f>INDEX('Lineal Mixto'!$C$5:$C$2004,2*A2028)</f>
      </c>
      <c r="D2028" s="5" t="str">
        <f>B2028^2+C2028^2</f>
      </c>
      <c r="E2028" s="5" t="str">
        <f>IF(D2028&lt;=1,1,0)</f>
      </c>
    </row>
    <row r="2029">
      <c r="A2029" s="6">
        <v>2</v>
      </c>
      <c r="B2029" s="6" t="str">
        <f>INDEX('Lineal Mixto'!$C$5:$C$2004,2*A2029-1)</f>
      </c>
      <c r="C2029" s="6" t="str">
        <f>INDEX('Lineal Mixto'!$C$5:$C$2004,2*A2029)</f>
      </c>
      <c r="D2029" s="6" t="str">
        <f>B2029^2+C2029^2</f>
      </c>
      <c r="E2029" s="6" t="str">
        <f>IF(D2029&lt;=1,1,0)</f>
      </c>
    </row>
    <row r="2030">
      <c r="A2030" s="5">
        <v>3</v>
      </c>
      <c r="B2030" s="5" t="str">
        <f>INDEX('Lineal Mixto'!$C$5:$C$2004,2*A2030-1)</f>
      </c>
      <c r="C2030" s="5" t="str">
        <f>INDEX('Lineal Mixto'!$C$5:$C$2004,2*A2030)</f>
      </c>
      <c r="D2030" s="5" t="str">
        <f>B2030^2+C2030^2</f>
      </c>
      <c r="E2030" s="5" t="str">
        <f>IF(D2030&lt;=1,1,0)</f>
      </c>
    </row>
    <row r="2031">
      <c r="A2031" s="6">
        <v>4</v>
      </c>
      <c r="B2031" s="6" t="str">
        <f>INDEX('Lineal Mixto'!$C$5:$C$2004,2*A2031-1)</f>
      </c>
      <c r="C2031" s="6" t="str">
        <f>INDEX('Lineal Mixto'!$C$5:$C$2004,2*A2031)</f>
      </c>
      <c r="D2031" s="6" t="str">
        <f>B2031^2+C2031^2</f>
      </c>
      <c r="E2031" s="6" t="str">
        <f>IF(D2031&lt;=1,1,0)</f>
      </c>
    </row>
    <row r="2032">
      <c r="A2032" s="5">
        <v>5</v>
      </c>
      <c r="B2032" s="5" t="str">
        <f>INDEX('Lineal Mixto'!$C$5:$C$2004,2*A2032-1)</f>
      </c>
      <c r="C2032" s="5" t="str">
        <f>INDEX('Lineal Mixto'!$C$5:$C$2004,2*A2032)</f>
      </c>
      <c r="D2032" s="5" t="str">
        <f>B2032^2+C2032^2</f>
      </c>
      <c r="E2032" s="5" t="str">
        <f>IF(D2032&lt;=1,1,0)</f>
      </c>
    </row>
    <row r="2033">
      <c r="A2033" s="6">
        <v>6</v>
      </c>
      <c r="B2033" s="6" t="str">
        <f>INDEX('Lineal Mixto'!$C$5:$C$2004,2*A2033-1)</f>
      </c>
      <c r="C2033" s="6" t="str">
        <f>INDEX('Lineal Mixto'!$C$5:$C$2004,2*A2033)</f>
      </c>
      <c r="D2033" s="6" t="str">
        <f>B2033^2+C2033^2</f>
      </c>
      <c r="E2033" s="6" t="str">
        <f>IF(D2033&lt;=1,1,0)</f>
      </c>
    </row>
    <row r="2034">
      <c r="A2034" s="5">
        <v>7</v>
      </c>
      <c r="B2034" s="5" t="str">
        <f>INDEX('Lineal Mixto'!$C$5:$C$2004,2*A2034-1)</f>
      </c>
      <c r="C2034" s="5" t="str">
        <f>INDEX('Lineal Mixto'!$C$5:$C$2004,2*A2034)</f>
      </c>
      <c r="D2034" s="5" t="str">
        <f>B2034^2+C2034^2</f>
      </c>
      <c r="E2034" s="5" t="str">
        <f>IF(D2034&lt;=1,1,0)</f>
      </c>
    </row>
    <row r="2035">
      <c r="A2035" s="6">
        <v>8</v>
      </c>
      <c r="B2035" s="6" t="str">
        <f>INDEX('Lineal Mixto'!$C$5:$C$2004,2*A2035-1)</f>
      </c>
      <c r="C2035" s="6" t="str">
        <f>INDEX('Lineal Mixto'!$C$5:$C$2004,2*A2035)</f>
      </c>
      <c r="D2035" s="6" t="str">
        <f>B2035^2+C2035^2</f>
      </c>
      <c r="E2035" s="6" t="str">
        <f>IF(D2035&lt;=1,1,0)</f>
      </c>
    </row>
    <row r="2036">
      <c r="A2036" s="5">
        <v>9</v>
      </c>
      <c r="B2036" s="5" t="str">
        <f>INDEX('Lineal Mixto'!$C$5:$C$2004,2*A2036-1)</f>
      </c>
      <c r="C2036" s="5" t="str">
        <f>INDEX('Lineal Mixto'!$C$5:$C$2004,2*A2036)</f>
      </c>
      <c r="D2036" s="5" t="str">
        <f>B2036^2+C2036^2</f>
      </c>
      <c r="E2036" s="5" t="str">
        <f>IF(D2036&lt;=1,1,0)</f>
      </c>
    </row>
    <row r="2037">
      <c r="A2037" s="6">
        <v>10</v>
      </c>
      <c r="B2037" s="6" t="str">
        <f>INDEX('Lineal Mixto'!$C$5:$C$2004,2*A2037-1)</f>
      </c>
      <c r="C2037" s="6" t="str">
        <f>INDEX('Lineal Mixto'!$C$5:$C$2004,2*A2037)</f>
      </c>
      <c r="D2037" s="6" t="str">
        <f>B2037^2+C2037^2</f>
      </c>
      <c r="E2037" s="6" t="str">
        <f>IF(D2037&lt;=1,1,0)</f>
      </c>
    </row>
    <row r="2038">
      <c r="A2038" s="5">
        <v>11</v>
      </c>
      <c r="B2038" s="5" t="str">
        <f>INDEX('Lineal Mixto'!$C$5:$C$2004,2*A2038-1)</f>
      </c>
      <c r="C2038" s="5" t="str">
        <f>INDEX('Lineal Mixto'!$C$5:$C$2004,2*A2038)</f>
      </c>
      <c r="D2038" s="5" t="str">
        <f>B2038^2+C2038^2</f>
      </c>
      <c r="E2038" s="5" t="str">
        <f>IF(D2038&lt;=1,1,0)</f>
      </c>
    </row>
    <row r="2039">
      <c r="A2039" s="6">
        <v>12</v>
      </c>
      <c r="B2039" s="6" t="str">
        <f>INDEX('Lineal Mixto'!$C$5:$C$2004,2*A2039-1)</f>
      </c>
      <c r="C2039" s="6" t="str">
        <f>INDEX('Lineal Mixto'!$C$5:$C$2004,2*A2039)</f>
      </c>
      <c r="D2039" s="6" t="str">
        <f>B2039^2+C2039^2</f>
      </c>
      <c r="E2039" s="6" t="str">
        <f>IF(D2039&lt;=1,1,0)</f>
      </c>
    </row>
    <row r="2040">
      <c r="A2040" s="5">
        <v>13</v>
      </c>
      <c r="B2040" s="5" t="str">
        <f>INDEX('Lineal Mixto'!$C$5:$C$2004,2*A2040-1)</f>
      </c>
      <c r="C2040" s="5" t="str">
        <f>INDEX('Lineal Mixto'!$C$5:$C$2004,2*A2040)</f>
      </c>
      <c r="D2040" s="5" t="str">
        <f>B2040^2+C2040^2</f>
      </c>
      <c r="E2040" s="5" t="str">
        <f>IF(D2040&lt;=1,1,0)</f>
      </c>
    </row>
    <row r="2041">
      <c r="A2041" s="6">
        <v>14</v>
      </c>
      <c r="B2041" s="6" t="str">
        <f>INDEX('Lineal Mixto'!$C$5:$C$2004,2*A2041-1)</f>
      </c>
      <c r="C2041" s="6" t="str">
        <f>INDEX('Lineal Mixto'!$C$5:$C$2004,2*A2041)</f>
      </c>
      <c r="D2041" s="6" t="str">
        <f>B2041^2+C2041^2</f>
      </c>
      <c r="E2041" s="6" t="str">
        <f>IF(D2041&lt;=1,1,0)</f>
      </c>
    </row>
    <row r="2042">
      <c r="A2042" s="5">
        <v>15</v>
      </c>
      <c r="B2042" s="5" t="str">
        <f>INDEX('Lineal Mixto'!$C$5:$C$2004,2*A2042-1)</f>
      </c>
      <c r="C2042" s="5" t="str">
        <f>INDEX('Lineal Mixto'!$C$5:$C$2004,2*A2042)</f>
      </c>
      <c r="D2042" s="5" t="str">
        <f>B2042^2+C2042^2</f>
      </c>
      <c r="E2042" s="5" t="str">
        <f>IF(D2042&lt;=1,1,0)</f>
      </c>
    </row>
    <row r="2043">
      <c r="A2043" s="6">
        <v>16</v>
      </c>
      <c r="B2043" s="6" t="str">
        <f>INDEX('Lineal Mixto'!$C$5:$C$2004,2*A2043-1)</f>
      </c>
      <c r="C2043" s="6" t="str">
        <f>INDEX('Lineal Mixto'!$C$5:$C$2004,2*A2043)</f>
      </c>
      <c r="D2043" s="6" t="str">
        <f>B2043^2+C2043^2</f>
      </c>
      <c r="E2043" s="6" t="str">
        <f>IF(D2043&lt;=1,1,0)</f>
      </c>
    </row>
    <row r="2044">
      <c r="A2044" s="5">
        <v>17</v>
      </c>
      <c r="B2044" s="5" t="str">
        <f>INDEX('Lineal Mixto'!$C$5:$C$2004,2*A2044-1)</f>
      </c>
      <c r="C2044" s="5" t="str">
        <f>INDEX('Lineal Mixto'!$C$5:$C$2004,2*A2044)</f>
      </c>
      <c r="D2044" s="5" t="str">
        <f>B2044^2+C2044^2</f>
      </c>
      <c r="E2044" s="5" t="str">
        <f>IF(D2044&lt;=1,1,0)</f>
      </c>
    </row>
    <row r="2045">
      <c r="A2045" s="6">
        <v>18</v>
      </c>
      <c r="B2045" s="6" t="str">
        <f>INDEX('Lineal Mixto'!$C$5:$C$2004,2*A2045-1)</f>
      </c>
      <c r="C2045" s="6" t="str">
        <f>INDEX('Lineal Mixto'!$C$5:$C$2004,2*A2045)</f>
      </c>
      <c r="D2045" s="6" t="str">
        <f>B2045^2+C2045^2</f>
      </c>
      <c r="E2045" s="6" t="str">
        <f>IF(D2045&lt;=1,1,0)</f>
      </c>
    </row>
    <row r="2046">
      <c r="A2046" s="5">
        <v>19</v>
      </c>
      <c r="B2046" s="5" t="str">
        <f>INDEX('Lineal Mixto'!$C$5:$C$2004,2*A2046-1)</f>
      </c>
      <c r="C2046" s="5" t="str">
        <f>INDEX('Lineal Mixto'!$C$5:$C$2004,2*A2046)</f>
      </c>
      <c r="D2046" s="5" t="str">
        <f>B2046^2+C2046^2</f>
      </c>
      <c r="E2046" s="5" t="str">
        <f>IF(D2046&lt;=1,1,0)</f>
      </c>
    </row>
    <row r="2047">
      <c r="A2047" s="6">
        <v>20</v>
      </c>
      <c r="B2047" s="6" t="str">
        <f>INDEX('Lineal Mixto'!$C$5:$C$2004,2*A2047-1)</f>
      </c>
      <c r="C2047" s="6" t="str">
        <f>INDEX('Lineal Mixto'!$C$5:$C$2004,2*A2047)</f>
      </c>
      <c r="D2047" s="6" t="str">
        <f>B2047^2+C2047^2</f>
      </c>
      <c r="E2047" s="6" t="str">
        <f>IF(D2047&lt;=1,1,0)</f>
      </c>
    </row>
    <row r="2048">
      <c r="A2048" s="5">
        <v>21</v>
      </c>
      <c r="B2048" s="5" t="str">
        <f>INDEX('Lineal Mixto'!$C$5:$C$2004,2*A2048-1)</f>
      </c>
      <c r="C2048" s="5" t="str">
        <f>INDEX('Lineal Mixto'!$C$5:$C$2004,2*A2048)</f>
      </c>
      <c r="D2048" s="5" t="str">
        <f>B2048^2+C2048^2</f>
      </c>
      <c r="E2048" s="5" t="str">
        <f>IF(D2048&lt;=1,1,0)</f>
      </c>
    </row>
    <row r="2049">
      <c r="A2049" s="6">
        <v>22</v>
      </c>
      <c r="B2049" s="6" t="str">
        <f>INDEX('Lineal Mixto'!$C$5:$C$2004,2*A2049-1)</f>
      </c>
      <c r="C2049" s="6" t="str">
        <f>INDEX('Lineal Mixto'!$C$5:$C$2004,2*A2049)</f>
      </c>
      <c r="D2049" s="6" t="str">
        <f>B2049^2+C2049^2</f>
      </c>
      <c r="E2049" s="6" t="str">
        <f>IF(D2049&lt;=1,1,0)</f>
      </c>
    </row>
    <row r="2050">
      <c r="A2050" s="5">
        <v>23</v>
      </c>
      <c r="B2050" s="5" t="str">
        <f>INDEX('Lineal Mixto'!$C$5:$C$2004,2*A2050-1)</f>
      </c>
      <c r="C2050" s="5" t="str">
        <f>INDEX('Lineal Mixto'!$C$5:$C$2004,2*A2050)</f>
      </c>
      <c r="D2050" s="5" t="str">
        <f>B2050^2+C2050^2</f>
      </c>
      <c r="E2050" s="5" t="str">
        <f>IF(D2050&lt;=1,1,0)</f>
      </c>
    </row>
    <row r="2051">
      <c r="A2051" s="6">
        <v>24</v>
      </c>
      <c r="B2051" s="6" t="str">
        <f>INDEX('Lineal Mixto'!$C$5:$C$2004,2*A2051-1)</f>
      </c>
      <c r="C2051" s="6" t="str">
        <f>INDEX('Lineal Mixto'!$C$5:$C$2004,2*A2051)</f>
      </c>
      <c r="D2051" s="6" t="str">
        <f>B2051^2+C2051^2</f>
      </c>
      <c r="E2051" s="6" t="str">
        <f>IF(D2051&lt;=1,1,0)</f>
      </c>
    </row>
    <row r="2052">
      <c r="A2052" s="5">
        <v>25</v>
      </c>
      <c r="B2052" s="5" t="str">
        <f>INDEX('Lineal Mixto'!$C$5:$C$2004,2*A2052-1)</f>
      </c>
      <c r="C2052" s="5" t="str">
        <f>INDEX('Lineal Mixto'!$C$5:$C$2004,2*A2052)</f>
      </c>
      <c r="D2052" s="5" t="str">
        <f>B2052^2+C2052^2</f>
      </c>
      <c r="E2052" s="5" t="str">
        <f>IF(D2052&lt;=1,1,0)</f>
      </c>
    </row>
    <row r="2053">
      <c r="A2053" s="6">
        <v>26</v>
      </c>
      <c r="B2053" s="6" t="str">
        <f>INDEX('Lineal Mixto'!$C$5:$C$2004,2*A2053-1)</f>
      </c>
      <c r="C2053" s="6" t="str">
        <f>INDEX('Lineal Mixto'!$C$5:$C$2004,2*A2053)</f>
      </c>
      <c r="D2053" s="6" t="str">
        <f>B2053^2+C2053^2</f>
      </c>
      <c r="E2053" s="6" t="str">
        <f>IF(D2053&lt;=1,1,0)</f>
      </c>
    </row>
    <row r="2054">
      <c r="A2054" s="5">
        <v>27</v>
      </c>
      <c r="B2054" s="5" t="str">
        <f>INDEX('Lineal Mixto'!$C$5:$C$2004,2*A2054-1)</f>
      </c>
      <c r="C2054" s="5" t="str">
        <f>INDEX('Lineal Mixto'!$C$5:$C$2004,2*A2054)</f>
      </c>
      <c r="D2054" s="5" t="str">
        <f>B2054^2+C2054^2</f>
      </c>
      <c r="E2054" s="5" t="str">
        <f>IF(D2054&lt;=1,1,0)</f>
      </c>
    </row>
    <row r="2055">
      <c r="A2055" s="6">
        <v>28</v>
      </c>
      <c r="B2055" s="6" t="str">
        <f>INDEX('Lineal Mixto'!$C$5:$C$2004,2*A2055-1)</f>
      </c>
      <c r="C2055" s="6" t="str">
        <f>INDEX('Lineal Mixto'!$C$5:$C$2004,2*A2055)</f>
      </c>
      <c r="D2055" s="6" t="str">
        <f>B2055^2+C2055^2</f>
      </c>
      <c r="E2055" s="6" t="str">
        <f>IF(D2055&lt;=1,1,0)</f>
      </c>
    </row>
    <row r="2056">
      <c r="A2056" s="5">
        <v>29</v>
      </c>
      <c r="B2056" s="5" t="str">
        <f>INDEX('Lineal Mixto'!$C$5:$C$2004,2*A2056-1)</f>
      </c>
      <c r="C2056" s="5" t="str">
        <f>INDEX('Lineal Mixto'!$C$5:$C$2004,2*A2056)</f>
      </c>
      <c r="D2056" s="5" t="str">
        <f>B2056^2+C2056^2</f>
      </c>
      <c r="E2056" s="5" t="str">
        <f>IF(D2056&lt;=1,1,0)</f>
      </c>
    </row>
    <row r="2057">
      <c r="A2057" s="6">
        <v>30</v>
      </c>
      <c r="B2057" s="6" t="str">
        <f>INDEX('Lineal Mixto'!$C$5:$C$2004,2*A2057-1)</f>
      </c>
      <c r="C2057" s="6" t="str">
        <f>INDEX('Lineal Mixto'!$C$5:$C$2004,2*A2057)</f>
      </c>
      <c r="D2057" s="6" t="str">
        <f>B2057^2+C2057^2</f>
      </c>
      <c r="E2057" s="6" t="str">
        <f>IF(D2057&lt;=1,1,0)</f>
      </c>
    </row>
    <row r="2058">
      <c r="A2058" s="5">
        <v>31</v>
      </c>
      <c r="B2058" s="5" t="str">
        <f>INDEX('Lineal Mixto'!$C$5:$C$2004,2*A2058-1)</f>
      </c>
      <c r="C2058" s="5" t="str">
        <f>INDEX('Lineal Mixto'!$C$5:$C$2004,2*A2058)</f>
      </c>
      <c r="D2058" s="5" t="str">
        <f>B2058^2+C2058^2</f>
      </c>
      <c r="E2058" s="5" t="str">
        <f>IF(D2058&lt;=1,1,0)</f>
      </c>
    </row>
    <row r="2059">
      <c r="A2059" s="6">
        <v>32</v>
      </c>
      <c r="B2059" s="6" t="str">
        <f>INDEX('Lineal Mixto'!$C$5:$C$2004,2*A2059-1)</f>
      </c>
      <c r="C2059" s="6" t="str">
        <f>INDEX('Lineal Mixto'!$C$5:$C$2004,2*A2059)</f>
      </c>
      <c r="D2059" s="6" t="str">
        <f>B2059^2+C2059^2</f>
      </c>
      <c r="E2059" s="6" t="str">
        <f>IF(D2059&lt;=1,1,0)</f>
      </c>
    </row>
    <row r="2060">
      <c r="A2060" s="5">
        <v>33</v>
      </c>
      <c r="B2060" s="5" t="str">
        <f>INDEX('Lineal Mixto'!$C$5:$C$2004,2*A2060-1)</f>
      </c>
      <c r="C2060" s="5" t="str">
        <f>INDEX('Lineal Mixto'!$C$5:$C$2004,2*A2060)</f>
      </c>
      <c r="D2060" s="5" t="str">
        <f>B2060^2+C2060^2</f>
      </c>
      <c r="E2060" s="5" t="str">
        <f>IF(D2060&lt;=1,1,0)</f>
      </c>
    </row>
    <row r="2061">
      <c r="A2061" s="6">
        <v>34</v>
      </c>
      <c r="B2061" s="6" t="str">
        <f>INDEX('Lineal Mixto'!$C$5:$C$2004,2*A2061-1)</f>
      </c>
      <c r="C2061" s="6" t="str">
        <f>INDEX('Lineal Mixto'!$C$5:$C$2004,2*A2061)</f>
      </c>
      <c r="D2061" s="6" t="str">
        <f>B2061^2+C2061^2</f>
      </c>
      <c r="E2061" s="6" t="str">
        <f>IF(D2061&lt;=1,1,0)</f>
      </c>
    </row>
    <row r="2062">
      <c r="A2062" s="5">
        <v>35</v>
      </c>
      <c r="B2062" s="5" t="str">
        <f>INDEX('Lineal Mixto'!$C$5:$C$2004,2*A2062-1)</f>
      </c>
      <c r="C2062" s="5" t="str">
        <f>INDEX('Lineal Mixto'!$C$5:$C$2004,2*A2062)</f>
      </c>
      <c r="D2062" s="5" t="str">
        <f>B2062^2+C2062^2</f>
      </c>
      <c r="E2062" s="5" t="str">
        <f>IF(D2062&lt;=1,1,0)</f>
      </c>
    </row>
    <row r="2063">
      <c r="A2063" s="6">
        <v>36</v>
      </c>
      <c r="B2063" s="6" t="str">
        <f>INDEX('Lineal Mixto'!$C$5:$C$2004,2*A2063-1)</f>
      </c>
      <c r="C2063" s="6" t="str">
        <f>INDEX('Lineal Mixto'!$C$5:$C$2004,2*A2063)</f>
      </c>
      <c r="D2063" s="6" t="str">
        <f>B2063^2+C2063^2</f>
      </c>
      <c r="E2063" s="6" t="str">
        <f>IF(D2063&lt;=1,1,0)</f>
      </c>
    </row>
    <row r="2064">
      <c r="A2064" s="5">
        <v>37</v>
      </c>
      <c r="B2064" s="5" t="str">
        <f>INDEX('Lineal Mixto'!$C$5:$C$2004,2*A2064-1)</f>
      </c>
      <c r="C2064" s="5" t="str">
        <f>INDEX('Lineal Mixto'!$C$5:$C$2004,2*A2064)</f>
      </c>
      <c r="D2064" s="5" t="str">
        <f>B2064^2+C2064^2</f>
      </c>
      <c r="E2064" s="5" t="str">
        <f>IF(D2064&lt;=1,1,0)</f>
      </c>
    </row>
    <row r="2065">
      <c r="A2065" s="6">
        <v>38</v>
      </c>
      <c r="B2065" s="6" t="str">
        <f>INDEX('Lineal Mixto'!$C$5:$C$2004,2*A2065-1)</f>
      </c>
      <c r="C2065" s="6" t="str">
        <f>INDEX('Lineal Mixto'!$C$5:$C$2004,2*A2065)</f>
      </c>
      <c r="D2065" s="6" t="str">
        <f>B2065^2+C2065^2</f>
      </c>
      <c r="E2065" s="6" t="str">
        <f>IF(D2065&lt;=1,1,0)</f>
      </c>
    </row>
    <row r="2066">
      <c r="A2066" s="5">
        <v>39</v>
      </c>
      <c r="B2066" s="5" t="str">
        <f>INDEX('Lineal Mixto'!$C$5:$C$2004,2*A2066-1)</f>
      </c>
      <c r="C2066" s="5" t="str">
        <f>INDEX('Lineal Mixto'!$C$5:$C$2004,2*A2066)</f>
      </c>
      <c r="D2066" s="5" t="str">
        <f>B2066^2+C2066^2</f>
      </c>
      <c r="E2066" s="5" t="str">
        <f>IF(D2066&lt;=1,1,0)</f>
      </c>
    </row>
    <row r="2067">
      <c r="A2067" s="6">
        <v>40</v>
      </c>
      <c r="B2067" s="6" t="str">
        <f>INDEX('Lineal Mixto'!$C$5:$C$2004,2*A2067-1)</f>
      </c>
      <c r="C2067" s="6" t="str">
        <f>INDEX('Lineal Mixto'!$C$5:$C$2004,2*A2067)</f>
      </c>
      <c r="D2067" s="6" t="str">
        <f>B2067^2+C2067^2</f>
      </c>
      <c r="E2067" s="6" t="str">
        <f>IF(D2067&lt;=1,1,0)</f>
      </c>
    </row>
    <row r="2068">
      <c r="A2068" s="5">
        <v>41</v>
      </c>
      <c r="B2068" s="5" t="str">
        <f>INDEX('Lineal Mixto'!$C$5:$C$2004,2*A2068-1)</f>
      </c>
      <c r="C2068" s="5" t="str">
        <f>INDEX('Lineal Mixto'!$C$5:$C$2004,2*A2068)</f>
      </c>
      <c r="D2068" s="5" t="str">
        <f>B2068^2+C2068^2</f>
      </c>
      <c r="E2068" s="5" t="str">
        <f>IF(D2068&lt;=1,1,0)</f>
      </c>
    </row>
    <row r="2069">
      <c r="A2069" s="6">
        <v>42</v>
      </c>
      <c r="B2069" s="6" t="str">
        <f>INDEX('Lineal Mixto'!$C$5:$C$2004,2*A2069-1)</f>
      </c>
      <c r="C2069" s="6" t="str">
        <f>INDEX('Lineal Mixto'!$C$5:$C$2004,2*A2069)</f>
      </c>
      <c r="D2069" s="6" t="str">
        <f>B2069^2+C2069^2</f>
      </c>
      <c r="E2069" s="6" t="str">
        <f>IF(D2069&lt;=1,1,0)</f>
      </c>
    </row>
    <row r="2070">
      <c r="A2070" s="5">
        <v>43</v>
      </c>
      <c r="B2070" s="5" t="str">
        <f>INDEX('Lineal Mixto'!$C$5:$C$2004,2*A2070-1)</f>
      </c>
      <c r="C2070" s="5" t="str">
        <f>INDEX('Lineal Mixto'!$C$5:$C$2004,2*A2070)</f>
      </c>
      <c r="D2070" s="5" t="str">
        <f>B2070^2+C2070^2</f>
      </c>
      <c r="E2070" s="5" t="str">
        <f>IF(D2070&lt;=1,1,0)</f>
      </c>
    </row>
    <row r="2071">
      <c r="A2071" s="6">
        <v>44</v>
      </c>
      <c r="B2071" s="6" t="str">
        <f>INDEX('Lineal Mixto'!$C$5:$C$2004,2*A2071-1)</f>
      </c>
      <c r="C2071" s="6" t="str">
        <f>INDEX('Lineal Mixto'!$C$5:$C$2004,2*A2071)</f>
      </c>
      <c r="D2071" s="6" t="str">
        <f>B2071^2+C2071^2</f>
      </c>
      <c r="E2071" s="6" t="str">
        <f>IF(D2071&lt;=1,1,0)</f>
      </c>
    </row>
    <row r="2072">
      <c r="A2072" s="5">
        <v>45</v>
      </c>
      <c r="B2072" s="5" t="str">
        <f>INDEX('Lineal Mixto'!$C$5:$C$2004,2*A2072-1)</f>
      </c>
      <c r="C2072" s="5" t="str">
        <f>INDEX('Lineal Mixto'!$C$5:$C$2004,2*A2072)</f>
      </c>
      <c r="D2072" s="5" t="str">
        <f>B2072^2+C2072^2</f>
      </c>
      <c r="E2072" s="5" t="str">
        <f>IF(D2072&lt;=1,1,0)</f>
      </c>
    </row>
    <row r="2073">
      <c r="A2073" s="6">
        <v>46</v>
      </c>
      <c r="B2073" s="6" t="str">
        <f>INDEX('Lineal Mixto'!$C$5:$C$2004,2*A2073-1)</f>
      </c>
      <c r="C2073" s="6" t="str">
        <f>INDEX('Lineal Mixto'!$C$5:$C$2004,2*A2073)</f>
      </c>
      <c r="D2073" s="6" t="str">
        <f>B2073^2+C2073^2</f>
      </c>
      <c r="E2073" s="6" t="str">
        <f>IF(D2073&lt;=1,1,0)</f>
      </c>
    </row>
    <row r="2074">
      <c r="A2074" s="5">
        <v>47</v>
      </c>
      <c r="B2074" s="5" t="str">
        <f>INDEX('Lineal Mixto'!$C$5:$C$2004,2*A2074-1)</f>
      </c>
      <c r="C2074" s="5" t="str">
        <f>INDEX('Lineal Mixto'!$C$5:$C$2004,2*A2074)</f>
      </c>
      <c r="D2074" s="5" t="str">
        <f>B2074^2+C2074^2</f>
      </c>
      <c r="E2074" s="5" t="str">
        <f>IF(D2074&lt;=1,1,0)</f>
      </c>
    </row>
    <row r="2075">
      <c r="A2075" s="6">
        <v>48</v>
      </c>
      <c r="B2075" s="6" t="str">
        <f>INDEX('Lineal Mixto'!$C$5:$C$2004,2*A2075-1)</f>
      </c>
      <c r="C2075" s="6" t="str">
        <f>INDEX('Lineal Mixto'!$C$5:$C$2004,2*A2075)</f>
      </c>
      <c r="D2075" s="6" t="str">
        <f>B2075^2+C2075^2</f>
      </c>
      <c r="E2075" s="6" t="str">
        <f>IF(D2075&lt;=1,1,0)</f>
      </c>
    </row>
    <row r="2076">
      <c r="A2076" s="5">
        <v>49</v>
      </c>
      <c r="B2076" s="5" t="str">
        <f>INDEX('Lineal Mixto'!$C$5:$C$2004,2*A2076-1)</f>
      </c>
      <c r="C2076" s="5" t="str">
        <f>INDEX('Lineal Mixto'!$C$5:$C$2004,2*A2076)</f>
      </c>
      <c r="D2076" s="5" t="str">
        <f>B2076^2+C2076^2</f>
      </c>
      <c r="E2076" s="5" t="str">
        <f>IF(D2076&lt;=1,1,0)</f>
      </c>
    </row>
    <row r="2077">
      <c r="A2077" s="6">
        <v>50</v>
      </c>
      <c r="B2077" s="6" t="str">
        <f>INDEX('Lineal Mixto'!$C$5:$C$2004,2*A2077-1)</f>
      </c>
      <c r="C2077" s="6" t="str">
        <f>INDEX('Lineal Mixto'!$C$5:$C$2004,2*A2077)</f>
      </c>
      <c r="D2077" s="6" t="str">
        <f>B2077^2+C2077^2</f>
      </c>
      <c r="E2077" s="6" t="str">
        <f>IF(D2077&lt;=1,1,0)</f>
      </c>
    </row>
    <row r="2078">
      <c r="A2078" s="5">
        <v>51</v>
      </c>
      <c r="B2078" s="5" t="str">
        <f>INDEX('Lineal Mixto'!$C$5:$C$2004,2*A2078-1)</f>
      </c>
      <c r="C2078" s="5" t="str">
        <f>INDEX('Lineal Mixto'!$C$5:$C$2004,2*A2078)</f>
      </c>
      <c r="D2078" s="5" t="str">
        <f>B2078^2+C2078^2</f>
      </c>
      <c r="E2078" s="5" t="str">
        <f>IF(D2078&lt;=1,1,0)</f>
      </c>
    </row>
    <row r="2079">
      <c r="A2079" s="6">
        <v>52</v>
      </c>
      <c r="B2079" s="6" t="str">
        <f>INDEX('Lineal Mixto'!$C$5:$C$2004,2*A2079-1)</f>
      </c>
      <c r="C2079" s="6" t="str">
        <f>INDEX('Lineal Mixto'!$C$5:$C$2004,2*A2079)</f>
      </c>
      <c r="D2079" s="6" t="str">
        <f>B2079^2+C2079^2</f>
      </c>
      <c r="E2079" s="6" t="str">
        <f>IF(D2079&lt;=1,1,0)</f>
      </c>
    </row>
    <row r="2080">
      <c r="A2080" s="5">
        <v>53</v>
      </c>
      <c r="B2080" s="5" t="str">
        <f>INDEX('Lineal Mixto'!$C$5:$C$2004,2*A2080-1)</f>
      </c>
      <c r="C2080" s="5" t="str">
        <f>INDEX('Lineal Mixto'!$C$5:$C$2004,2*A2080)</f>
      </c>
      <c r="D2080" s="5" t="str">
        <f>B2080^2+C2080^2</f>
      </c>
      <c r="E2080" s="5" t="str">
        <f>IF(D2080&lt;=1,1,0)</f>
      </c>
    </row>
    <row r="2081">
      <c r="A2081" s="6">
        <v>54</v>
      </c>
      <c r="B2081" s="6" t="str">
        <f>INDEX('Lineal Mixto'!$C$5:$C$2004,2*A2081-1)</f>
      </c>
      <c r="C2081" s="6" t="str">
        <f>INDEX('Lineal Mixto'!$C$5:$C$2004,2*A2081)</f>
      </c>
      <c r="D2081" s="6" t="str">
        <f>B2081^2+C2081^2</f>
      </c>
      <c r="E2081" s="6" t="str">
        <f>IF(D2081&lt;=1,1,0)</f>
      </c>
    </row>
    <row r="2082">
      <c r="A2082" s="5">
        <v>55</v>
      </c>
      <c r="B2082" s="5" t="str">
        <f>INDEX('Lineal Mixto'!$C$5:$C$2004,2*A2082-1)</f>
      </c>
      <c r="C2082" s="5" t="str">
        <f>INDEX('Lineal Mixto'!$C$5:$C$2004,2*A2082)</f>
      </c>
      <c r="D2082" s="5" t="str">
        <f>B2082^2+C2082^2</f>
      </c>
      <c r="E2082" s="5" t="str">
        <f>IF(D2082&lt;=1,1,0)</f>
      </c>
    </row>
    <row r="2083">
      <c r="A2083" s="6">
        <v>56</v>
      </c>
      <c r="B2083" s="6" t="str">
        <f>INDEX('Lineal Mixto'!$C$5:$C$2004,2*A2083-1)</f>
      </c>
      <c r="C2083" s="6" t="str">
        <f>INDEX('Lineal Mixto'!$C$5:$C$2004,2*A2083)</f>
      </c>
      <c r="D2083" s="6" t="str">
        <f>B2083^2+C2083^2</f>
      </c>
      <c r="E2083" s="6" t="str">
        <f>IF(D2083&lt;=1,1,0)</f>
      </c>
    </row>
    <row r="2084">
      <c r="A2084" s="5">
        <v>57</v>
      </c>
      <c r="B2084" s="5" t="str">
        <f>INDEX('Lineal Mixto'!$C$5:$C$2004,2*A2084-1)</f>
      </c>
      <c r="C2084" s="5" t="str">
        <f>INDEX('Lineal Mixto'!$C$5:$C$2004,2*A2084)</f>
      </c>
      <c r="D2084" s="5" t="str">
        <f>B2084^2+C2084^2</f>
      </c>
      <c r="E2084" s="5" t="str">
        <f>IF(D2084&lt;=1,1,0)</f>
      </c>
    </row>
    <row r="2085">
      <c r="A2085" s="6">
        <v>58</v>
      </c>
      <c r="B2085" s="6" t="str">
        <f>INDEX('Lineal Mixto'!$C$5:$C$2004,2*A2085-1)</f>
      </c>
      <c r="C2085" s="6" t="str">
        <f>INDEX('Lineal Mixto'!$C$5:$C$2004,2*A2085)</f>
      </c>
      <c r="D2085" s="6" t="str">
        <f>B2085^2+C2085^2</f>
      </c>
      <c r="E2085" s="6" t="str">
        <f>IF(D2085&lt;=1,1,0)</f>
      </c>
    </row>
    <row r="2086">
      <c r="A2086" s="5">
        <v>59</v>
      </c>
      <c r="B2086" s="5" t="str">
        <f>INDEX('Lineal Mixto'!$C$5:$C$2004,2*A2086-1)</f>
      </c>
      <c r="C2086" s="5" t="str">
        <f>INDEX('Lineal Mixto'!$C$5:$C$2004,2*A2086)</f>
      </c>
      <c r="D2086" s="5" t="str">
        <f>B2086^2+C2086^2</f>
      </c>
      <c r="E2086" s="5" t="str">
        <f>IF(D2086&lt;=1,1,0)</f>
      </c>
    </row>
    <row r="2087">
      <c r="A2087" s="6">
        <v>60</v>
      </c>
      <c r="B2087" s="6" t="str">
        <f>INDEX('Lineal Mixto'!$C$5:$C$2004,2*A2087-1)</f>
      </c>
      <c r="C2087" s="6" t="str">
        <f>INDEX('Lineal Mixto'!$C$5:$C$2004,2*A2087)</f>
      </c>
      <c r="D2087" s="6" t="str">
        <f>B2087^2+C2087^2</f>
      </c>
      <c r="E2087" s="6" t="str">
        <f>IF(D2087&lt;=1,1,0)</f>
      </c>
    </row>
    <row r="2088">
      <c r="A2088" s="5">
        <v>61</v>
      </c>
      <c r="B2088" s="5" t="str">
        <f>INDEX('Lineal Mixto'!$C$5:$C$2004,2*A2088-1)</f>
      </c>
      <c r="C2088" s="5" t="str">
        <f>INDEX('Lineal Mixto'!$C$5:$C$2004,2*A2088)</f>
      </c>
      <c r="D2088" s="5" t="str">
        <f>B2088^2+C2088^2</f>
      </c>
      <c r="E2088" s="5" t="str">
        <f>IF(D2088&lt;=1,1,0)</f>
      </c>
    </row>
    <row r="2089">
      <c r="A2089" s="6">
        <v>62</v>
      </c>
      <c r="B2089" s="6" t="str">
        <f>INDEX('Lineal Mixto'!$C$5:$C$2004,2*A2089-1)</f>
      </c>
      <c r="C2089" s="6" t="str">
        <f>INDEX('Lineal Mixto'!$C$5:$C$2004,2*A2089)</f>
      </c>
      <c r="D2089" s="6" t="str">
        <f>B2089^2+C2089^2</f>
      </c>
      <c r="E2089" s="6" t="str">
        <f>IF(D2089&lt;=1,1,0)</f>
      </c>
    </row>
    <row r="2090">
      <c r="A2090" s="5">
        <v>63</v>
      </c>
      <c r="B2090" s="5" t="str">
        <f>INDEX('Lineal Mixto'!$C$5:$C$2004,2*A2090-1)</f>
      </c>
      <c r="C2090" s="5" t="str">
        <f>INDEX('Lineal Mixto'!$C$5:$C$2004,2*A2090)</f>
      </c>
      <c r="D2090" s="5" t="str">
        <f>B2090^2+C2090^2</f>
      </c>
      <c r="E2090" s="5" t="str">
        <f>IF(D2090&lt;=1,1,0)</f>
      </c>
    </row>
    <row r="2091">
      <c r="A2091" s="6">
        <v>64</v>
      </c>
      <c r="B2091" s="6" t="str">
        <f>INDEX('Lineal Mixto'!$C$5:$C$2004,2*A2091-1)</f>
      </c>
      <c r="C2091" s="6" t="str">
        <f>INDEX('Lineal Mixto'!$C$5:$C$2004,2*A2091)</f>
      </c>
      <c r="D2091" s="6" t="str">
        <f>B2091^2+C2091^2</f>
      </c>
      <c r="E2091" s="6" t="str">
        <f>IF(D2091&lt;=1,1,0)</f>
      </c>
    </row>
    <row r="2092">
      <c r="A2092" s="5">
        <v>65</v>
      </c>
      <c r="B2092" s="5" t="str">
        <f>INDEX('Lineal Mixto'!$C$5:$C$2004,2*A2092-1)</f>
      </c>
      <c r="C2092" s="5" t="str">
        <f>INDEX('Lineal Mixto'!$C$5:$C$2004,2*A2092)</f>
      </c>
      <c r="D2092" s="5" t="str">
        <f>B2092^2+C2092^2</f>
      </c>
      <c r="E2092" s="5" t="str">
        <f>IF(D2092&lt;=1,1,0)</f>
      </c>
    </row>
    <row r="2093">
      <c r="A2093" s="6">
        <v>66</v>
      </c>
      <c r="B2093" s="6" t="str">
        <f>INDEX('Lineal Mixto'!$C$5:$C$2004,2*A2093-1)</f>
      </c>
      <c r="C2093" s="6" t="str">
        <f>INDEX('Lineal Mixto'!$C$5:$C$2004,2*A2093)</f>
      </c>
      <c r="D2093" s="6" t="str">
        <f>B2093^2+C2093^2</f>
      </c>
      <c r="E2093" s="6" t="str">
        <f>IF(D2093&lt;=1,1,0)</f>
      </c>
    </row>
    <row r="2094">
      <c r="A2094" s="5">
        <v>67</v>
      </c>
      <c r="B2094" s="5" t="str">
        <f>INDEX('Lineal Mixto'!$C$5:$C$2004,2*A2094-1)</f>
      </c>
      <c r="C2094" s="5" t="str">
        <f>INDEX('Lineal Mixto'!$C$5:$C$2004,2*A2094)</f>
      </c>
      <c r="D2094" s="5" t="str">
        <f>B2094^2+C2094^2</f>
      </c>
      <c r="E2094" s="5" t="str">
        <f>IF(D2094&lt;=1,1,0)</f>
      </c>
    </row>
    <row r="2095">
      <c r="A2095" s="6">
        <v>68</v>
      </c>
      <c r="B2095" s="6" t="str">
        <f>INDEX('Lineal Mixto'!$C$5:$C$2004,2*A2095-1)</f>
      </c>
      <c r="C2095" s="6" t="str">
        <f>INDEX('Lineal Mixto'!$C$5:$C$2004,2*A2095)</f>
      </c>
      <c r="D2095" s="6" t="str">
        <f>B2095^2+C2095^2</f>
      </c>
      <c r="E2095" s="6" t="str">
        <f>IF(D2095&lt;=1,1,0)</f>
      </c>
    </row>
    <row r="2096">
      <c r="A2096" s="5">
        <v>69</v>
      </c>
      <c r="B2096" s="5" t="str">
        <f>INDEX('Lineal Mixto'!$C$5:$C$2004,2*A2096-1)</f>
      </c>
      <c r="C2096" s="5" t="str">
        <f>INDEX('Lineal Mixto'!$C$5:$C$2004,2*A2096)</f>
      </c>
      <c r="D2096" s="5" t="str">
        <f>B2096^2+C2096^2</f>
      </c>
      <c r="E2096" s="5" t="str">
        <f>IF(D2096&lt;=1,1,0)</f>
      </c>
    </row>
    <row r="2097">
      <c r="A2097" s="6">
        <v>70</v>
      </c>
      <c r="B2097" s="6" t="str">
        <f>INDEX('Lineal Mixto'!$C$5:$C$2004,2*A2097-1)</f>
      </c>
      <c r="C2097" s="6" t="str">
        <f>INDEX('Lineal Mixto'!$C$5:$C$2004,2*A2097)</f>
      </c>
      <c r="D2097" s="6" t="str">
        <f>B2097^2+C2097^2</f>
      </c>
      <c r="E2097" s="6" t="str">
        <f>IF(D2097&lt;=1,1,0)</f>
      </c>
    </row>
    <row r="2098">
      <c r="A2098" s="5">
        <v>71</v>
      </c>
      <c r="B2098" s="5" t="str">
        <f>INDEX('Lineal Mixto'!$C$5:$C$2004,2*A2098-1)</f>
      </c>
      <c r="C2098" s="5" t="str">
        <f>INDEX('Lineal Mixto'!$C$5:$C$2004,2*A2098)</f>
      </c>
      <c r="D2098" s="5" t="str">
        <f>B2098^2+C2098^2</f>
      </c>
      <c r="E2098" s="5" t="str">
        <f>IF(D2098&lt;=1,1,0)</f>
      </c>
    </row>
    <row r="2099">
      <c r="A2099" s="6">
        <v>72</v>
      </c>
      <c r="B2099" s="6" t="str">
        <f>INDEX('Lineal Mixto'!$C$5:$C$2004,2*A2099-1)</f>
      </c>
      <c r="C2099" s="6" t="str">
        <f>INDEX('Lineal Mixto'!$C$5:$C$2004,2*A2099)</f>
      </c>
      <c r="D2099" s="6" t="str">
        <f>B2099^2+C2099^2</f>
      </c>
      <c r="E2099" s="6" t="str">
        <f>IF(D2099&lt;=1,1,0)</f>
      </c>
    </row>
    <row r="2100">
      <c r="A2100" s="5">
        <v>73</v>
      </c>
      <c r="B2100" s="5" t="str">
        <f>INDEX('Lineal Mixto'!$C$5:$C$2004,2*A2100-1)</f>
      </c>
      <c r="C2100" s="5" t="str">
        <f>INDEX('Lineal Mixto'!$C$5:$C$2004,2*A2100)</f>
      </c>
      <c r="D2100" s="5" t="str">
        <f>B2100^2+C2100^2</f>
      </c>
      <c r="E2100" s="5" t="str">
        <f>IF(D2100&lt;=1,1,0)</f>
      </c>
    </row>
    <row r="2101">
      <c r="A2101" s="6">
        <v>74</v>
      </c>
      <c r="B2101" s="6" t="str">
        <f>INDEX('Lineal Mixto'!$C$5:$C$2004,2*A2101-1)</f>
      </c>
      <c r="C2101" s="6" t="str">
        <f>INDEX('Lineal Mixto'!$C$5:$C$2004,2*A2101)</f>
      </c>
      <c r="D2101" s="6" t="str">
        <f>B2101^2+C2101^2</f>
      </c>
      <c r="E2101" s="6" t="str">
        <f>IF(D2101&lt;=1,1,0)</f>
      </c>
    </row>
    <row r="2102">
      <c r="A2102" s="5">
        <v>75</v>
      </c>
      <c r="B2102" s="5" t="str">
        <f>INDEX('Lineal Mixto'!$C$5:$C$2004,2*A2102-1)</f>
      </c>
      <c r="C2102" s="5" t="str">
        <f>INDEX('Lineal Mixto'!$C$5:$C$2004,2*A2102)</f>
      </c>
      <c r="D2102" s="5" t="str">
        <f>B2102^2+C2102^2</f>
      </c>
      <c r="E2102" s="5" t="str">
        <f>IF(D2102&lt;=1,1,0)</f>
      </c>
    </row>
    <row r="2103">
      <c r="A2103" s="6">
        <v>76</v>
      </c>
      <c r="B2103" s="6" t="str">
        <f>INDEX('Lineal Mixto'!$C$5:$C$2004,2*A2103-1)</f>
      </c>
      <c r="C2103" s="6" t="str">
        <f>INDEX('Lineal Mixto'!$C$5:$C$2004,2*A2103)</f>
      </c>
      <c r="D2103" s="6" t="str">
        <f>B2103^2+C2103^2</f>
      </c>
      <c r="E2103" s="6" t="str">
        <f>IF(D2103&lt;=1,1,0)</f>
      </c>
    </row>
    <row r="2104">
      <c r="A2104" s="5">
        <v>77</v>
      </c>
      <c r="B2104" s="5" t="str">
        <f>INDEX('Lineal Mixto'!$C$5:$C$2004,2*A2104-1)</f>
      </c>
      <c r="C2104" s="5" t="str">
        <f>INDEX('Lineal Mixto'!$C$5:$C$2004,2*A2104)</f>
      </c>
      <c r="D2104" s="5" t="str">
        <f>B2104^2+C2104^2</f>
      </c>
      <c r="E2104" s="5" t="str">
        <f>IF(D2104&lt;=1,1,0)</f>
      </c>
    </row>
    <row r="2105">
      <c r="A2105" s="6">
        <v>78</v>
      </c>
      <c r="B2105" s="6" t="str">
        <f>INDEX('Lineal Mixto'!$C$5:$C$2004,2*A2105-1)</f>
      </c>
      <c r="C2105" s="6" t="str">
        <f>INDEX('Lineal Mixto'!$C$5:$C$2004,2*A2105)</f>
      </c>
      <c r="D2105" s="6" t="str">
        <f>B2105^2+C2105^2</f>
      </c>
      <c r="E2105" s="6" t="str">
        <f>IF(D2105&lt;=1,1,0)</f>
      </c>
    </row>
    <row r="2106">
      <c r="A2106" s="5">
        <v>79</v>
      </c>
      <c r="B2106" s="5" t="str">
        <f>INDEX('Lineal Mixto'!$C$5:$C$2004,2*A2106-1)</f>
      </c>
      <c r="C2106" s="5" t="str">
        <f>INDEX('Lineal Mixto'!$C$5:$C$2004,2*A2106)</f>
      </c>
      <c r="D2106" s="5" t="str">
        <f>B2106^2+C2106^2</f>
      </c>
      <c r="E2106" s="5" t="str">
        <f>IF(D2106&lt;=1,1,0)</f>
      </c>
    </row>
    <row r="2107">
      <c r="A2107" s="6">
        <v>80</v>
      </c>
      <c r="B2107" s="6" t="str">
        <f>INDEX('Lineal Mixto'!$C$5:$C$2004,2*A2107-1)</f>
      </c>
      <c r="C2107" s="6" t="str">
        <f>INDEX('Lineal Mixto'!$C$5:$C$2004,2*A2107)</f>
      </c>
      <c r="D2107" s="6" t="str">
        <f>B2107^2+C2107^2</f>
      </c>
      <c r="E2107" s="6" t="str">
        <f>IF(D2107&lt;=1,1,0)</f>
      </c>
    </row>
    <row r="2108">
      <c r="A2108" s="5">
        <v>81</v>
      </c>
      <c r="B2108" s="5" t="str">
        <f>INDEX('Lineal Mixto'!$C$5:$C$2004,2*A2108-1)</f>
      </c>
      <c r="C2108" s="5" t="str">
        <f>INDEX('Lineal Mixto'!$C$5:$C$2004,2*A2108)</f>
      </c>
      <c r="D2108" s="5" t="str">
        <f>B2108^2+C2108^2</f>
      </c>
      <c r="E2108" s="5" t="str">
        <f>IF(D2108&lt;=1,1,0)</f>
      </c>
    </row>
    <row r="2109">
      <c r="A2109" s="6">
        <v>82</v>
      </c>
      <c r="B2109" s="6" t="str">
        <f>INDEX('Lineal Mixto'!$C$5:$C$2004,2*A2109-1)</f>
      </c>
      <c r="C2109" s="6" t="str">
        <f>INDEX('Lineal Mixto'!$C$5:$C$2004,2*A2109)</f>
      </c>
      <c r="D2109" s="6" t="str">
        <f>B2109^2+C2109^2</f>
      </c>
      <c r="E2109" s="6" t="str">
        <f>IF(D2109&lt;=1,1,0)</f>
      </c>
    </row>
    <row r="2110">
      <c r="A2110" s="5">
        <v>83</v>
      </c>
      <c r="B2110" s="5" t="str">
        <f>INDEX('Lineal Mixto'!$C$5:$C$2004,2*A2110-1)</f>
      </c>
      <c r="C2110" s="5" t="str">
        <f>INDEX('Lineal Mixto'!$C$5:$C$2004,2*A2110)</f>
      </c>
      <c r="D2110" s="5" t="str">
        <f>B2110^2+C2110^2</f>
      </c>
      <c r="E2110" s="5" t="str">
        <f>IF(D2110&lt;=1,1,0)</f>
      </c>
    </row>
    <row r="2111">
      <c r="A2111" s="6">
        <v>84</v>
      </c>
      <c r="B2111" s="6" t="str">
        <f>INDEX('Lineal Mixto'!$C$5:$C$2004,2*A2111-1)</f>
      </c>
      <c r="C2111" s="6" t="str">
        <f>INDEX('Lineal Mixto'!$C$5:$C$2004,2*A2111)</f>
      </c>
      <c r="D2111" s="6" t="str">
        <f>B2111^2+C2111^2</f>
      </c>
      <c r="E2111" s="6" t="str">
        <f>IF(D2111&lt;=1,1,0)</f>
      </c>
    </row>
    <row r="2112">
      <c r="A2112" s="5">
        <v>85</v>
      </c>
      <c r="B2112" s="5" t="str">
        <f>INDEX('Lineal Mixto'!$C$5:$C$2004,2*A2112-1)</f>
      </c>
      <c r="C2112" s="5" t="str">
        <f>INDEX('Lineal Mixto'!$C$5:$C$2004,2*A2112)</f>
      </c>
      <c r="D2112" s="5" t="str">
        <f>B2112^2+C2112^2</f>
      </c>
      <c r="E2112" s="5" t="str">
        <f>IF(D2112&lt;=1,1,0)</f>
      </c>
    </row>
    <row r="2113">
      <c r="A2113" s="6">
        <v>86</v>
      </c>
      <c r="B2113" s="6" t="str">
        <f>INDEX('Lineal Mixto'!$C$5:$C$2004,2*A2113-1)</f>
      </c>
      <c r="C2113" s="6" t="str">
        <f>INDEX('Lineal Mixto'!$C$5:$C$2004,2*A2113)</f>
      </c>
      <c r="D2113" s="6" t="str">
        <f>B2113^2+C2113^2</f>
      </c>
      <c r="E2113" s="6" t="str">
        <f>IF(D2113&lt;=1,1,0)</f>
      </c>
    </row>
    <row r="2114">
      <c r="A2114" s="5">
        <v>87</v>
      </c>
      <c r="B2114" s="5" t="str">
        <f>INDEX('Lineal Mixto'!$C$5:$C$2004,2*A2114-1)</f>
      </c>
      <c r="C2114" s="5" t="str">
        <f>INDEX('Lineal Mixto'!$C$5:$C$2004,2*A2114)</f>
      </c>
      <c r="D2114" s="5" t="str">
        <f>B2114^2+C2114^2</f>
      </c>
      <c r="E2114" s="5" t="str">
        <f>IF(D2114&lt;=1,1,0)</f>
      </c>
    </row>
    <row r="2115">
      <c r="A2115" s="6">
        <v>88</v>
      </c>
      <c r="B2115" s="6" t="str">
        <f>INDEX('Lineal Mixto'!$C$5:$C$2004,2*A2115-1)</f>
      </c>
      <c r="C2115" s="6" t="str">
        <f>INDEX('Lineal Mixto'!$C$5:$C$2004,2*A2115)</f>
      </c>
      <c r="D2115" s="6" t="str">
        <f>B2115^2+C2115^2</f>
      </c>
      <c r="E2115" s="6" t="str">
        <f>IF(D2115&lt;=1,1,0)</f>
      </c>
    </row>
    <row r="2116">
      <c r="A2116" s="5">
        <v>89</v>
      </c>
      <c r="B2116" s="5" t="str">
        <f>INDEX('Lineal Mixto'!$C$5:$C$2004,2*A2116-1)</f>
      </c>
      <c r="C2116" s="5" t="str">
        <f>INDEX('Lineal Mixto'!$C$5:$C$2004,2*A2116)</f>
      </c>
      <c r="D2116" s="5" t="str">
        <f>B2116^2+C2116^2</f>
      </c>
      <c r="E2116" s="5" t="str">
        <f>IF(D2116&lt;=1,1,0)</f>
      </c>
    </row>
    <row r="2117">
      <c r="A2117" s="6">
        <v>90</v>
      </c>
      <c r="B2117" s="6" t="str">
        <f>INDEX('Lineal Mixto'!$C$5:$C$2004,2*A2117-1)</f>
      </c>
      <c r="C2117" s="6" t="str">
        <f>INDEX('Lineal Mixto'!$C$5:$C$2004,2*A2117)</f>
      </c>
      <c r="D2117" s="6" t="str">
        <f>B2117^2+C2117^2</f>
      </c>
      <c r="E2117" s="6" t="str">
        <f>IF(D2117&lt;=1,1,0)</f>
      </c>
    </row>
    <row r="2118">
      <c r="A2118" s="5">
        <v>91</v>
      </c>
      <c r="B2118" s="5" t="str">
        <f>INDEX('Lineal Mixto'!$C$5:$C$2004,2*A2118-1)</f>
      </c>
      <c r="C2118" s="5" t="str">
        <f>INDEX('Lineal Mixto'!$C$5:$C$2004,2*A2118)</f>
      </c>
      <c r="D2118" s="5" t="str">
        <f>B2118^2+C2118^2</f>
      </c>
      <c r="E2118" s="5" t="str">
        <f>IF(D2118&lt;=1,1,0)</f>
      </c>
    </row>
    <row r="2119">
      <c r="A2119" s="6">
        <v>92</v>
      </c>
      <c r="B2119" s="6" t="str">
        <f>INDEX('Lineal Mixto'!$C$5:$C$2004,2*A2119-1)</f>
      </c>
      <c r="C2119" s="6" t="str">
        <f>INDEX('Lineal Mixto'!$C$5:$C$2004,2*A2119)</f>
      </c>
      <c r="D2119" s="6" t="str">
        <f>B2119^2+C2119^2</f>
      </c>
      <c r="E2119" s="6" t="str">
        <f>IF(D2119&lt;=1,1,0)</f>
      </c>
    </row>
    <row r="2120">
      <c r="A2120" s="5">
        <v>93</v>
      </c>
      <c r="B2120" s="5" t="str">
        <f>INDEX('Lineal Mixto'!$C$5:$C$2004,2*A2120-1)</f>
      </c>
      <c r="C2120" s="5" t="str">
        <f>INDEX('Lineal Mixto'!$C$5:$C$2004,2*A2120)</f>
      </c>
      <c r="D2120" s="5" t="str">
        <f>B2120^2+C2120^2</f>
      </c>
      <c r="E2120" s="5" t="str">
        <f>IF(D2120&lt;=1,1,0)</f>
      </c>
    </row>
    <row r="2121">
      <c r="A2121" s="6">
        <v>94</v>
      </c>
      <c r="B2121" s="6" t="str">
        <f>INDEX('Lineal Mixto'!$C$5:$C$2004,2*A2121-1)</f>
      </c>
      <c r="C2121" s="6" t="str">
        <f>INDEX('Lineal Mixto'!$C$5:$C$2004,2*A2121)</f>
      </c>
      <c r="D2121" s="6" t="str">
        <f>B2121^2+C2121^2</f>
      </c>
      <c r="E2121" s="6" t="str">
        <f>IF(D2121&lt;=1,1,0)</f>
      </c>
    </row>
    <row r="2122">
      <c r="A2122" s="5">
        <v>95</v>
      </c>
      <c r="B2122" s="5" t="str">
        <f>INDEX('Lineal Mixto'!$C$5:$C$2004,2*A2122-1)</f>
      </c>
      <c r="C2122" s="5" t="str">
        <f>INDEX('Lineal Mixto'!$C$5:$C$2004,2*A2122)</f>
      </c>
      <c r="D2122" s="5" t="str">
        <f>B2122^2+C2122^2</f>
      </c>
      <c r="E2122" s="5" t="str">
        <f>IF(D2122&lt;=1,1,0)</f>
      </c>
    </row>
    <row r="2123">
      <c r="A2123" s="6">
        <v>96</v>
      </c>
      <c r="B2123" s="6" t="str">
        <f>INDEX('Lineal Mixto'!$C$5:$C$2004,2*A2123-1)</f>
      </c>
      <c r="C2123" s="6" t="str">
        <f>INDEX('Lineal Mixto'!$C$5:$C$2004,2*A2123)</f>
      </c>
      <c r="D2123" s="6" t="str">
        <f>B2123^2+C2123^2</f>
      </c>
      <c r="E2123" s="6" t="str">
        <f>IF(D2123&lt;=1,1,0)</f>
      </c>
    </row>
    <row r="2124">
      <c r="A2124" s="5">
        <v>97</v>
      </c>
      <c r="B2124" s="5" t="str">
        <f>INDEX('Lineal Mixto'!$C$5:$C$2004,2*A2124-1)</f>
      </c>
      <c r="C2124" s="5" t="str">
        <f>INDEX('Lineal Mixto'!$C$5:$C$2004,2*A2124)</f>
      </c>
      <c r="D2124" s="5" t="str">
        <f>B2124^2+C2124^2</f>
      </c>
      <c r="E2124" s="5" t="str">
        <f>IF(D2124&lt;=1,1,0)</f>
      </c>
    </row>
    <row r="2125">
      <c r="A2125" s="6">
        <v>98</v>
      </c>
      <c r="B2125" s="6" t="str">
        <f>INDEX('Lineal Mixto'!$C$5:$C$2004,2*A2125-1)</f>
      </c>
      <c r="C2125" s="6" t="str">
        <f>INDEX('Lineal Mixto'!$C$5:$C$2004,2*A2125)</f>
      </c>
      <c r="D2125" s="6" t="str">
        <f>B2125^2+C2125^2</f>
      </c>
      <c r="E2125" s="6" t="str">
        <f>IF(D2125&lt;=1,1,0)</f>
      </c>
    </row>
    <row r="2126">
      <c r="A2126" s="5">
        <v>99</v>
      </c>
      <c r="B2126" s="5" t="str">
        <f>INDEX('Lineal Mixto'!$C$5:$C$2004,2*A2126-1)</f>
      </c>
      <c r="C2126" s="5" t="str">
        <f>INDEX('Lineal Mixto'!$C$5:$C$2004,2*A2126)</f>
      </c>
      <c r="D2126" s="5" t="str">
        <f>B2126^2+C2126^2</f>
      </c>
      <c r="E2126" s="5" t="str">
        <f>IF(D2126&lt;=1,1,0)</f>
      </c>
    </row>
    <row r="2127">
      <c r="A2127" s="6">
        <v>100</v>
      </c>
      <c r="B2127" s="6" t="str">
        <f>INDEX('Lineal Mixto'!$C$5:$C$2004,2*A2127-1)</f>
      </c>
      <c r="C2127" s="6" t="str">
        <f>INDEX('Lineal Mixto'!$C$5:$C$2004,2*A2127)</f>
      </c>
      <c r="D2127" s="6" t="str">
        <f>B2127^2+C2127^2</f>
      </c>
      <c r="E2127" s="6" t="str">
        <f>IF(D2127&lt;=1,1,0)</f>
      </c>
    </row>
    <row r="2128">
      <c r="A2128" s="5">
        <v>101</v>
      </c>
      <c r="B2128" s="5" t="str">
        <f>INDEX('Lineal Mixto'!$C$5:$C$2004,2*A2128-1)</f>
      </c>
      <c r="C2128" s="5" t="str">
        <f>INDEX('Lineal Mixto'!$C$5:$C$2004,2*A2128)</f>
      </c>
      <c r="D2128" s="5" t="str">
        <f>B2128^2+C2128^2</f>
      </c>
      <c r="E2128" s="5" t="str">
        <f>IF(D2128&lt;=1,1,0)</f>
      </c>
    </row>
    <row r="2129">
      <c r="A2129" s="6">
        <v>102</v>
      </c>
      <c r="B2129" s="6" t="str">
        <f>INDEX('Lineal Mixto'!$C$5:$C$2004,2*A2129-1)</f>
      </c>
      <c r="C2129" s="6" t="str">
        <f>INDEX('Lineal Mixto'!$C$5:$C$2004,2*A2129)</f>
      </c>
      <c r="D2129" s="6" t="str">
        <f>B2129^2+C2129^2</f>
      </c>
      <c r="E2129" s="6" t="str">
        <f>IF(D2129&lt;=1,1,0)</f>
      </c>
    </row>
    <row r="2130">
      <c r="A2130" s="5">
        <v>103</v>
      </c>
      <c r="B2130" s="5" t="str">
        <f>INDEX('Lineal Mixto'!$C$5:$C$2004,2*A2130-1)</f>
      </c>
      <c r="C2130" s="5" t="str">
        <f>INDEX('Lineal Mixto'!$C$5:$C$2004,2*A2130)</f>
      </c>
      <c r="D2130" s="5" t="str">
        <f>B2130^2+C2130^2</f>
      </c>
      <c r="E2130" s="5" t="str">
        <f>IF(D2130&lt;=1,1,0)</f>
      </c>
    </row>
    <row r="2131">
      <c r="A2131" s="6">
        <v>104</v>
      </c>
      <c r="B2131" s="6" t="str">
        <f>INDEX('Lineal Mixto'!$C$5:$C$2004,2*A2131-1)</f>
      </c>
      <c r="C2131" s="6" t="str">
        <f>INDEX('Lineal Mixto'!$C$5:$C$2004,2*A2131)</f>
      </c>
      <c r="D2131" s="6" t="str">
        <f>B2131^2+C2131^2</f>
      </c>
      <c r="E2131" s="6" t="str">
        <f>IF(D2131&lt;=1,1,0)</f>
      </c>
    </row>
    <row r="2132">
      <c r="A2132" s="5">
        <v>105</v>
      </c>
      <c r="B2132" s="5" t="str">
        <f>INDEX('Lineal Mixto'!$C$5:$C$2004,2*A2132-1)</f>
      </c>
      <c r="C2132" s="5" t="str">
        <f>INDEX('Lineal Mixto'!$C$5:$C$2004,2*A2132)</f>
      </c>
      <c r="D2132" s="5" t="str">
        <f>B2132^2+C2132^2</f>
      </c>
      <c r="E2132" s="5" t="str">
        <f>IF(D2132&lt;=1,1,0)</f>
      </c>
    </row>
    <row r="2133">
      <c r="A2133" s="6">
        <v>106</v>
      </c>
      <c r="B2133" s="6" t="str">
        <f>INDEX('Lineal Mixto'!$C$5:$C$2004,2*A2133-1)</f>
      </c>
      <c r="C2133" s="6" t="str">
        <f>INDEX('Lineal Mixto'!$C$5:$C$2004,2*A2133)</f>
      </c>
      <c r="D2133" s="6" t="str">
        <f>B2133^2+C2133^2</f>
      </c>
      <c r="E2133" s="6" t="str">
        <f>IF(D2133&lt;=1,1,0)</f>
      </c>
    </row>
    <row r="2134">
      <c r="A2134" s="5">
        <v>107</v>
      </c>
      <c r="B2134" s="5" t="str">
        <f>INDEX('Lineal Mixto'!$C$5:$C$2004,2*A2134-1)</f>
      </c>
      <c r="C2134" s="5" t="str">
        <f>INDEX('Lineal Mixto'!$C$5:$C$2004,2*A2134)</f>
      </c>
      <c r="D2134" s="5" t="str">
        <f>B2134^2+C2134^2</f>
      </c>
      <c r="E2134" s="5" t="str">
        <f>IF(D2134&lt;=1,1,0)</f>
      </c>
    </row>
    <row r="2135">
      <c r="A2135" s="6">
        <v>108</v>
      </c>
      <c r="B2135" s="6" t="str">
        <f>INDEX('Lineal Mixto'!$C$5:$C$2004,2*A2135-1)</f>
      </c>
      <c r="C2135" s="6" t="str">
        <f>INDEX('Lineal Mixto'!$C$5:$C$2004,2*A2135)</f>
      </c>
      <c r="D2135" s="6" t="str">
        <f>B2135^2+C2135^2</f>
      </c>
      <c r="E2135" s="6" t="str">
        <f>IF(D2135&lt;=1,1,0)</f>
      </c>
    </row>
    <row r="2136">
      <c r="A2136" s="5">
        <v>109</v>
      </c>
      <c r="B2136" s="5" t="str">
        <f>INDEX('Lineal Mixto'!$C$5:$C$2004,2*A2136-1)</f>
      </c>
      <c r="C2136" s="5" t="str">
        <f>INDEX('Lineal Mixto'!$C$5:$C$2004,2*A2136)</f>
      </c>
      <c r="D2136" s="5" t="str">
        <f>B2136^2+C2136^2</f>
      </c>
      <c r="E2136" s="5" t="str">
        <f>IF(D2136&lt;=1,1,0)</f>
      </c>
    </row>
    <row r="2137">
      <c r="A2137" s="6">
        <v>110</v>
      </c>
      <c r="B2137" s="6" t="str">
        <f>INDEX('Lineal Mixto'!$C$5:$C$2004,2*A2137-1)</f>
      </c>
      <c r="C2137" s="6" t="str">
        <f>INDEX('Lineal Mixto'!$C$5:$C$2004,2*A2137)</f>
      </c>
      <c r="D2137" s="6" t="str">
        <f>B2137^2+C2137^2</f>
      </c>
      <c r="E2137" s="6" t="str">
        <f>IF(D2137&lt;=1,1,0)</f>
      </c>
    </row>
    <row r="2138">
      <c r="A2138" s="5">
        <v>111</v>
      </c>
      <c r="B2138" s="5" t="str">
        <f>INDEX('Lineal Mixto'!$C$5:$C$2004,2*A2138-1)</f>
      </c>
      <c r="C2138" s="5" t="str">
        <f>INDEX('Lineal Mixto'!$C$5:$C$2004,2*A2138)</f>
      </c>
      <c r="D2138" s="5" t="str">
        <f>B2138^2+C2138^2</f>
      </c>
      <c r="E2138" s="5" t="str">
        <f>IF(D2138&lt;=1,1,0)</f>
      </c>
    </row>
    <row r="2139">
      <c r="A2139" s="6">
        <v>112</v>
      </c>
      <c r="B2139" s="6" t="str">
        <f>INDEX('Lineal Mixto'!$C$5:$C$2004,2*A2139-1)</f>
      </c>
      <c r="C2139" s="6" t="str">
        <f>INDEX('Lineal Mixto'!$C$5:$C$2004,2*A2139)</f>
      </c>
      <c r="D2139" s="6" t="str">
        <f>B2139^2+C2139^2</f>
      </c>
      <c r="E2139" s="6" t="str">
        <f>IF(D2139&lt;=1,1,0)</f>
      </c>
    </row>
    <row r="2140">
      <c r="A2140" s="5">
        <v>113</v>
      </c>
      <c r="B2140" s="5" t="str">
        <f>INDEX('Lineal Mixto'!$C$5:$C$2004,2*A2140-1)</f>
      </c>
      <c r="C2140" s="5" t="str">
        <f>INDEX('Lineal Mixto'!$C$5:$C$2004,2*A2140)</f>
      </c>
      <c r="D2140" s="5" t="str">
        <f>B2140^2+C2140^2</f>
      </c>
      <c r="E2140" s="5" t="str">
        <f>IF(D2140&lt;=1,1,0)</f>
      </c>
    </row>
    <row r="2141">
      <c r="A2141" s="6">
        <v>114</v>
      </c>
      <c r="B2141" s="6" t="str">
        <f>INDEX('Lineal Mixto'!$C$5:$C$2004,2*A2141-1)</f>
      </c>
      <c r="C2141" s="6" t="str">
        <f>INDEX('Lineal Mixto'!$C$5:$C$2004,2*A2141)</f>
      </c>
      <c r="D2141" s="6" t="str">
        <f>B2141^2+C2141^2</f>
      </c>
      <c r="E2141" s="6" t="str">
        <f>IF(D2141&lt;=1,1,0)</f>
      </c>
    </row>
    <row r="2142">
      <c r="A2142" s="5">
        <v>115</v>
      </c>
      <c r="B2142" s="5" t="str">
        <f>INDEX('Lineal Mixto'!$C$5:$C$2004,2*A2142-1)</f>
      </c>
      <c r="C2142" s="5" t="str">
        <f>INDEX('Lineal Mixto'!$C$5:$C$2004,2*A2142)</f>
      </c>
      <c r="D2142" s="5" t="str">
        <f>B2142^2+C2142^2</f>
      </c>
      <c r="E2142" s="5" t="str">
        <f>IF(D2142&lt;=1,1,0)</f>
      </c>
    </row>
    <row r="2143">
      <c r="A2143" s="6">
        <v>116</v>
      </c>
      <c r="B2143" s="6" t="str">
        <f>INDEX('Lineal Mixto'!$C$5:$C$2004,2*A2143-1)</f>
      </c>
      <c r="C2143" s="6" t="str">
        <f>INDEX('Lineal Mixto'!$C$5:$C$2004,2*A2143)</f>
      </c>
      <c r="D2143" s="6" t="str">
        <f>B2143^2+C2143^2</f>
      </c>
      <c r="E2143" s="6" t="str">
        <f>IF(D2143&lt;=1,1,0)</f>
      </c>
    </row>
    <row r="2144">
      <c r="A2144" s="5">
        <v>117</v>
      </c>
      <c r="B2144" s="5" t="str">
        <f>INDEX('Lineal Mixto'!$C$5:$C$2004,2*A2144-1)</f>
      </c>
      <c r="C2144" s="5" t="str">
        <f>INDEX('Lineal Mixto'!$C$5:$C$2004,2*A2144)</f>
      </c>
      <c r="D2144" s="5" t="str">
        <f>B2144^2+C2144^2</f>
      </c>
      <c r="E2144" s="5" t="str">
        <f>IF(D2144&lt;=1,1,0)</f>
      </c>
    </row>
    <row r="2145">
      <c r="A2145" s="6">
        <v>118</v>
      </c>
      <c r="B2145" s="6" t="str">
        <f>INDEX('Lineal Mixto'!$C$5:$C$2004,2*A2145-1)</f>
      </c>
      <c r="C2145" s="6" t="str">
        <f>INDEX('Lineal Mixto'!$C$5:$C$2004,2*A2145)</f>
      </c>
      <c r="D2145" s="6" t="str">
        <f>B2145^2+C2145^2</f>
      </c>
      <c r="E2145" s="6" t="str">
        <f>IF(D2145&lt;=1,1,0)</f>
      </c>
    </row>
    <row r="2146">
      <c r="A2146" s="5">
        <v>119</v>
      </c>
      <c r="B2146" s="5" t="str">
        <f>INDEX('Lineal Mixto'!$C$5:$C$2004,2*A2146-1)</f>
      </c>
      <c r="C2146" s="5" t="str">
        <f>INDEX('Lineal Mixto'!$C$5:$C$2004,2*A2146)</f>
      </c>
      <c r="D2146" s="5" t="str">
        <f>B2146^2+C2146^2</f>
      </c>
      <c r="E2146" s="5" t="str">
        <f>IF(D2146&lt;=1,1,0)</f>
      </c>
    </row>
    <row r="2147">
      <c r="A2147" s="6">
        <v>120</v>
      </c>
      <c r="B2147" s="6" t="str">
        <f>INDEX('Lineal Mixto'!$C$5:$C$2004,2*A2147-1)</f>
      </c>
      <c r="C2147" s="6" t="str">
        <f>INDEX('Lineal Mixto'!$C$5:$C$2004,2*A2147)</f>
      </c>
      <c r="D2147" s="6" t="str">
        <f>B2147^2+C2147^2</f>
      </c>
      <c r="E2147" s="6" t="str">
        <f>IF(D2147&lt;=1,1,0)</f>
      </c>
    </row>
    <row r="2148">
      <c r="A2148" s="5">
        <v>121</v>
      </c>
      <c r="B2148" s="5" t="str">
        <f>INDEX('Lineal Mixto'!$C$5:$C$2004,2*A2148-1)</f>
      </c>
      <c r="C2148" s="5" t="str">
        <f>INDEX('Lineal Mixto'!$C$5:$C$2004,2*A2148)</f>
      </c>
      <c r="D2148" s="5" t="str">
        <f>B2148^2+C2148^2</f>
      </c>
      <c r="E2148" s="5" t="str">
        <f>IF(D2148&lt;=1,1,0)</f>
      </c>
    </row>
    <row r="2149">
      <c r="A2149" s="6">
        <v>122</v>
      </c>
      <c r="B2149" s="6" t="str">
        <f>INDEX('Lineal Mixto'!$C$5:$C$2004,2*A2149-1)</f>
      </c>
      <c r="C2149" s="6" t="str">
        <f>INDEX('Lineal Mixto'!$C$5:$C$2004,2*A2149)</f>
      </c>
      <c r="D2149" s="6" t="str">
        <f>B2149^2+C2149^2</f>
      </c>
      <c r="E2149" s="6" t="str">
        <f>IF(D2149&lt;=1,1,0)</f>
      </c>
    </row>
    <row r="2150">
      <c r="A2150" s="5">
        <v>123</v>
      </c>
      <c r="B2150" s="5" t="str">
        <f>INDEX('Lineal Mixto'!$C$5:$C$2004,2*A2150-1)</f>
      </c>
      <c r="C2150" s="5" t="str">
        <f>INDEX('Lineal Mixto'!$C$5:$C$2004,2*A2150)</f>
      </c>
      <c r="D2150" s="5" t="str">
        <f>B2150^2+C2150^2</f>
      </c>
      <c r="E2150" s="5" t="str">
        <f>IF(D2150&lt;=1,1,0)</f>
      </c>
    </row>
    <row r="2151">
      <c r="A2151" s="6">
        <v>124</v>
      </c>
      <c r="B2151" s="6" t="str">
        <f>INDEX('Lineal Mixto'!$C$5:$C$2004,2*A2151-1)</f>
      </c>
      <c r="C2151" s="6" t="str">
        <f>INDEX('Lineal Mixto'!$C$5:$C$2004,2*A2151)</f>
      </c>
      <c r="D2151" s="6" t="str">
        <f>B2151^2+C2151^2</f>
      </c>
      <c r="E2151" s="6" t="str">
        <f>IF(D2151&lt;=1,1,0)</f>
      </c>
    </row>
    <row r="2152">
      <c r="A2152" s="5">
        <v>125</v>
      </c>
      <c r="B2152" s="5" t="str">
        <f>INDEX('Lineal Mixto'!$C$5:$C$2004,2*A2152-1)</f>
      </c>
      <c r="C2152" s="5" t="str">
        <f>INDEX('Lineal Mixto'!$C$5:$C$2004,2*A2152)</f>
      </c>
      <c r="D2152" s="5" t="str">
        <f>B2152^2+C2152^2</f>
      </c>
      <c r="E2152" s="5" t="str">
        <f>IF(D2152&lt;=1,1,0)</f>
      </c>
    </row>
    <row r="2153">
      <c r="A2153" s="6">
        <v>126</v>
      </c>
      <c r="B2153" s="6" t="str">
        <f>INDEX('Lineal Mixto'!$C$5:$C$2004,2*A2153-1)</f>
      </c>
      <c r="C2153" s="6" t="str">
        <f>INDEX('Lineal Mixto'!$C$5:$C$2004,2*A2153)</f>
      </c>
      <c r="D2153" s="6" t="str">
        <f>B2153^2+C2153^2</f>
      </c>
      <c r="E2153" s="6" t="str">
        <f>IF(D2153&lt;=1,1,0)</f>
      </c>
    </row>
    <row r="2154">
      <c r="A2154" s="5">
        <v>127</v>
      </c>
      <c r="B2154" s="5" t="str">
        <f>INDEX('Lineal Mixto'!$C$5:$C$2004,2*A2154-1)</f>
      </c>
      <c r="C2154" s="5" t="str">
        <f>INDEX('Lineal Mixto'!$C$5:$C$2004,2*A2154)</f>
      </c>
      <c r="D2154" s="5" t="str">
        <f>B2154^2+C2154^2</f>
      </c>
      <c r="E2154" s="5" t="str">
        <f>IF(D2154&lt;=1,1,0)</f>
      </c>
    </row>
    <row r="2155">
      <c r="A2155" s="6">
        <v>128</v>
      </c>
      <c r="B2155" s="6" t="str">
        <f>INDEX('Lineal Mixto'!$C$5:$C$2004,2*A2155-1)</f>
      </c>
      <c r="C2155" s="6" t="str">
        <f>INDEX('Lineal Mixto'!$C$5:$C$2004,2*A2155)</f>
      </c>
      <c r="D2155" s="6" t="str">
        <f>B2155^2+C2155^2</f>
      </c>
      <c r="E2155" s="6" t="str">
        <f>IF(D2155&lt;=1,1,0)</f>
      </c>
    </row>
    <row r="2156">
      <c r="A2156" s="5">
        <v>129</v>
      </c>
      <c r="B2156" s="5" t="str">
        <f>INDEX('Lineal Mixto'!$C$5:$C$2004,2*A2156-1)</f>
      </c>
      <c r="C2156" s="5" t="str">
        <f>INDEX('Lineal Mixto'!$C$5:$C$2004,2*A2156)</f>
      </c>
      <c r="D2156" s="5" t="str">
        <f>B2156^2+C2156^2</f>
      </c>
      <c r="E2156" s="5" t="str">
        <f>IF(D2156&lt;=1,1,0)</f>
      </c>
    </row>
    <row r="2157">
      <c r="A2157" s="6">
        <v>130</v>
      </c>
      <c r="B2157" s="6" t="str">
        <f>INDEX('Lineal Mixto'!$C$5:$C$2004,2*A2157-1)</f>
      </c>
      <c r="C2157" s="6" t="str">
        <f>INDEX('Lineal Mixto'!$C$5:$C$2004,2*A2157)</f>
      </c>
      <c r="D2157" s="6" t="str">
        <f>B2157^2+C2157^2</f>
      </c>
      <c r="E2157" s="6" t="str">
        <f>IF(D2157&lt;=1,1,0)</f>
      </c>
    </row>
    <row r="2158">
      <c r="A2158" s="5">
        <v>131</v>
      </c>
      <c r="B2158" s="5" t="str">
        <f>INDEX('Lineal Mixto'!$C$5:$C$2004,2*A2158-1)</f>
      </c>
      <c r="C2158" s="5" t="str">
        <f>INDEX('Lineal Mixto'!$C$5:$C$2004,2*A2158)</f>
      </c>
      <c r="D2158" s="5" t="str">
        <f>B2158^2+C2158^2</f>
      </c>
      <c r="E2158" s="5" t="str">
        <f>IF(D2158&lt;=1,1,0)</f>
      </c>
    </row>
    <row r="2159">
      <c r="A2159" s="6">
        <v>132</v>
      </c>
      <c r="B2159" s="6" t="str">
        <f>INDEX('Lineal Mixto'!$C$5:$C$2004,2*A2159-1)</f>
      </c>
      <c r="C2159" s="6" t="str">
        <f>INDEX('Lineal Mixto'!$C$5:$C$2004,2*A2159)</f>
      </c>
      <c r="D2159" s="6" t="str">
        <f>B2159^2+C2159^2</f>
      </c>
      <c r="E2159" s="6" t="str">
        <f>IF(D2159&lt;=1,1,0)</f>
      </c>
    </row>
    <row r="2160">
      <c r="A2160" s="5">
        <v>133</v>
      </c>
      <c r="B2160" s="5" t="str">
        <f>INDEX('Lineal Mixto'!$C$5:$C$2004,2*A2160-1)</f>
      </c>
      <c r="C2160" s="5" t="str">
        <f>INDEX('Lineal Mixto'!$C$5:$C$2004,2*A2160)</f>
      </c>
      <c r="D2160" s="5" t="str">
        <f>B2160^2+C2160^2</f>
      </c>
      <c r="E2160" s="5" t="str">
        <f>IF(D2160&lt;=1,1,0)</f>
      </c>
    </row>
    <row r="2161">
      <c r="A2161" s="6">
        <v>134</v>
      </c>
      <c r="B2161" s="6" t="str">
        <f>INDEX('Lineal Mixto'!$C$5:$C$2004,2*A2161-1)</f>
      </c>
      <c r="C2161" s="6" t="str">
        <f>INDEX('Lineal Mixto'!$C$5:$C$2004,2*A2161)</f>
      </c>
      <c r="D2161" s="6" t="str">
        <f>B2161^2+C2161^2</f>
      </c>
      <c r="E2161" s="6" t="str">
        <f>IF(D2161&lt;=1,1,0)</f>
      </c>
    </row>
    <row r="2162">
      <c r="A2162" s="5">
        <v>135</v>
      </c>
      <c r="B2162" s="5" t="str">
        <f>INDEX('Lineal Mixto'!$C$5:$C$2004,2*A2162-1)</f>
      </c>
      <c r="C2162" s="5" t="str">
        <f>INDEX('Lineal Mixto'!$C$5:$C$2004,2*A2162)</f>
      </c>
      <c r="D2162" s="5" t="str">
        <f>B2162^2+C2162^2</f>
      </c>
      <c r="E2162" s="5" t="str">
        <f>IF(D2162&lt;=1,1,0)</f>
      </c>
    </row>
    <row r="2163">
      <c r="A2163" s="6">
        <v>136</v>
      </c>
      <c r="B2163" s="6" t="str">
        <f>INDEX('Lineal Mixto'!$C$5:$C$2004,2*A2163-1)</f>
      </c>
      <c r="C2163" s="6" t="str">
        <f>INDEX('Lineal Mixto'!$C$5:$C$2004,2*A2163)</f>
      </c>
      <c r="D2163" s="6" t="str">
        <f>B2163^2+C2163^2</f>
      </c>
      <c r="E2163" s="6" t="str">
        <f>IF(D2163&lt;=1,1,0)</f>
      </c>
    </row>
    <row r="2164">
      <c r="A2164" s="5">
        <v>137</v>
      </c>
      <c r="B2164" s="5" t="str">
        <f>INDEX('Lineal Mixto'!$C$5:$C$2004,2*A2164-1)</f>
      </c>
      <c r="C2164" s="5" t="str">
        <f>INDEX('Lineal Mixto'!$C$5:$C$2004,2*A2164)</f>
      </c>
      <c r="D2164" s="5" t="str">
        <f>B2164^2+C2164^2</f>
      </c>
      <c r="E2164" s="5" t="str">
        <f>IF(D2164&lt;=1,1,0)</f>
      </c>
    </row>
    <row r="2165">
      <c r="A2165" s="6">
        <v>138</v>
      </c>
      <c r="B2165" s="6" t="str">
        <f>INDEX('Lineal Mixto'!$C$5:$C$2004,2*A2165-1)</f>
      </c>
      <c r="C2165" s="6" t="str">
        <f>INDEX('Lineal Mixto'!$C$5:$C$2004,2*A2165)</f>
      </c>
      <c r="D2165" s="6" t="str">
        <f>B2165^2+C2165^2</f>
      </c>
      <c r="E2165" s="6" t="str">
        <f>IF(D2165&lt;=1,1,0)</f>
      </c>
    </row>
    <row r="2166">
      <c r="A2166" s="5">
        <v>139</v>
      </c>
      <c r="B2166" s="5" t="str">
        <f>INDEX('Lineal Mixto'!$C$5:$C$2004,2*A2166-1)</f>
      </c>
      <c r="C2166" s="5" t="str">
        <f>INDEX('Lineal Mixto'!$C$5:$C$2004,2*A2166)</f>
      </c>
      <c r="D2166" s="5" t="str">
        <f>B2166^2+C2166^2</f>
      </c>
      <c r="E2166" s="5" t="str">
        <f>IF(D2166&lt;=1,1,0)</f>
      </c>
    </row>
    <row r="2167">
      <c r="A2167" s="6">
        <v>140</v>
      </c>
      <c r="B2167" s="6" t="str">
        <f>INDEX('Lineal Mixto'!$C$5:$C$2004,2*A2167-1)</f>
      </c>
      <c r="C2167" s="6" t="str">
        <f>INDEX('Lineal Mixto'!$C$5:$C$2004,2*A2167)</f>
      </c>
      <c r="D2167" s="6" t="str">
        <f>B2167^2+C2167^2</f>
      </c>
      <c r="E2167" s="6" t="str">
        <f>IF(D2167&lt;=1,1,0)</f>
      </c>
    </row>
    <row r="2168">
      <c r="A2168" s="5">
        <v>141</v>
      </c>
      <c r="B2168" s="5" t="str">
        <f>INDEX('Lineal Mixto'!$C$5:$C$2004,2*A2168-1)</f>
      </c>
      <c r="C2168" s="5" t="str">
        <f>INDEX('Lineal Mixto'!$C$5:$C$2004,2*A2168)</f>
      </c>
      <c r="D2168" s="5" t="str">
        <f>B2168^2+C2168^2</f>
      </c>
      <c r="E2168" s="5" t="str">
        <f>IF(D2168&lt;=1,1,0)</f>
      </c>
    </row>
    <row r="2169">
      <c r="A2169" s="6">
        <v>142</v>
      </c>
      <c r="B2169" s="6" t="str">
        <f>INDEX('Lineal Mixto'!$C$5:$C$2004,2*A2169-1)</f>
      </c>
      <c r="C2169" s="6" t="str">
        <f>INDEX('Lineal Mixto'!$C$5:$C$2004,2*A2169)</f>
      </c>
      <c r="D2169" s="6" t="str">
        <f>B2169^2+C2169^2</f>
      </c>
      <c r="E2169" s="6" t="str">
        <f>IF(D2169&lt;=1,1,0)</f>
      </c>
    </row>
    <row r="2170">
      <c r="A2170" s="5">
        <v>143</v>
      </c>
      <c r="B2170" s="5" t="str">
        <f>INDEX('Lineal Mixto'!$C$5:$C$2004,2*A2170-1)</f>
      </c>
      <c r="C2170" s="5" t="str">
        <f>INDEX('Lineal Mixto'!$C$5:$C$2004,2*A2170)</f>
      </c>
      <c r="D2170" s="5" t="str">
        <f>B2170^2+C2170^2</f>
      </c>
      <c r="E2170" s="5" t="str">
        <f>IF(D2170&lt;=1,1,0)</f>
      </c>
    </row>
    <row r="2171">
      <c r="A2171" s="6">
        <v>144</v>
      </c>
      <c r="B2171" s="6" t="str">
        <f>INDEX('Lineal Mixto'!$C$5:$C$2004,2*A2171-1)</f>
      </c>
      <c r="C2171" s="6" t="str">
        <f>INDEX('Lineal Mixto'!$C$5:$C$2004,2*A2171)</f>
      </c>
      <c r="D2171" s="6" t="str">
        <f>B2171^2+C2171^2</f>
      </c>
      <c r="E2171" s="6" t="str">
        <f>IF(D2171&lt;=1,1,0)</f>
      </c>
    </row>
    <row r="2172">
      <c r="A2172" s="5">
        <v>145</v>
      </c>
      <c r="B2172" s="5" t="str">
        <f>INDEX('Lineal Mixto'!$C$5:$C$2004,2*A2172-1)</f>
      </c>
      <c r="C2172" s="5" t="str">
        <f>INDEX('Lineal Mixto'!$C$5:$C$2004,2*A2172)</f>
      </c>
      <c r="D2172" s="5" t="str">
        <f>B2172^2+C2172^2</f>
      </c>
      <c r="E2172" s="5" t="str">
        <f>IF(D2172&lt;=1,1,0)</f>
      </c>
    </row>
    <row r="2173">
      <c r="A2173" s="6">
        <v>146</v>
      </c>
      <c r="B2173" s="6" t="str">
        <f>INDEX('Lineal Mixto'!$C$5:$C$2004,2*A2173-1)</f>
      </c>
      <c r="C2173" s="6" t="str">
        <f>INDEX('Lineal Mixto'!$C$5:$C$2004,2*A2173)</f>
      </c>
      <c r="D2173" s="6" t="str">
        <f>B2173^2+C2173^2</f>
      </c>
      <c r="E2173" s="6" t="str">
        <f>IF(D2173&lt;=1,1,0)</f>
      </c>
    </row>
    <row r="2174">
      <c r="A2174" s="5">
        <v>147</v>
      </c>
      <c r="B2174" s="5" t="str">
        <f>INDEX('Lineal Mixto'!$C$5:$C$2004,2*A2174-1)</f>
      </c>
      <c r="C2174" s="5" t="str">
        <f>INDEX('Lineal Mixto'!$C$5:$C$2004,2*A2174)</f>
      </c>
      <c r="D2174" s="5" t="str">
        <f>B2174^2+C2174^2</f>
      </c>
      <c r="E2174" s="5" t="str">
        <f>IF(D2174&lt;=1,1,0)</f>
      </c>
    </row>
    <row r="2175">
      <c r="A2175" s="6">
        <v>148</v>
      </c>
      <c r="B2175" s="6" t="str">
        <f>INDEX('Lineal Mixto'!$C$5:$C$2004,2*A2175-1)</f>
      </c>
      <c r="C2175" s="6" t="str">
        <f>INDEX('Lineal Mixto'!$C$5:$C$2004,2*A2175)</f>
      </c>
      <c r="D2175" s="6" t="str">
        <f>B2175^2+C2175^2</f>
      </c>
      <c r="E2175" s="6" t="str">
        <f>IF(D2175&lt;=1,1,0)</f>
      </c>
    </row>
    <row r="2176">
      <c r="A2176" s="5">
        <v>149</v>
      </c>
      <c r="B2176" s="5" t="str">
        <f>INDEX('Lineal Mixto'!$C$5:$C$2004,2*A2176-1)</f>
      </c>
      <c r="C2176" s="5" t="str">
        <f>INDEX('Lineal Mixto'!$C$5:$C$2004,2*A2176)</f>
      </c>
      <c r="D2176" s="5" t="str">
        <f>B2176^2+C2176^2</f>
      </c>
      <c r="E2176" s="5" t="str">
        <f>IF(D2176&lt;=1,1,0)</f>
      </c>
    </row>
    <row r="2177">
      <c r="A2177" s="6">
        <v>150</v>
      </c>
      <c r="B2177" s="6" t="str">
        <f>INDEX('Lineal Mixto'!$C$5:$C$2004,2*A2177-1)</f>
      </c>
      <c r="C2177" s="6" t="str">
        <f>INDEX('Lineal Mixto'!$C$5:$C$2004,2*A2177)</f>
      </c>
      <c r="D2177" s="6" t="str">
        <f>B2177^2+C2177^2</f>
      </c>
      <c r="E2177" s="6" t="str">
        <f>IF(D2177&lt;=1,1,0)</f>
      </c>
    </row>
    <row r="2178">
      <c r="A2178" s="5">
        <v>151</v>
      </c>
      <c r="B2178" s="5" t="str">
        <f>INDEX('Lineal Mixto'!$C$5:$C$2004,2*A2178-1)</f>
      </c>
      <c r="C2178" s="5" t="str">
        <f>INDEX('Lineal Mixto'!$C$5:$C$2004,2*A2178)</f>
      </c>
      <c r="D2178" s="5" t="str">
        <f>B2178^2+C2178^2</f>
      </c>
      <c r="E2178" s="5" t="str">
        <f>IF(D2178&lt;=1,1,0)</f>
      </c>
    </row>
    <row r="2179">
      <c r="A2179" s="6">
        <v>152</v>
      </c>
      <c r="B2179" s="6" t="str">
        <f>INDEX('Lineal Mixto'!$C$5:$C$2004,2*A2179-1)</f>
      </c>
      <c r="C2179" s="6" t="str">
        <f>INDEX('Lineal Mixto'!$C$5:$C$2004,2*A2179)</f>
      </c>
      <c r="D2179" s="6" t="str">
        <f>B2179^2+C2179^2</f>
      </c>
      <c r="E2179" s="6" t="str">
        <f>IF(D2179&lt;=1,1,0)</f>
      </c>
    </row>
    <row r="2180">
      <c r="A2180" s="5">
        <v>153</v>
      </c>
      <c r="B2180" s="5" t="str">
        <f>INDEX('Lineal Mixto'!$C$5:$C$2004,2*A2180-1)</f>
      </c>
      <c r="C2180" s="5" t="str">
        <f>INDEX('Lineal Mixto'!$C$5:$C$2004,2*A2180)</f>
      </c>
      <c r="D2180" s="5" t="str">
        <f>B2180^2+C2180^2</f>
      </c>
      <c r="E2180" s="5" t="str">
        <f>IF(D2180&lt;=1,1,0)</f>
      </c>
    </row>
    <row r="2181">
      <c r="A2181" s="6">
        <v>154</v>
      </c>
      <c r="B2181" s="6" t="str">
        <f>INDEX('Lineal Mixto'!$C$5:$C$2004,2*A2181-1)</f>
      </c>
      <c r="C2181" s="6" t="str">
        <f>INDEX('Lineal Mixto'!$C$5:$C$2004,2*A2181)</f>
      </c>
      <c r="D2181" s="6" t="str">
        <f>B2181^2+C2181^2</f>
      </c>
      <c r="E2181" s="6" t="str">
        <f>IF(D2181&lt;=1,1,0)</f>
      </c>
    </row>
    <row r="2182">
      <c r="A2182" s="5">
        <v>155</v>
      </c>
      <c r="B2182" s="5" t="str">
        <f>INDEX('Lineal Mixto'!$C$5:$C$2004,2*A2182-1)</f>
      </c>
      <c r="C2182" s="5" t="str">
        <f>INDEX('Lineal Mixto'!$C$5:$C$2004,2*A2182)</f>
      </c>
      <c r="D2182" s="5" t="str">
        <f>B2182^2+C2182^2</f>
      </c>
      <c r="E2182" s="5" t="str">
        <f>IF(D2182&lt;=1,1,0)</f>
      </c>
    </row>
    <row r="2183">
      <c r="A2183" s="6">
        <v>156</v>
      </c>
      <c r="B2183" s="6" t="str">
        <f>INDEX('Lineal Mixto'!$C$5:$C$2004,2*A2183-1)</f>
      </c>
      <c r="C2183" s="6" t="str">
        <f>INDEX('Lineal Mixto'!$C$5:$C$2004,2*A2183)</f>
      </c>
      <c r="D2183" s="6" t="str">
        <f>B2183^2+C2183^2</f>
      </c>
      <c r="E2183" s="6" t="str">
        <f>IF(D2183&lt;=1,1,0)</f>
      </c>
    </row>
    <row r="2184">
      <c r="A2184" s="5">
        <v>157</v>
      </c>
      <c r="B2184" s="5" t="str">
        <f>INDEX('Lineal Mixto'!$C$5:$C$2004,2*A2184-1)</f>
      </c>
      <c r="C2184" s="5" t="str">
        <f>INDEX('Lineal Mixto'!$C$5:$C$2004,2*A2184)</f>
      </c>
      <c r="D2184" s="5" t="str">
        <f>B2184^2+C2184^2</f>
      </c>
      <c r="E2184" s="5" t="str">
        <f>IF(D2184&lt;=1,1,0)</f>
      </c>
    </row>
    <row r="2185">
      <c r="A2185" s="6">
        <v>158</v>
      </c>
      <c r="B2185" s="6" t="str">
        <f>INDEX('Lineal Mixto'!$C$5:$C$2004,2*A2185-1)</f>
      </c>
      <c r="C2185" s="6" t="str">
        <f>INDEX('Lineal Mixto'!$C$5:$C$2004,2*A2185)</f>
      </c>
      <c r="D2185" s="6" t="str">
        <f>B2185^2+C2185^2</f>
      </c>
      <c r="E2185" s="6" t="str">
        <f>IF(D2185&lt;=1,1,0)</f>
      </c>
    </row>
    <row r="2186">
      <c r="A2186" s="5">
        <v>159</v>
      </c>
      <c r="B2186" s="5" t="str">
        <f>INDEX('Lineal Mixto'!$C$5:$C$2004,2*A2186-1)</f>
      </c>
      <c r="C2186" s="5" t="str">
        <f>INDEX('Lineal Mixto'!$C$5:$C$2004,2*A2186)</f>
      </c>
      <c r="D2186" s="5" t="str">
        <f>B2186^2+C2186^2</f>
      </c>
      <c r="E2186" s="5" t="str">
        <f>IF(D2186&lt;=1,1,0)</f>
      </c>
    </row>
    <row r="2187">
      <c r="A2187" s="6">
        <v>160</v>
      </c>
      <c r="B2187" s="6" t="str">
        <f>INDEX('Lineal Mixto'!$C$5:$C$2004,2*A2187-1)</f>
      </c>
      <c r="C2187" s="6" t="str">
        <f>INDEX('Lineal Mixto'!$C$5:$C$2004,2*A2187)</f>
      </c>
      <c r="D2187" s="6" t="str">
        <f>B2187^2+C2187^2</f>
      </c>
      <c r="E2187" s="6" t="str">
        <f>IF(D2187&lt;=1,1,0)</f>
      </c>
    </row>
    <row r="2188">
      <c r="A2188" s="5">
        <v>161</v>
      </c>
      <c r="B2188" s="5" t="str">
        <f>INDEX('Lineal Mixto'!$C$5:$C$2004,2*A2188-1)</f>
      </c>
      <c r="C2188" s="5" t="str">
        <f>INDEX('Lineal Mixto'!$C$5:$C$2004,2*A2188)</f>
      </c>
      <c r="D2188" s="5" t="str">
        <f>B2188^2+C2188^2</f>
      </c>
      <c r="E2188" s="5" t="str">
        <f>IF(D2188&lt;=1,1,0)</f>
      </c>
    </row>
    <row r="2189">
      <c r="A2189" s="6">
        <v>162</v>
      </c>
      <c r="B2189" s="6" t="str">
        <f>INDEX('Lineal Mixto'!$C$5:$C$2004,2*A2189-1)</f>
      </c>
      <c r="C2189" s="6" t="str">
        <f>INDEX('Lineal Mixto'!$C$5:$C$2004,2*A2189)</f>
      </c>
      <c r="D2189" s="6" t="str">
        <f>B2189^2+C2189^2</f>
      </c>
      <c r="E2189" s="6" t="str">
        <f>IF(D2189&lt;=1,1,0)</f>
      </c>
    </row>
    <row r="2190">
      <c r="A2190" s="5">
        <v>163</v>
      </c>
      <c r="B2190" s="5" t="str">
        <f>INDEX('Lineal Mixto'!$C$5:$C$2004,2*A2190-1)</f>
      </c>
      <c r="C2190" s="5" t="str">
        <f>INDEX('Lineal Mixto'!$C$5:$C$2004,2*A2190)</f>
      </c>
      <c r="D2190" s="5" t="str">
        <f>B2190^2+C2190^2</f>
      </c>
      <c r="E2190" s="5" t="str">
        <f>IF(D2190&lt;=1,1,0)</f>
      </c>
    </row>
    <row r="2191">
      <c r="A2191" s="6">
        <v>164</v>
      </c>
      <c r="B2191" s="6" t="str">
        <f>INDEX('Lineal Mixto'!$C$5:$C$2004,2*A2191-1)</f>
      </c>
      <c r="C2191" s="6" t="str">
        <f>INDEX('Lineal Mixto'!$C$5:$C$2004,2*A2191)</f>
      </c>
      <c r="D2191" s="6" t="str">
        <f>B2191^2+C2191^2</f>
      </c>
      <c r="E2191" s="6" t="str">
        <f>IF(D2191&lt;=1,1,0)</f>
      </c>
    </row>
    <row r="2192">
      <c r="A2192" s="5">
        <v>165</v>
      </c>
      <c r="B2192" s="5" t="str">
        <f>INDEX('Lineal Mixto'!$C$5:$C$2004,2*A2192-1)</f>
      </c>
      <c r="C2192" s="5" t="str">
        <f>INDEX('Lineal Mixto'!$C$5:$C$2004,2*A2192)</f>
      </c>
      <c r="D2192" s="5" t="str">
        <f>B2192^2+C2192^2</f>
      </c>
      <c r="E2192" s="5" t="str">
        <f>IF(D2192&lt;=1,1,0)</f>
      </c>
    </row>
    <row r="2193">
      <c r="A2193" s="6">
        <v>166</v>
      </c>
      <c r="B2193" s="6" t="str">
        <f>INDEX('Lineal Mixto'!$C$5:$C$2004,2*A2193-1)</f>
      </c>
      <c r="C2193" s="6" t="str">
        <f>INDEX('Lineal Mixto'!$C$5:$C$2004,2*A2193)</f>
      </c>
      <c r="D2193" s="6" t="str">
        <f>B2193^2+C2193^2</f>
      </c>
      <c r="E2193" s="6" t="str">
        <f>IF(D2193&lt;=1,1,0)</f>
      </c>
    </row>
    <row r="2194">
      <c r="A2194" s="5">
        <v>167</v>
      </c>
      <c r="B2194" s="5" t="str">
        <f>INDEX('Lineal Mixto'!$C$5:$C$2004,2*A2194-1)</f>
      </c>
      <c r="C2194" s="5" t="str">
        <f>INDEX('Lineal Mixto'!$C$5:$C$2004,2*A2194)</f>
      </c>
      <c r="D2194" s="5" t="str">
        <f>B2194^2+C2194^2</f>
      </c>
      <c r="E2194" s="5" t="str">
        <f>IF(D2194&lt;=1,1,0)</f>
      </c>
    </row>
    <row r="2195">
      <c r="A2195" s="6">
        <v>168</v>
      </c>
      <c r="B2195" s="6" t="str">
        <f>INDEX('Lineal Mixto'!$C$5:$C$2004,2*A2195-1)</f>
      </c>
      <c r="C2195" s="6" t="str">
        <f>INDEX('Lineal Mixto'!$C$5:$C$2004,2*A2195)</f>
      </c>
      <c r="D2195" s="6" t="str">
        <f>B2195^2+C2195^2</f>
      </c>
      <c r="E2195" s="6" t="str">
        <f>IF(D2195&lt;=1,1,0)</f>
      </c>
    </row>
    <row r="2196">
      <c r="A2196" s="5">
        <v>169</v>
      </c>
      <c r="B2196" s="5" t="str">
        <f>INDEX('Lineal Mixto'!$C$5:$C$2004,2*A2196-1)</f>
      </c>
      <c r="C2196" s="5" t="str">
        <f>INDEX('Lineal Mixto'!$C$5:$C$2004,2*A2196)</f>
      </c>
      <c r="D2196" s="5" t="str">
        <f>B2196^2+C2196^2</f>
      </c>
      <c r="E2196" s="5" t="str">
        <f>IF(D2196&lt;=1,1,0)</f>
      </c>
    </row>
    <row r="2197">
      <c r="A2197" s="6">
        <v>170</v>
      </c>
      <c r="B2197" s="6" t="str">
        <f>INDEX('Lineal Mixto'!$C$5:$C$2004,2*A2197-1)</f>
      </c>
      <c r="C2197" s="6" t="str">
        <f>INDEX('Lineal Mixto'!$C$5:$C$2004,2*A2197)</f>
      </c>
      <c r="D2197" s="6" t="str">
        <f>B2197^2+C2197^2</f>
      </c>
      <c r="E2197" s="6" t="str">
        <f>IF(D2197&lt;=1,1,0)</f>
      </c>
    </row>
    <row r="2198">
      <c r="A2198" s="5">
        <v>171</v>
      </c>
      <c r="B2198" s="5" t="str">
        <f>INDEX('Lineal Mixto'!$C$5:$C$2004,2*A2198-1)</f>
      </c>
      <c r="C2198" s="5" t="str">
        <f>INDEX('Lineal Mixto'!$C$5:$C$2004,2*A2198)</f>
      </c>
      <c r="D2198" s="5" t="str">
        <f>B2198^2+C2198^2</f>
      </c>
      <c r="E2198" s="5" t="str">
        <f>IF(D2198&lt;=1,1,0)</f>
      </c>
    </row>
    <row r="2199">
      <c r="A2199" s="6">
        <v>172</v>
      </c>
      <c r="B2199" s="6" t="str">
        <f>INDEX('Lineal Mixto'!$C$5:$C$2004,2*A2199-1)</f>
      </c>
      <c r="C2199" s="6" t="str">
        <f>INDEX('Lineal Mixto'!$C$5:$C$2004,2*A2199)</f>
      </c>
      <c r="D2199" s="6" t="str">
        <f>B2199^2+C2199^2</f>
      </c>
      <c r="E2199" s="6" t="str">
        <f>IF(D2199&lt;=1,1,0)</f>
      </c>
    </row>
    <row r="2200">
      <c r="A2200" s="5">
        <v>173</v>
      </c>
      <c r="B2200" s="5" t="str">
        <f>INDEX('Lineal Mixto'!$C$5:$C$2004,2*A2200-1)</f>
      </c>
      <c r="C2200" s="5" t="str">
        <f>INDEX('Lineal Mixto'!$C$5:$C$2004,2*A2200)</f>
      </c>
      <c r="D2200" s="5" t="str">
        <f>B2200^2+C2200^2</f>
      </c>
      <c r="E2200" s="5" t="str">
        <f>IF(D2200&lt;=1,1,0)</f>
      </c>
    </row>
    <row r="2201">
      <c r="A2201" s="6">
        <v>174</v>
      </c>
      <c r="B2201" s="6" t="str">
        <f>INDEX('Lineal Mixto'!$C$5:$C$2004,2*A2201-1)</f>
      </c>
      <c r="C2201" s="6" t="str">
        <f>INDEX('Lineal Mixto'!$C$5:$C$2004,2*A2201)</f>
      </c>
      <c r="D2201" s="6" t="str">
        <f>B2201^2+C2201^2</f>
      </c>
      <c r="E2201" s="6" t="str">
        <f>IF(D2201&lt;=1,1,0)</f>
      </c>
    </row>
    <row r="2202">
      <c r="A2202" s="5">
        <v>175</v>
      </c>
      <c r="B2202" s="5" t="str">
        <f>INDEX('Lineal Mixto'!$C$5:$C$2004,2*A2202-1)</f>
      </c>
      <c r="C2202" s="5" t="str">
        <f>INDEX('Lineal Mixto'!$C$5:$C$2004,2*A2202)</f>
      </c>
      <c r="D2202" s="5" t="str">
        <f>B2202^2+C2202^2</f>
      </c>
      <c r="E2202" s="5" t="str">
        <f>IF(D2202&lt;=1,1,0)</f>
      </c>
    </row>
    <row r="2203">
      <c r="A2203" s="6">
        <v>176</v>
      </c>
      <c r="B2203" s="6" t="str">
        <f>INDEX('Lineal Mixto'!$C$5:$C$2004,2*A2203-1)</f>
      </c>
      <c r="C2203" s="6" t="str">
        <f>INDEX('Lineal Mixto'!$C$5:$C$2004,2*A2203)</f>
      </c>
      <c r="D2203" s="6" t="str">
        <f>B2203^2+C2203^2</f>
      </c>
      <c r="E2203" s="6" t="str">
        <f>IF(D2203&lt;=1,1,0)</f>
      </c>
    </row>
    <row r="2204">
      <c r="A2204" s="5">
        <v>177</v>
      </c>
      <c r="B2204" s="5" t="str">
        <f>INDEX('Lineal Mixto'!$C$5:$C$2004,2*A2204-1)</f>
      </c>
      <c r="C2204" s="5" t="str">
        <f>INDEX('Lineal Mixto'!$C$5:$C$2004,2*A2204)</f>
      </c>
      <c r="D2204" s="5" t="str">
        <f>B2204^2+C2204^2</f>
      </c>
      <c r="E2204" s="5" t="str">
        <f>IF(D2204&lt;=1,1,0)</f>
      </c>
    </row>
    <row r="2205">
      <c r="A2205" s="6">
        <v>178</v>
      </c>
      <c r="B2205" s="6" t="str">
        <f>INDEX('Lineal Mixto'!$C$5:$C$2004,2*A2205-1)</f>
      </c>
      <c r="C2205" s="6" t="str">
        <f>INDEX('Lineal Mixto'!$C$5:$C$2004,2*A2205)</f>
      </c>
      <c r="D2205" s="6" t="str">
        <f>B2205^2+C2205^2</f>
      </c>
      <c r="E2205" s="6" t="str">
        <f>IF(D2205&lt;=1,1,0)</f>
      </c>
    </row>
    <row r="2206">
      <c r="A2206" s="5">
        <v>179</v>
      </c>
      <c r="B2206" s="5" t="str">
        <f>INDEX('Lineal Mixto'!$C$5:$C$2004,2*A2206-1)</f>
      </c>
      <c r="C2206" s="5" t="str">
        <f>INDEX('Lineal Mixto'!$C$5:$C$2004,2*A2206)</f>
      </c>
      <c r="D2206" s="5" t="str">
        <f>B2206^2+C2206^2</f>
      </c>
      <c r="E2206" s="5" t="str">
        <f>IF(D2206&lt;=1,1,0)</f>
      </c>
    </row>
    <row r="2207">
      <c r="A2207" s="6">
        <v>180</v>
      </c>
      <c r="B2207" s="6" t="str">
        <f>INDEX('Lineal Mixto'!$C$5:$C$2004,2*A2207-1)</f>
      </c>
      <c r="C2207" s="6" t="str">
        <f>INDEX('Lineal Mixto'!$C$5:$C$2004,2*A2207)</f>
      </c>
      <c r="D2207" s="6" t="str">
        <f>B2207^2+C2207^2</f>
      </c>
      <c r="E2207" s="6" t="str">
        <f>IF(D2207&lt;=1,1,0)</f>
      </c>
    </row>
    <row r="2208">
      <c r="A2208" s="5">
        <v>181</v>
      </c>
      <c r="B2208" s="5" t="str">
        <f>INDEX('Lineal Mixto'!$C$5:$C$2004,2*A2208-1)</f>
      </c>
      <c r="C2208" s="5" t="str">
        <f>INDEX('Lineal Mixto'!$C$5:$C$2004,2*A2208)</f>
      </c>
      <c r="D2208" s="5" t="str">
        <f>B2208^2+C2208^2</f>
      </c>
      <c r="E2208" s="5" t="str">
        <f>IF(D2208&lt;=1,1,0)</f>
      </c>
    </row>
    <row r="2209">
      <c r="A2209" s="6">
        <v>182</v>
      </c>
      <c r="B2209" s="6" t="str">
        <f>INDEX('Lineal Mixto'!$C$5:$C$2004,2*A2209-1)</f>
      </c>
      <c r="C2209" s="6" t="str">
        <f>INDEX('Lineal Mixto'!$C$5:$C$2004,2*A2209)</f>
      </c>
      <c r="D2209" s="6" t="str">
        <f>B2209^2+C2209^2</f>
      </c>
      <c r="E2209" s="6" t="str">
        <f>IF(D2209&lt;=1,1,0)</f>
      </c>
    </row>
    <row r="2210">
      <c r="A2210" s="5">
        <v>183</v>
      </c>
      <c r="B2210" s="5" t="str">
        <f>INDEX('Lineal Mixto'!$C$5:$C$2004,2*A2210-1)</f>
      </c>
      <c r="C2210" s="5" t="str">
        <f>INDEX('Lineal Mixto'!$C$5:$C$2004,2*A2210)</f>
      </c>
      <c r="D2210" s="5" t="str">
        <f>B2210^2+C2210^2</f>
      </c>
      <c r="E2210" s="5" t="str">
        <f>IF(D2210&lt;=1,1,0)</f>
      </c>
    </row>
    <row r="2211">
      <c r="A2211" s="6">
        <v>184</v>
      </c>
      <c r="B2211" s="6" t="str">
        <f>INDEX('Lineal Mixto'!$C$5:$C$2004,2*A2211-1)</f>
      </c>
      <c r="C2211" s="6" t="str">
        <f>INDEX('Lineal Mixto'!$C$5:$C$2004,2*A2211)</f>
      </c>
      <c r="D2211" s="6" t="str">
        <f>B2211^2+C2211^2</f>
      </c>
      <c r="E2211" s="6" t="str">
        <f>IF(D2211&lt;=1,1,0)</f>
      </c>
    </row>
    <row r="2212">
      <c r="A2212" s="5">
        <v>185</v>
      </c>
      <c r="B2212" s="5" t="str">
        <f>INDEX('Lineal Mixto'!$C$5:$C$2004,2*A2212-1)</f>
      </c>
      <c r="C2212" s="5" t="str">
        <f>INDEX('Lineal Mixto'!$C$5:$C$2004,2*A2212)</f>
      </c>
      <c r="D2212" s="5" t="str">
        <f>B2212^2+C2212^2</f>
      </c>
      <c r="E2212" s="5" t="str">
        <f>IF(D2212&lt;=1,1,0)</f>
      </c>
    </row>
    <row r="2213">
      <c r="A2213" s="6">
        <v>186</v>
      </c>
      <c r="B2213" s="6" t="str">
        <f>INDEX('Lineal Mixto'!$C$5:$C$2004,2*A2213-1)</f>
      </c>
      <c r="C2213" s="6" t="str">
        <f>INDEX('Lineal Mixto'!$C$5:$C$2004,2*A2213)</f>
      </c>
      <c r="D2213" s="6" t="str">
        <f>B2213^2+C2213^2</f>
      </c>
      <c r="E2213" s="6" t="str">
        <f>IF(D2213&lt;=1,1,0)</f>
      </c>
    </row>
    <row r="2214">
      <c r="A2214" s="5">
        <v>187</v>
      </c>
      <c r="B2214" s="5" t="str">
        <f>INDEX('Lineal Mixto'!$C$5:$C$2004,2*A2214-1)</f>
      </c>
      <c r="C2214" s="5" t="str">
        <f>INDEX('Lineal Mixto'!$C$5:$C$2004,2*A2214)</f>
      </c>
      <c r="D2214" s="5" t="str">
        <f>B2214^2+C2214^2</f>
      </c>
      <c r="E2214" s="5" t="str">
        <f>IF(D2214&lt;=1,1,0)</f>
      </c>
    </row>
    <row r="2215">
      <c r="A2215" s="6">
        <v>188</v>
      </c>
      <c r="B2215" s="6" t="str">
        <f>INDEX('Lineal Mixto'!$C$5:$C$2004,2*A2215-1)</f>
      </c>
      <c r="C2215" s="6" t="str">
        <f>INDEX('Lineal Mixto'!$C$5:$C$2004,2*A2215)</f>
      </c>
      <c r="D2215" s="6" t="str">
        <f>B2215^2+C2215^2</f>
      </c>
      <c r="E2215" s="6" t="str">
        <f>IF(D2215&lt;=1,1,0)</f>
      </c>
    </row>
    <row r="2216">
      <c r="A2216" s="5">
        <v>189</v>
      </c>
      <c r="B2216" s="5" t="str">
        <f>INDEX('Lineal Mixto'!$C$5:$C$2004,2*A2216-1)</f>
      </c>
      <c r="C2216" s="5" t="str">
        <f>INDEX('Lineal Mixto'!$C$5:$C$2004,2*A2216)</f>
      </c>
      <c r="D2216" s="5" t="str">
        <f>B2216^2+C2216^2</f>
      </c>
      <c r="E2216" s="5" t="str">
        <f>IF(D2216&lt;=1,1,0)</f>
      </c>
    </row>
    <row r="2217">
      <c r="A2217" s="6">
        <v>190</v>
      </c>
      <c r="B2217" s="6" t="str">
        <f>INDEX('Lineal Mixto'!$C$5:$C$2004,2*A2217-1)</f>
      </c>
      <c r="C2217" s="6" t="str">
        <f>INDEX('Lineal Mixto'!$C$5:$C$2004,2*A2217)</f>
      </c>
      <c r="D2217" s="6" t="str">
        <f>B2217^2+C2217^2</f>
      </c>
      <c r="E2217" s="6" t="str">
        <f>IF(D2217&lt;=1,1,0)</f>
      </c>
    </row>
    <row r="2218">
      <c r="A2218" s="5">
        <v>191</v>
      </c>
      <c r="B2218" s="5" t="str">
        <f>INDEX('Lineal Mixto'!$C$5:$C$2004,2*A2218-1)</f>
      </c>
      <c r="C2218" s="5" t="str">
        <f>INDEX('Lineal Mixto'!$C$5:$C$2004,2*A2218)</f>
      </c>
      <c r="D2218" s="5" t="str">
        <f>B2218^2+C2218^2</f>
      </c>
      <c r="E2218" s="5" t="str">
        <f>IF(D2218&lt;=1,1,0)</f>
      </c>
    </row>
    <row r="2219">
      <c r="A2219" s="6">
        <v>192</v>
      </c>
      <c r="B2219" s="6" t="str">
        <f>INDEX('Lineal Mixto'!$C$5:$C$2004,2*A2219-1)</f>
      </c>
      <c r="C2219" s="6" t="str">
        <f>INDEX('Lineal Mixto'!$C$5:$C$2004,2*A2219)</f>
      </c>
      <c r="D2219" s="6" t="str">
        <f>B2219^2+C2219^2</f>
      </c>
      <c r="E2219" s="6" t="str">
        <f>IF(D2219&lt;=1,1,0)</f>
      </c>
    </row>
    <row r="2220">
      <c r="A2220" s="5">
        <v>193</v>
      </c>
      <c r="B2220" s="5" t="str">
        <f>INDEX('Lineal Mixto'!$C$5:$C$2004,2*A2220-1)</f>
      </c>
      <c r="C2220" s="5" t="str">
        <f>INDEX('Lineal Mixto'!$C$5:$C$2004,2*A2220)</f>
      </c>
      <c r="D2220" s="5" t="str">
        <f>B2220^2+C2220^2</f>
      </c>
      <c r="E2220" s="5" t="str">
        <f>IF(D2220&lt;=1,1,0)</f>
      </c>
    </row>
    <row r="2221">
      <c r="A2221" s="6">
        <v>194</v>
      </c>
      <c r="B2221" s="6" t="str">
        <f>INDEX('Lineal Mixto'!$C$5:$C$2004,2*A2221-1)</f>
      </c>
      <c r="C2221" s="6" t="str">
        <f>INDEX('Lineal Mixto'!$C$5:$C$2004,2*A2221)</f>
      </c>
      <c r="D2221" s="6" t="str">
        <f>B2221^2+C2221^2</f>
      </c>
      <c r="E2221" s="6" t="str">
        <f>IF(D2221&lt;=1,1,0)</f>
      </c>
    </row>
    <row r="2222">
      <c r="A2222" s="5">
        <v>195</v>
      </c>
      <c r="B2222" s="5" t="str">
        <f>INDEX('Lineal Mixto'!$C$5:$C$2004,2*A2222-1)</f>
      </c>
      <c r="C2222" s="5" t="str">
        <f>INDEX('Lineal Mixto'!$C$5:$C$2004,2*A2222)</f>
      </c>
      <c r="D2222" s="5" t="str">
        <f>B2222^2+C2222^2</f>
      </c>
      <c r="E2222" s="5" t="str">
        <f>IF(D2222&lt;=1,1,0)</f>
      </c>
    </row>
    <row r="2223">
      <c r="A2223" s="6">
        <v>196</v>
      </c>
      <c r="B2223" s="6" t="str">
        <f>INDEX('Lineal Mixto'!$C$5:$C$2004,2*A2223-1)</f>
      </c>
      <c r="C2223" s="6" t="str">
        <f>INDEX('Lineal Mixto'!$C$5:$C$2004,2*A2223)</f>
      </c>
      <c r="D2223" s="6" t="str">
        <f>B2223^2+C2223^2</f>
      </c>
      <c r="E2223" s="6" t="str">
        <f>IF(D2223&lt;=1,1,0)</f>
      </c>
    </row>
    <row r="2224">
      <c r="A2224" s="5">
        <v>197</v>
      </c>
      <c r="B2224" s="5" t="str">
        <f>INDEX('Lineal Mixto'!$C$5:$C$2004,2*A2224-1)</f>
      </c>
      <c r="C2224" s="5" t="str">
        <f>INDEX('Lineal Mixto'!$C$5:$C$2004,2*A2224)</f>
      </c>
      <c r="D2224" s="5" t="str">
        <f>B2224^2+C2224^2</f>
      </c>
      <c r="E2224" s="5" t="str">
        <f>IF(D2224&lt;=1,1,0)</f>
      </c>
    </row>
    <row r="2225">
      <c r="A2225" s="6">
        <v>198</v>
      </c>
      <c r="B2225" s="6" t="str">
        <f>INDEX('Lineal Mixto'!$C$5:$C$2004,2*A2225-1)</f>
      </c>
      <c r="C2225" s="6" t="str">
        <f>INDEX('Lineal Mixto'!$C$5:$C$2004,2*A2225)</f>
      </c>
      <c r="D2225" s="6" t="str">
        <f>B2225^2+C2225^2</f>
      </c>
      <c r="E2225" s="6" t="str">
        <f>IF(D2225&lt;=1,1,0)</f>
      </c>
    </row>
    <row r="2226">
      <c r="A2226" s="5">
        <v>199</v>
      </c>
      <c r="B2226" s="5" t="str">
        <f>INDEX('Lineal Mixto'!$C$5:$C$2004,2*A2226-1)</f>
      </c>
      <c r="C2226" s="5" t="str">
        <f>INDEX('Lineal Mixto'!$C$5:$C$2004,2*A2226)</f>
      </c>
      <c r="D2226" s="5" t="str">
        <f>B2226^2+C2226^2</f>
      </c>
      <c r="E2226" s="5" t="str">
        <f>IF(D2226&lt;=1,1,0)</f>
      </c>
    </row>
    <row r="2227">
      <c r="A2227" s="6">
        <v>200</v>
      </c>
      <c r="B2227" s="6" t="str">
        <f>INDEX('Lineal Mixto'!$C$5:$C$2004,2*A2227-1)</f>
      </c>
      <c r="C2227" s="6" t="str">
        <f>INDEX('Lineal Mixto'!$C$5:$C$2004,2*A2227)</f>
      </c>
      <c r="D2227" s="6" t="str">
        <f>B2227^2+C2227^2</f>
      </c>
      <c r="E2227" s="6" t="str">
        <f>IF(D2227&lt;=1,1,0)</f>
      </c>
    </row>
    <row r="2228">
      <c r="A2228" s="5">
        <v>201</v>
      </c>
      <c r="B2228" s="5" t="str">
        <f>INDEX('Lineal Mixto'!$C$5:$C$2004,2*A2228-1)</f>
      </c>
      <c r="C2228" s="5" t="str">
        <f>INDEX('Lineal Mixto'!$C$5:$C$2004,2*A2228)</f>
      </c>
      <c r="D2228" s="5" t="str">
        <f>B2228^2+C2228^2</f>
      </c>
      <c r="E2228" s="5" t="str">
        <f>IF(D2228&lt;=1,1,0)</f>
      </c>
    </row>
    <row r="2229">
      <c r="A2229" s="6">
        <v>202</v>
      </c>
      <c r="B2229" s="6" t="str">
        <f>INDEX('Lineal Mixto'!$C$5:$C$2004,2*A2229-1)</f>
      </c>
      <c r="C2229" s="6" t="str">
        <f>INDEX('Lineal Mixto'!$C$5:$C$2004,2*A2229)</f>
      </c>
      <c r="D2229" s="6" t="str">
        <f>B2229^2+C2229^2</f>
      </c>
      <c r="E2229" s="6" t="str">
        <f>IF(D2229&lt;=1,1,0)</f>
      </c>
    </row>
    <row r="2230">
      <c r="A2230" s="5">
        <v>203</v>
      </c>
      <c r="B2230" s="5" t="str">
        <f>INDEX('Lineal Mixto'!$C$5:$C$2004,2*A2230-1)</f>
      </c>
      <c r="C2230" s="5" t="str">
        <f>INDEX('Lineal Mixto'!$C$5:$C$2004,2*A2230)</f>
      </c>
      <c r="D2230" s="5" t="str">
        <f>B2230^2+C2230^2</f>
      </c>
      <c r="E2230" s="5" t="str">
        <f>IF(D2230&lt;=1,1,0)</f>
      </c>
    </row>
    <row r="2231">
      <c r="A2231" s="6">
        <v>204</v>
      </c>
      <c r="B2231" s="6" t="str">
        <f>INDEX('Lineal Mixto'!$C$5:$C$2004,2*A2231-1)</f>
      </c>
      <c r="C2231" s="6" t="str">
        <f>INDEX('Lineal Mixto'!$C$5:$C$2004,2*A2231)</f>
      </c>
      <c r="D2231" s="6" t="str">
        <f>B2231^2+C2231^2</f>
      </c>
      <c r="E2231" s="6" t="str">
        <f>IF(D2231&lt;=1,1,0)</f>
      </c>
    </row>
    <row r="2232">
      <c r="A2232" s="5">
        <v>205</v>
      </c>
      <c r="B2232" s="5" t="str">
        <f>INDEX('Lineal Mixto'!$C$5:$C$2004,2*A2232-1)</f>
      </c>
      <c r="C2232" s="5" t="str">
        <f>INDEX('Lineal Mixto'!$C$5:$C$2004,2*A2232)</f>
      </c>
      <c r="D2232" s="5" t="str">
        <f>B2232^2+C2232^2</f>
      </c>
      <c r="E2232" s="5" t="str">
        <f>IF(D2232&lt;=1,1,0)</f>
      </c>
    </row>
    <row r="2233">
      <c r="A2233" s="6">
        <v>206</v>
      </c>
      <c r="B2233" s="6" t="str">
        <f>INDEX('Lineal Mixto'!$C$5:$C$2004,2*A2233-1)</f>
      </c>
      <c r="C2233" s="6" t="str">
        <f>INDEX('Lineal Mixto'!$C$5:$C$2004,2*A2233)</f>
      </c>
      <c r="D2233" s="6" t="str">
        <f>B2233^2+C2233^2</f>
      </c>
      <c r="E2233" s="6" t="str">
        <f>IF(D2233&lt;=1,1,0)</f>
      </c>
    </row>
    <row r="2234">
      <c r="A2234" s="5">
        <v>207</v>
      </c>
      <c r="B2234" s="5" t="str">
        <f>INDEX('Lineal Mixto'!$C$5:$C$2004,2*A2234-1)</f>
      </c>
      <c r="C2234" s="5" t="str">
        <f>INDEX('Lineal Mixto'!$C$5:$C$2004,2*A2234)</f>
      </c>
      <c r="D2234" s="5" t="str">
        <f>B2234^2+C2234^2</f>
      </c>
      <c r="E2234" s="5" t="str">
        <f>IF(D2234&lt;=1,1,0)</f>
      </c>
    </row>
    <row r="2235">
      <c r="A2235" s="6">
        <v>208</v>
      </c>
      <c r="B2235" s="6" t="str">
        <f>INDEX('Lineal Mixto'!$C$5:$C$2004,2*A2235-1)</f>
      </c>
      <c r="C2235" s="6" t="str">
        <f>INDEX('Lineal Mixto'!$C$5:$C$2004,2*A2235)</f>
      </c>
      <c r="D2235" s="6" t="str">
        <f>B2235^2+C2235^2</f>
      </c>
      <c r="E2235" s="6" t="str">
        <f>IF(D2235&lt;=1,1,0)</f>
      </c>
    </row>
    <row r="2236">
      <c r="A2236" s="5">
        <v>209</v>
      </c>
      <c r="B2236" s="5" t="str">
        <f>INDEX('Lineal Mixto'!$C$5:$C$2004,2*A2236-1)</f>
      </c>
      <c r="C2236" s="5" t="str">
        <f>INDEX('Lineal Mixto'!$C$5:$C$2004,2*A2236)</f>
      </c>
      <c r="D2236" s="5" t="str">
        <f>B2236^2+C2236^2</f>
      </c>
      <c r="E2236" s="5" t="str">
        <f>IF(D2236&lt;=1,1,0)</f>
      </c>
    </row>
    <row r="2237">
      <c r="A2237" s="6">
        <v>210</v>
      </c>
      <c r="B2237" s="6" t="str">
        <f>INDEX('Lineal Mixto'!$C$5:$C$2004,2*A2237-1)</f>
      </c>
      <c r="C2237" s="6" t="str">
        <f>INDEX('Lineal Mixto'!$C$5:$C$2004,2*A2237)</f>
      </c>
      <c r="D2237" s="6" t="str">
        <f>B2237^2+C2237^2</f>
      </c>
      <c r="E2237" s="6" t="str">
        <f>IF(D2237&lt;=1,1,0)</f>
      </c>
    </row>
    <row r="2238">
      <c r="A2238" s="5">
        <v>211</v>
      </c>
      <c r="B2238" s="5" t="str">
        <f>INDEX('Lineal Mixto'!$C$5:$C$2004,2*A2238-1)</f>
      </c>
      <c r="C2238" s="5" t="str">
        <f>INDEX('Lineal Mixto'!$C$5:$C$2004,2*A2238)</f>
      </c>
      <c r="D2238" s="5" t="str">
        <f>B2238^2+C2238^2</f>
      </c>
      <c r="E2238" s="5" t="str">
        <f>IF(D2238&lt;=1,1,0)</f>
      </c>
    </row>
    <row r="2239">
      <c r="A2239" s="6">
        <v>212</v>
      </c>
      <c r="B2239" s="6" t="str">
        <f>INDEX('Lineal Mixto'!$C$5:$C$2004,2*A2239-1)</f>
      </c>
      <c r="C2239" s="6" t="str">
        <f>INDEX('Lineal Mixto'!$C$5:$C$2004,2*A2239)</f>
      </c>
      <c r="D2239" s="6" t="str">
        <f>B2239^2+C2239^2</f>
      </c>
      <c r="E2239" s="6" t="str">
        <f>IF(D2239&lt;=1,1,0)</f>
      </c>
    </row>
    <row r="2240">
      <c r="A2240" s="5">
        <v>213</v>
      </c>
      <c r="B2240" s="5" t="str">
        <f>INDEX('Lineal Mixto'!$C$5:$C$2004,2*A2240-1)</f>
      </c>
      <c r="C2240" s="5" t="str">
        <f>INDEX('Lineal Mixto'!$C$5:$C$2004,2*A2240)</f>
      </c>
      <c r="D2240" s="5" t="str">
        <f>B2240^2+C2240^2</f>
      </c>
      <c r="E2240" s="5" t="str">
        <f>IF(D2240&lt;=1,1,0)</f>
      </c>
    </row>
    <row r="2241">
      <c r="A2241" s="6">
        <v>214</v>
      </c>
      <c r="B2241" s="6" t="str">
        <f>INDEX('Lineal Mixto'!$C$5:$C$2004,2*A2241-1)</f>
      </c>
      <c r="C2241" s="6" t="str">
        <f>INDEX('Lineal Mixto'!$C$5:$C$2004,2*A2241)</f>
      </c>
      <c r="D2241" s="6" t="str">
        <f>B2241^2+C2241^2</f>
      </c>
      <c r="E2241" s="6" t="str">
        <f>IF(D2241&lt;=1,1,0)</f>
      </c>
    </row>
    <row r="2242">
      <c r="A2242" s="5">
        <v>215</v>
      </c>
      <c r="B2242" s="5" t="str">
        <f>INDEX('Lineal Mixto'!$C$5:$C$2004,2*A2242-1)</f>
      </c>
      <c r="C2242" s="5" t="str">
        <f>INDEX('Lineal Mixto'!$C$5:$C$2004,2*A2242)</f>
      </c>
      <c r="D2242" s="5" t="str">
        <f>B2242^2+C2242^2</f>
      </c>
      <c r="E2242" s="5" t="str">
        <f>IF(D2242&lt;=1,1,0)</f>
      </c>
    </row>
    <row r="2243">
      <c r="A2243" s="6">
        <v>216</v>
      </c>
      <c r="B2243" s="6" t="str">
        <f>INDEX('Lineal Mixto'!$C$5:$C$2004,2*A2243-1)</f>
      </c>
      <c r="C2243" s="6" t="str">
        <f>INDEX('Lineal Mixto'!$C$5:$C$2004,2*A2243)</f>
      </c>
      <c r="D2243" s="6" t="str">
        <f>B2243^2+C2243^2</f>
      </c>
      <c r="E2243" s="6" t="str">
        <f>IF(D2243&lt;=1,1,0)</f>
      </c>
    </row>
    <row r="2244">
      <c r="A2244" s="5">
        <v>217</v>
      </c>
      <c r="B2244" s="5" t="str">
        <f>INDEX('Lineal Mixto'!$C$5:$C$2004,2*A2244-1)</f>
      </c>
      <c r="C2244" s="5" t="str">
        <f>INDEX('Lineal Mixto'!$C$5:$C$2004,2*A2244)</f>
      </c>
      <c r="D2244" s="5" t="str">
        <f>B2244^2+C2244^2</f>
      </c>
      <c r="E2244" s="5" t="str">
        <f>IF(D2244&lt;=1,1,0)</f>
      </c>
    </row>
    <row r="2245">
      <c r="A2245" s="6">
        <v>218</v>
      </c>
      <c r="B2245" s="6" t="str">
        <f>INDEX('Lineal Mixto'!$C$5:$C$2004,2*A2245-1)</f>
      </c>
      <c r="C2245" s="6" t="str">
        <f>INDEX('Lineal Mixto'!$C$5:$C$2004,2*A2245)</f>
      </c>
      <c r="D2245" s="6" t="str">
        <f>B2245^2+C2245^2</f>
      </c>
      <c r="E2245" s="6" t="str">
        <f>IF(D2245&lt;=1,1,0)</f>
      </c>
    </row>
    <row r="2246">
      <c r="A2246" s="5">
        <v>219</v>
      </c>
      <c r="B2246" s="5" t="str">
        <f>INDEX('Lineal Mixto'!$C$5:$C$2004,2*A2246-1)</f>
      </c>
      <c r="C2246" s="5" t="str">
        <f>INDEX('Lineal Mixto'!$C$5:$C$2004,2*A2246)</f>
      </c>
      <c r="D2246" s="5" t="str">
        <f>B2246^2+C2246^2</f>
      </c>
      <c r="E2246" s="5" t="str">
        <f>IF(D2246&lt;=1,1,0)</f>
      </c>
    </row>
    <row r="2247">
      <c r="A2247" s="6">
        <v>220</v>
      </c>
      <c r="B2247" s="6" t="str">
        <f>INDEX('Lineal Mixto'!$C$5:$C$2004,2*A2247-1)</f>
      </c>
      <c r="C2247" s="6" t="str">
        <f>INDEX('Lineal Mixto'!$C$5:$C$2004,2*A2247)</f>
      </c>
      <c r="D2247" s="6" t="str">
        <f>B2247^2+C2247^2</f>
      </c>
      <c r="E2247" s="6" t="str">
        <f>IF(D2247&lt;=1,1,0)</f>
      </c>
    </row>
    <row r="2248">
      <c r="A2248" s="5">
        <v>221</v>
      </c>
      <c r="B2248" s="5" t="str">
        <f>INDEX('Lineal Mixto'!$C$5:$C$2004,2*A2248-1)</f>
      </c>
      <c r="C2248" s="5" t="str">
        <f>INDEX('Lineal Mixto'!$C$5:$C$2004,2*A2248)</f>
      </c>
      <c r="D2248" s="5" t="str">
        <f>B2248^2+C2248^2</f>
      </c>
      <c r="E2248" s="5" t="str">
        <f>IF(D2248&lt;=1,1,0)</f>
      </c>
    </row>
    <row r="2249">
      <c r="A2249" s="6">
        <v>222</v>
      </c>
      <c r="B2249" s="6" t="str">
        <f>INDEX('Lineal Mixto'!$C$5:$C$2004,2*A2249-1)</f>
      </c>
      <c r="C2249" s="6" t="str">
        <f>INDEX('Lineal Mixto'!$C$5:$C$2004,2*A2249)</f>
      </c>
      <c r="D2249" s="6" t="str">
        <f>B2249^2+C2249^2</f>
      </c>
      <c r="E2249" s="6" t="str">
        <f>IF(D2249&lt;=1,1,0)</f>
      </c>
    </row>
    <row r="2250">
      <c r="A2250" s="5">
        <v>223</v>
      </c>
      <c r="B2250" s="5" t="str">
        <f>INDEX('Lineal Mixto'!$C$5:$C$2004,2*A2250-1)</f>
      </c>
      <c r="C2250" s="5" t="str">
        <f>INDEX('Lineal Mixto'!$C$5:$C$2004,2*A2250)</f>
      </c>
      <c r="D2250" s="5" t="str">
        <f>B2250^2+C2250^2</f>
      </c>
      <c r="E2250" s="5" t="str">
        <f>IF(D2250&lt;=1,1,0)</f>
      </c>
    </row>
    <row r="2251">
      <c r="A2251" s="6">
        <v>224</v>
      </c>
      <c r="B2251" s="6" t="str">
        <f>INDEX('Lineal Mixto'!$C$5:$C$2004,2*A2251-1)</f>
      </c>
      <c r="C2251" s="6" t="str">
        <f>INDEX('Lineal Mixto'!$C$5:$C$2004,2*A2251)</f>
      </c>
      <c r="D2251" s="6" t="str">
        <f>B2251^2+C2251^2</f>
      </c>
      <c r="E2251" s="6" t="str">
        <f>IF(D2251&lt;=1,1,0)</f>
      </c>
    </row>
    <row r="2252">
      <c r="A2252" s="5">
        <v>225</v>
      </c>
      <c r="B2252" s="5" t="str">
        <f>INDEX('Lineal Mixto'!$C$5:$C$2004,2*A2252-1)</f>
      </c>
      <c r="C2252" s="5" t="str">
        <f>INDEX('Lineal Mixto'!$C$5:$C$2004,2*A2252)</f>
      </c>
      <c r="D2252" s="5" t="str">
        <f>B2252^2+C2252^2</f>
      </c>
      <c r="E2252" s="5" t="str">
        <f>IF(D2252&lt;=1,1,0)</f>
      </c>
    </row>
    <row r="2253">
      <c r="A2253" s="6">
        <v>226</v>
      </c>
      <c r="B2253" s="6" t="str">
        <f>INDEX('Lineal Mixto'!$C$5:$C$2004,2*A2253-1)</f>
      </c>
      <c r="C2253" s="6" t="str">
        <f>INDEX('Lineal Mixto'!$C$5:$C$2004,2*A2253)</f>
      </c>
      <c r="D2253" s="6" t="str">
        <f>B2253^2+C2253^2</f>
      </c>
      <c r="E2253" s="6" t="str">
        <f>IF(D2253&lt;=1,1,0)</f>
      </c>
    </row>
    <row r="2254">
      <c r="A2254" s="5">
        <v>227</v>
      </c>
      <c r="B2254" s="5" t="str">
        <f>INDEX('Lineal Mixto'!$C$5:$C$2004,2*A2254-1)</f>
      </c>
      <c r="C2254" s="5" t="str">
        <f>INDEX('Lineal Mixto'!$C$5:$C$2004,2*A2254)</f>
      </c>
      <c r="D2254" s="5" t="str">
        <f>B2254^2+C2254^2</f>
      </c>
      <c r="E2254" s="5" t="str">
        <f>IF(D2254&lt;=1,1,0)</f>
      </c>
    </row>
    <row r="2255">
      <c r="A2255" s="6">
        <v>228</v>
      </c>
      <c r="B2255" s="6" t="str">
        <f>INDEX('Lineal Mixto'!$C$5:$C$2004,2*A2255-1)</f>
      </c>
      <c r="C2255" s="6" t="str">
        <f>INDEX('Lineal Mixto'!$C$5:$C$2004,2*A2255)</f>
      </c>
      <c r="D2255" s="6" t="str">
        <f>B2255^2+C2255^2</f>
      </c>
      <c r="E2255" s="6" t="str">
        <f>IF(D2255&lt;=1,1,0)</f>
      </c>
    </row>
    <row r="2256">
      <c r="A2256" s="5">
        <v>229</v>
      </c>
      <c r="B2256" s="5" t="str">
        <f>INDEX('Lineal Mixto'!$C$5:$C$2004,2*A2256-1)</f>
      </c>
      <c r="C2256" s="5" t="str">
        <f>INDEX('Lineal Mixto'!$C$5:$C$2004,2*A2256)</f>
      </c>
      <c r="D2256" s="5" t="str">
        <f>B2256^2+C2256^2</f>
      </c>
      <c r="E2256" s="5" t="str">
        <f>IF(D2256&lt;=1,1,0)</f>
      </c>
    </row>
    <row r="2257">
      <c r="A2257" s="6">
        <v>230</v>
      </c>
      <c r="B2257" s="6" t="str">
        <f>INDEX('Lineal Mixto'!$C$5:$C$2004,2*A2257-1)</f>
      </c>
      <c r="C2257" s="6" t="str">
        <f>INDEX('Lineal Mixto'!$C$5:$C$2004,2*A2257)</f>
      </c>
      <c r="D2257" s="6" t="str">
        <f>B2257^2+C2257^2</f>
      </c>
      <c r="E2257" s="6" t="str">
        <f>IF(D2257&lt;=1,1,0)</f>
      </c>
    </row>
    <row r="2258">
      <c r="A2258" s="5">
        <v>231</v>
      </c>
      <c r="B2258" s="5" t="str">
        <f>INDEX('Lineal Mixto'!$C$5:$C$2004,2*A2258-1)</f>
      </c>
      <c r="C2258" s="5" t="str">
        <f>INDEX('Lineal Mixto'!$C$5:$C$2004,2*A2258)</f>
      </c>
      <c r="D2258" s="5" t="str">
        <f>B2258^2+C2258^2</f>
      </c>
      <c r="E2258" s="5" t="str">
        <f>IF(D2258&lt;=1,1,0)</f>
      </c>
    </row>
    <row r="2259">
      <c r="A2259" s="6">
        <v>232</v>
      </c>
      <c r="B2259" s="6" t="str">
        <f>INDEX('Lineal Mixto'!$C$5:$C$2004,2*A2259-1)</f>
      </c>
      <c r="C2259" s="6" t="str">
        <f>INDEX('Lineal Mixto'!$C$5:$C$2004,2*A2259)</f>
      </c>
      <c r="D2259" s="6" t="str">
        <f>B2259^2+C2259^2</f>
      </c>
      <c r="E2259" s="6" t="str">
        <f>IF(D2259&lt;=1,1,0)</f>
      </c>
    </row>
    <row r="2260">
      <c r="A2260" s="5">
        <v>233</v>
      </c>
      <c r="B2260" s="5" t="str">
        <f>INDEX('Lineal Mixto'!$C$5:$C$2004,2*A2260-1)</f>
      </c>
      <c r="C2260" s="5" t="str">
        <f>INDEX('Lineal Mixto'!$C$5:$C$2004,2*A2260)</f>
      </c>
      <c r="D2260" s="5" t="str">
        <f>B2260^2+C2260^2</f>
      </c>
      <c r="E2260" s="5" t="str">
        <f>IF(D2260&lt;=1,1,0)</f>
      </c>
    </row>
    <row r="2261">
      <c r="A2261" s="6">
        <v>234</v>
      </c>
      <c r="B2261" s="6" t="str">
        <f>INDEX('Lineal Mixto'!$C$5:$C$2004,2*A2261-1)</f>
      </c>
      <c r="C2261" s="6" t="str">
        <f>INDEX('Lineal Mixto'!$C$5:$C$2004,2*A2261)</f>
      </c>
      <c r="D2261" s="6" t="str">
        <f>B2261^2+C2261^2</f>
      </c>
      <c r="E2261" s="6" t="str">
        <f>IF(D2261&lt;=1,1,0)</f>
      </c>
    </row>
    <row r="2262">
      <c r="A2262" s="5">
        <v>235</v>
      </c>
      <c r="B2262" s="5" t="str">
        <f>INDEX('Lineal Mixto'!$C$5:$C$2004,2*A2262-1)</f>
      </c>
      <c r="C2262" s="5" t="str">
        <f>INDEX('Lineal Mixto'!$C$5:$C$2004,2*A2262)</f>
      </c>
      <c r="D2262" s="5" t="str">
        <f>B2262^2+C2262^2</f>
      </c>
      <c r="E2262" s="5" t="str">
        <f>IF(D2262&lt;=1,1,0)</f>
      </c>
    </row>
    <row r="2263">
      <c r="A2263" s="6">
        <v>236</v>
      </c>
      <c r="B2263" s="6" t="str">
        <f>INDEX('Lineal Mixto'!$C$5:$C$2004,2*A2263-1)</f>
      </c>
      <c r="C2263" s="6" t="str">
        <f>INDEX('Lineal Mixto'!$C$5:$C$2004,2*A2263)</f>
      </c>
      <c r="D2263" s="6" t="str">
        <f>B2263^2+C2263^2</f>
      </c>
      <c r="E2263" s="6" t="str">
        <f>IF(D2263&lt;=1,1,0)</f>
      </c>
    </row>
    <row r="2264">
      <c r="A2264" s="5">
        <v>237</v>
      </c>
      <c r="B2264" s="5" t="str">
        <f>INDEX('Lineal Mixto'!$C$5:$C$2004,2*A2264-1)</f>
      </c>
      <c r="C2264" s="5" t="str">
        <f>INDEX('Lineal Mixto'!$C$5:$C$2004,2*A2264)</f>
      </c>
      <c r="D2264" s="5" t="str">
        <f>B2264^2+C2264^2</f>
      </c>
      <c r="E2264" s="5" t="str">
        <f>IF(D2264&lt;=1,1,0)</f>
      </c>
    </row>
    <row r="2265">
      <c r="A2265" s="6">
        <v>238</v>
      </c>
      <c r="B2265" s="6" t="str">
        <f>INDEX('Lineal Mixto'!$C$5:$C$2004,2*A2265-1)</f>
      </c>
      <c r="C2265" s="6" t="str">
        <f>INDEX('Lineal Mixto'!$C$5:$C$2004,2*A2265)</f>
      </c>
      <c r="D2265" s="6" t="str">
        <f>B2265^2+C2265^2</f>
      </c>
      <c r="E2265" s="6" t="str">
        <f>IF(D2265&lt;=1,1,0)</f>
      </c>
    </row>
    <row r="2266">
      <c r="A2266" s="5">
        <v>239</v>
      </c>
      <c r="B2266" s="5" t="str">
        <f>INDEX('Lineal Mixto'!$C$5:$C$2004,2*A2266-1)</f>
      </c>
      <c r="C2266" s="5" t="str">
        <f>INDEX('Lineal Mixto'!$C$5:$C$2004,2*A2266)</f>
      </c>
      <c r="D2266" s="5" t="str">
        <f>B2266^2+C2266^2</f>
      </c>
      <c r="E2266" s="5" t="str">
        <f>IF(D2266&lt;=1,1,0)</f>
      </c>
    </row>
    <row r="2267">
      <c r="A2267" s="6">
        <v>240</v>
      </c>
      <c r="B2267" s="6" t="str">
        <f>INDEX('Lineal Mixto'!$C$5:$C$2004,2*A2267-1)</f>
      </c>
      <c r="C2267" s="6" t="str">
        <f>INDEX('Lineal Mixto'!$C$5:$C$2004,2*A2267)</f>
      </c>
      <c r="D2267" s="6" t="str">
        <f>B2267^2+C2267^2</f>
      </c>
      <c r="E2267" s="6" t="str">
        <f>IF(D2267&lt;=1,1,0)</f>
      </c>
    </row>
    <row r="2268">
      <c r="A2268" s="5">
        <v>241</v>
      </c>
      <c r="B2268" s="5" t="str">
        <f>INDEX('Lineal Mixto'!$C$5:$C$2004,2*A2268-1)</f>
      </c>
      <c r="C2268" s="5" t="str">
        <f>INDEX('Lineal Mixto'!$C$5:$C$2004,2*A2268)</f>
      </c>
      <c r="D2268" s="5" t="str">
        <f>B2268^2+C2268^2</f>
      </c>
      <c r="E2268" s="5" t="str">
        <f>IF(D2268&lt;=1,1,0)</f>
      </c>
    </row>
    <row r="2269">
      <c r="A2269" s="6">
        <v>242</v>
      </c>
      <c r="B2269" s="6" t="str">
        <f>INDEX('Lineal Mixto'!$C$5:$C$2004,2*A2269-1)</f>
      </c>
      <c r="C2269" s="6" t="str">
        <f>INDEX('Lineal Mixto'!$C$5:$C$2004,2*A2269)</f>
      </c>
      <c r="D2269" s="6" t="str">
        <f>B2269^2+C2269^2</f>
      </c>
      <c r="E2269" s="6" t="str">
        <f>IF(D2269&lt;=1,1,0)</f>
      </c>
    </row>
    <row r="2270">
      <c r="A2270" s="5">
        <v>243</v>
      </c>
      <c r="B2270" s="5" t="str">
        <f>INDEX('Lineal Mixto'!$C$5:$C$2004,2*A2270-1)</f>
      </c>
      <c r="C2270" s="5" t="str">
        <f>INDEX('Lineal Mixto'!$C$5:$C$2004,2*A2270)</f>
      </c>
      <c r="D2270" s="5" t="str">
        <f>B2270^2+C2270^2</f>
      </c>
      <c r="E2270" s="5" t="str">
        <f>IF(D2270&lt;=1,1,0)</f>
      </c>
    </row>
    <row r="2271">
      <c r="A2271" s="6">
        <v>244</v>
      </c>
      <c r="B2271" s="6" t="str">
        <f>INDEX('Lineal Mixto'!$C$5:$C$2004,2*A2271-1)</f>
      </c>
      <c r="C2271" s="6" t="str">
        <f>INDEX('Lineal Mixto'!$C$5:$C$2004,2*A2271)</f>
      </c>
      <c r="D2271" s="6" t="str">
        <f>B2271^2+C2271^2</f>
      </c>
      <c r="E2271" s="6" t="str">
        <f>IF(D2271&lt;=1,1,0)</f>
      </c>
    </row>
    <row r="2272">
      <c r="A2272" s="5">
        <v>245</v>
      </c>
      <c r="B2272" s="5" t="str">
        <f>INDEX('Lineal Mixto'!$C$5:$C$2004,2*A2272-1)</f>
      </c>
      <c r="C2272" s="5" t="str">
        <f>INDEX('Lineal Mixto'!$C$5:$C$2004,2*A2272)</f>
      </c>
      <c r="D2272" s="5" t="str">
        <f>B2272^2+C2272^2</f>
      </c>
      <c r="E2272" s="5" t="str">
        <f>IF(D2272&lt;=1,1,0)</f>
      </c>
    </row>
    <row r="2273">
      <c r="A2273" s="6">
        <v>246</v>
      </c>
      <c r="B2273" s="6" t="str">
        <f>INDEX('Lineal Mixto'!$C$5:$C$2004,2*A2273-1)</f>
      </c>
      <c r="C2273" s="6" t="str">
        <f>INDEX('Lineal Mixto'!$C$5:$C$2004,2*A2273)</f>
      </c>
      <c r="D2273" s="6" t="str">
        <f>B2273^2+C2273^2</f>
      </c>
      <c r="E2273" s="6" t="str">
        <f>IF(D2273&lt;=1,1,0)</f>
      </c>
    </row>
    <row r="2274">
      <c r="A2274" s="5">
        <v>247</v>
      </c>
      <c r="B2274" s="5" t="str">
        <f>INDEX('Lineal Mixto'!$C$5:$C$2004,2*A2274-1)</f>
      </c>
      <c r="C2274" s="5" t="str">
        <f>INDEX('Lineal Mixto'!$C$5:$C$2004,2*A2274)</f>
      </c>
      <c r="D2274" s="5" t="str">
        <f>B2274^2+C2274^2</f>
      </c>
      <c r="E2274" s="5" t="str">
        <f>IF(D2274&lt;=1,1,0)</f>
      </c>
    </row>
    <row r="2275">
      <c r="A2275" s="6">
        <v>248</v>
      </c>
      <c r="B2275" s="6" t="str">
        <f>INDEX('Lineal Mixto'!$C$5:$C$2004,2*A2275-1)</f>
      </c>
      <c r="C2275" s="6" t="str">
        <f>INDEX('Lineal Mixto'!$C$5:$C$2004,2*A2275)</f>
      </c>
      <c r="D2275" s="6" t="str">
        <f>B2275^2+C2275^2</f>
      </c>
      <c r="E2275" s="6" t="str">
        <f>IF(D2275&lt;=1,1,0)</f>
      </c>
    </row>
    <row r="2276">
      <c r="A2276" s="5">
        <v>249</v>
      </c>
      <c r="B2276" s="5" t="str">
        <f>INDEX('Lineal Mixto'!$C$5:$C$2004,2*A2276-1)</f>
      </c>
      <c r="C2276" s="5" t="str">
        <f>INDEX('Lineal Mixto'!$C$5:$C$2004,2*A2276)</f>
      </c>
      <c r="D2276" s="5" t="str">
        <f>B2276^2+C2276^2</f>
      </c>
      <c r="E2276" s="5" t="str">
        <f>IF(D2276&lt;=1,1,0)</f>
      </c>
    </row>
    <row r="2277">
      <c r="A2277" s="6">
        <v>250</v>
      </c>
      <c r="B2277" s="6" t="str">
        <f>INDEX('Lineal Mixto'!$C$5:$C$2004,2*A2277-1)</f>
      </c>
      <c r="C2277" s="6" t="str">
        <f>INDEX('Lineal Mixto'!$C$5:$C$2004,2*A2277)</f>
      </c>
      <c r="D2277" s="6" t="str">
        <f>B2277^2+C2277^2</f>
      </c>
      <c r="E2277" s="6" t="str">
        <f>IF(D2277&lt;=1,1,0)</f>
      </c>
    </row>
    <row r="2278">
      <c r="A2278" s="5">
        <v>251</v>
      </c>
      <c r="B2278" s="5" t="str">
        <f>INDEX('Lineal Mixto'!$C$5:$C$2004,2*A2278-1)</f>
      </c>
      <c r="C2278" s="5" t="str">
        <f>INDEX('Lineal Mixto'!$C$5:$C$2004,2*A2278)</f>
      </c>
      <c r="D2278" s="5" t="str">
        <f>B2278^2+C2278^2</f>
      </c>
      <c r="E2278" s="5" t="str">
        <f>IF(D2278&lt;=1,1,0)</f>
      </c>
    </row>
    <row r="2279">
      <c r="A2279" s="6">
        <v>252</v>
      </c>
      <c r="B2279" s="6" t="str">
        <f>INDEX('Lineal Mixto'!$C$5:$C$2004,2*A2279-1)</f>
      </c>
      <c r="C2279" s="6" t="str">
        <f>INDEX('Lineal Mixto'!$C$5:$C$2004,2*A2279)</f>
      </c>
      <c r="D2279" s="6" t="str">
        <f>B2279^2+C2279^2</f>
      </c>
      <c r="E2279" s="6" t="str">
        <f>IF(D2279&lt;=1,1,0)</f>
      </c>
    </row>
    <row r="2280">
      <c r="A2280" s="5">
        <v>253</v>
      </c>
      <c r="B2280" s="5" t="str">
        <f>INDEX('Lineal Mixto'!$C$5:$C$2004,2*A2280-1)</f>
      </c>
      <c r="C2280" s="5" t="str">
        <f>INDEX('Lineal Mixto'!$C$5:$C$2004,2*A2280)</f>
      </c>
      <c r="D2280" s="5" t="str">
        <f>B2280^2+C2280^2</f>
      </c>
      <c r="E2280" s="5" t="str">
        <f>IF(D2280&lt;=1,1,0)</f>
      </c>
    </row>
    <row r="2281">
      <c r="A2281" s="6">
        <v>254</v>
      </c>
      <c r="B2281" s="6" t="str">
        <f>INDEX('Lineal Mixto'!$C$5:$C$2004,2*A2281-1)</f>
      </c>
      <c r="C2281" s="6" t="str">
        <f>INDEX('Lineal Mixto'!$C$5:$C$2004,2*A2281)</f>
      </c>
      <c r="D2281" s="6" t="str">
        <f>B2281^2+C2281^2</f>
      </c>
      <c r="E2281" s="6" t="str">
        <f>IF(D2281&lt;=1,1,0)</f>
      </c>
    </row>
    <row r="2282">
      <c r="A2282" s="5">
        <v>255</v>
      </c>
      <c r="B2282" s="5" t="str">
        <f>INDEX('Lineal Mixto'!$C$5:$C$2004,2*A2282-1)</f>
      </c>
      <c r="C2282" s="5" t="str">
        <f>INDEX('Lineal Mixto'!$C$5:$C$2004,2*A2282)</f>
      </c>
      <c r="D2282" s="5" t="str">
        <f>B2282^2+C2282^2</f>
      </c>
      <c r="E2282" s="5" t="str">
        <f>IF(D2282&lt;=1,1,0)</f>
      </c>
    </row>
    <row r="2283">
      <c r="A2283" s="6">
        <v>256</v>
      </c>
      <c r="B2283" s="6" t="str">
        <f>INDEX('Lineal Mixto'!$C$5:$C$2004,2*A2283-1)</f>
      </c>
      <c r="C2283" s="6" t="str">
        <f>INDEX('Lineal Mixto'!$C$5:$C$2004,2*A2283)</f>
      </c>
      <c r="D2283" s="6" t="str">
        <f>B2283^2+C2283^2</f>
      </c>
      <c r="E2283" s="6" t="str">
        <f>IF(D2283&lt;=1,1,0)</f>
      </c>
    </row>
    <row r="2284">
      <c r="A2284" s="5">
        <v>257</v>
      </c>
      <c r="B2284" s="5" t="str">
        <f>INDEX('Lineal Mixto'!$C$5:$C$2004,2*A2284-1)</f>
      </c>
      <c r="C2284" s="5" t="str">
        <f>INDEX('Lineal Mixto'!$C$5:$C$2004,2*A2284)</f>
      </c>
      <c r="D2284" s="5" t="str">
        <f>B2284^2+C2284^2</f>
      </c>
      <c r="E2284" s="5" t="str">
        <f>IF(D2284&lt;=1,1,0)</f>
      </c>
    </row>
    <row r="2285">
      <c r="A2285" s="6">
        <v>258</v>
      </c>
      <c r="B2285" s="6" t="str">
        <f>INDEX('Lineal Mixto'!$C$5:$C$2004,2*A2285-1)</f>
      </c>
      <c r="C2285" s="6" t="str">
        <f>INDEX('Lineal Mixto'!$C$5:$C$2004,2*A2285)</f>
      </c>
      <c r="D2285" s="6" t="str">
        <f>B2285^2+C2285^2</f>
      </c>
      <c r="E2285" s="6" t="str">
        <f>IF(D2285&lt;=1,1,0)</f>
      </c>
    </row>
    <row r="2286">
      <c r="A2286" s="5">
        <v>259</v>
      </c>
      <c r="B2286" s="5" t="str">
        <f>INDEX('Lineal Mixto'!$C$5:$C$2004,2*A2286-1)</f>
      </c>
      <c r="C2286" s="5" t="str">
        <f>INDEX('Lineal Mixto'!$C$5:$C$2004,2*A2286)</f>
      </c>
      <c r="D2286" s="5" t="str">
        <f>B2286^2+C2286^2</f>
      </c>
      <c r="E2286" s="5" t="str">
        <f>IF(D2286&lt;=1,1,0)</f>
      </c>
    </row>
    <row r="2287">
      <c r="A2287" s="6">
        <v>260</v>
      </c>
      <c r="B2287" s="6" t="str">
        <f>INDEX('Lineal Mixto'!$C$5:$C$2004,2*A2287-1)</f>
      </c>
      <c r="C2287" s="6" t="str">
        <f>INDEX('Lineal Mixto'!$C$5:$C$2004,2*A2287)</f>
      </c>
      <c r="D2287" s="6" t="str">
        <f>B2287^2+C2287^2</f>
      </c>
      <c r="E2287" s="6" t="str">
        <f>IF(D2287&lt;=1,1,0)</f>
      </c>
    </row>
    <row r="2288">
      <c r="A2288" s="5">
        <v>261</v>
      </c>
      <c r="B2288" s="5" t="str">
        <f>INDEX('Lineal Mixto'!$C$5:$C$2004,2*A2288-1)</f>
      </c>
      <c r="C2288" s="5" t="str">
        <f>INDEX('Lineal Mixto'!$C$5:$C$2004,2*A2288)</f>
      </c>
      <c r="D2288" s="5" t="str">
        <f>B2288^2+C2288^2</f>
      </c>
      <c r="E2288" s="5" t="str">
        <f>IF(D2288&lt;=1,1,0)</f>
      </c>
    </row>
    <row r="2289">
      <c r="A2289" s="6">
        <v>262</v>
      </c>
      <c r="B2289" s="6" t="str">
        <f>INDEX('Lineal Mixto'!$C$5:$C$2004,2*A2289-1)</f>
      </c>
      <c r="C2289" s="6" t="str">
        <f>INDEX('Lineal Mixto'!$C$5:$C$2004,2*A2289)</f>
      </c>
      <c r="D2289" s="6" t="str">
        <f>B2289^2+C2289^2</f>
      </c>
      <c r="E2289" s="6" t="str">
        <f>IF(D2289&lt;=1,1,0)</f>
      </c>
    </row>
    <row r="2290">
      <c r="A2290" s="5">
        <v>263</v>
      </c>
      <c r="B2290" s="5" t="str">
        <f>INDEX('Lineal Mixto'!$C$5:$C$2004,2*A2290-1)</f>
      </c>
      <c r="C2290" s="5" t="str">
        <f>INDEX('Lineal Mixto'!$C$5:$C$2004,2*A2290)</f>
      </c>
      <c r="D2290" s="5" t="str">
        <f>B2290^2+C2290^2</f>
      </c>
      <c r="E2290" s="5" t="str">
        <f>IF(D2290&lt;=1,1,0)</f>
      </c>
    </row>
    <row r="2291">
      <c r="A2291" s="6">
        <v>264</v>
      </c>
      <c r="B2291" s="6" t="str">
        <f>INDEX('Lineal Mixto'!$C$5:$C$2004,2*A2291-1)</f>
      </c>
      <c r="C2291" s="6" t="str">
        <f>INDEX('Lineal Mixto'!$C$5:$C$2004,2*A2291)</f>
      </c>
      <c r="D2291" s="6" t="str">
        <f>B2291^2+C2291^2</f>
      </c>
      <c r="E2291" s="6" t="str">
        <f>IF(D2291&lt;=1,1,0)</f>
      </c>
    </row>
    <row r="2292">
      <c r="A2292" s="5">
        <v>265</v>
      </c>
      <c r="B2292" s="5" t="str">
        <f>INDEX('Lineal Mixto'!$C$5:$C$2004,2*A2292-1)</f>
      </c>
      <c r="C2292" s="5" t="str">
        <f>INDEX('Lineal Mixto'!$C$5:$C$2004,2*A2292)</f>
      </c>
      <c r="D2292" s="5" t="str">
        <f>B2292^2+C2292^2</f>
      </c>
      <c r="E2292" s="5" t="str">
        <f>IF(D2292&lt;=1,1,0)</f>
      </c>
    </row>
    <row r="2293">
      <c r="A2293" s="6">
        <v>266</v>
      </c>
      <c r="B2293" s="6" t="str">
        <f>INDEX('Lineal Mixto'!$C$5:$C$2004,2*A2293-1)</f>
      </c>
      <c r="C2293" s="6" t="str">
        <f>INDEX('Lineal Mixto'!$C$5:$C$2004,2*A2293)</f>
      </c>
      <c r="D2293" s="6" t="str">
        <f>B2293^2+C2293^2</f>
      </c>
      <c r="E2293" s="6" t="str">
        <f>IF(D2293&lt;=1,1,0)</f>
      </c>
    </row>
    <row r="2294">
      <c r="A2294" s="5">
        <v>267</v>
      </c>
      <c r="B2294" s="5" t="str">
        <f>INDEX('Lineal Mixto'!$C$5:$C$2004,2*A2294-1)</f>
      </c>
      <c r="C2294" s="5" t="str">
        <f>INDEX('Lineal Mixto'!$C$5:$C$2004,2*A2294)</f>
      </c>
      <c r="D2294" s="5" t="str">
        <f>B2294^2+C2294^2</f>
      </c>
      <c r="E2294" s="5" t="str">
        <f>IF(D2294&lt;=1,1,0)</f>
      </c>
    </row>
    <row r="2295">
      <c r="A2295" s="6">
        <v>268</v>
      </c>
      <c r="B2295" s="6" t="str">
        <f>INDEX('Lineal Mixto'!$C$5:$C$2004,2*A2295-1)</f>
      </c>
      <c r="C2295" s="6" t="str">
        <f>INDEX('Lineal Mixto'!$C$5:$C$2004,2*A2295)</f>
      </c>
      <c r="D2295" s="6" t="str">
        <f>B2295^2+C2295^2</f>
      </c>
      <c r="E2295" s="6" t="str">
        <f>IF(D2295&lt;=1,1,0)</f>
      </c>
    </row>
    <row r="2296">
      <c r="A2296" s="5">
        <v>269</v>
      </c>
      <c r="B2296" s="5" t="str">
        <f>INDEX('Lineal Mixto'!$C$5:$C$2004,2*A2296-1)</f>
      </c>
      <c r="C2296" s="5" t="str">
        <f>INDEX('Lineal Mixto'!$C$5:$C$2004,2*A2296)</f>
      </c>
      <c r="D2296" s="5" t="str">
        <f>B2296^2+C2296^2</f>
      </c>
      <c r="E2296" s="5" t="str">
        <f>IF(D2296&lt;=1,1,0)</f>
      </c>
    </row>
    <row r="2297">
      <c r="A2297" s="6">
        <v>270</v>
      </c>
      <c r="B2297" s="6" t="str">
        <f>INDEX('Lineal Mixto'!$C$5:$C$2004,2*A2297-1)</f>
      </c>
      <c r="C2297" s="6" t="str">
        <f>INDEX('Lineal Mixto'!$C$5:$C$2004,2*A2297)</f>
      </c>
      <c r="D2297" s="6" t="str">
        <f>B2297^2+C2297^2</f>
      </c>
      <c r="E2297" s="6" t="str">
        <f>IF(D2297&lt;=1,1,0)</f>
      </c>
    </row>
    <row r="2298">
      <c r="A2298" s="5">
        <v>271</v>
      </c>
      <c r="B2298" s="5" t="str">
        <f>INDEX('Lineal Mixto'!$C$5:$C$2004,2*A2298-1)</f>
      </c>
      <c r="C2298" s="5" t="str">
        <f>INDEX('Lineal Mixto'!$C$5:$C$2004,2*A2298)</f>
      </c>
      <c r="D2298" s="5" t="str">
        <f>B2298^2+C2298^2</f>
      </c>
      <c r="E2298" s="5" t="str">
        <f>IF(D2298&lt;=1,1,0)</f>
      </c>
    </row>
    <row r="2299">
      <c r="A2299" s="6">
        <v>272</v>
      </c>
      <c r="B2299" s="6" t="str">
        <f>INDEX('Lineal Mixto'!$C$5:$C$2004,2*A2299-1)</f>
      </c>
      <c r="C2299" s="6" t="str">
        <f>INDEX('Lineal Mixto'!$C$5:$C$2004,2*A2299)</f>
      </c>
      <c r="D2299" s="6" t="str">
        <f>B2299^2+C2299^2</f>
      </c>
      <c r="E2299" s="6" t="str">
        <f>IF(D2299&lt;=1,1,0)</f>
      </c>
    </row>
    <row r="2300">
      <c r="A2300" s="5">
        <v>273</v>
      </c>
      <c r="B2300" s="5" t="str">
        <f>INDEX('Lineal Mixto'!$C$5:$C$2004,2*A2300-1)</f>
      </c>
      <c r="C2300" s="5" t="str">
        <f>INDEX('Lineal Mixto'!$C$5:$C$2004,2*A2300)</f>
      </c>
      <c r="D2300" s="5" t="str">
        <f>B2300^2+C2300^2</f>
      </c>
      <c r="E2300" s="5" t="str">
        <f>IF(D2300&lt;=1,1,0)</f>
      </c>
    </row>
    <row r="2301">
      <c r="A2301" s="6">
        <v>274</v>
      </c>
      <c r="B2301" s="6" t="str">
        <f>INDEX('Lineal Mixto'!$C$5:$C$2004,2*A2301-1)</f>
      </c>
      <c r="C2301" s="6" t="str">
        <f>INDEX('Lineal Mixto'!$C$5:$C$2004,2*A2301)</f>
      </c>
      <c r="D2301" s="6" t="str">
        <f>B2301^2+C2301^2</f>
      </c>
      <c r="E2301" s="6" t="str">
        <f>IF(D2301&lt;=1,1,0)</f>
      </c>
    </row>
    <row r="2302">
      <c r="A2302" s="5">
        <v>275</v>
      </c>
      <c r="B2302" s="5" t="str">
        <f>INDEX('Lineal Mixto'!$C$5:$C$2004,2*A2302-1)</f>
      </c>
      <c r="C2302" s="5" t="str">
        <f>INDEX('Lineal Mixto'!$C$5:$C$2004,2*A2302)</f>
      </c>
      <c r="D2302" s="5" t="str">
        <f>B2302^2+C2302^2</f>
      </c>
      <c r="E2302" s="5" t="str">
        <f>IF(D2302&lt;=1,1,0)</f>
      </c>
    </row>
    <row r="2303">
      <c r="A2303" s="6">
        <v>276</v>
      </c>
      <c r="B2303" s="6" t="str">
        <f>INDEX('Lineal Mixto'!$C$5:$C$2004,2*A2303-1)</f>
      </c>
      <c r="C2303" s="6" t="str">
        <f>INDEX('Lineal Mixto'!$C$5:$C$2004,2*A2303)</f>
      </c>
      <c r="D2303" s="6" t="str">
        <f>B2303^2+C2303^2</f>
      </c>
      <c r="E2303" s="6" t="str">
        <f>IF(D2303&lt;=1,1,0)</f>
      </c>
    </row>
    <row r="2304">
      <c r="A2304" s="5">
        <v>277</v>
      </c>
      <c r="B2304" s="5" t="str">
        <f>INDEX('Lineal Mixto'!$C$5:$C$2004,2*A2304-1)</f>
      </c>
      <c r="C2304" s="5" t="str">
        <f>INDEX('Lineal Mixto'!$C$5:$C$2004,2*A2304)</f>
      </c>
      <c r="D2304" s="5" t="str">
        <f>B2304^2+C2304^2</f>
      </c>
      <c r="E2304" s="5" t="str">
        <f>IF(D2304&lt;=1,1,0)</f>
      </c>
    </row>
    <row r="2305">
      <c r="A2305" s="6">
        <v>278</v>
      </c>
      <c r="B2305" s="6" t="str">
        <f>INDEX('Lineal Mixto'!$C$5:$C$2004,2*A2305-1)</f>
      </c>
      <c r="C2305" s="6" t="str">
        <f>INDEX('Lineal Mixto'!$C$5:$C$2004,2*A2305)</f>
      </c>
      <c r="D2305" s="6" t="str">
        <f>B2305^2+C2305^2</f>
      </c>
      <c r="E2305" s="6" t="str">
        <f>IF(D2305&lt;=1,1,0)</f>
      </c>
    </row>
    <row r="2306">
      <c r="A2306" s="5">
        <v>279</v>
      </c>
      <c r="B2306" s="5" t="str">
        <f>INDEX('Lineal Mixto'!$C$5:$C$2004,2*A2306-1)</f>
      </c>
      <c r="C2306" s="5" t="str">
        <f>INDEX('Lineal Mixto'!$C$5:$C$2004,2*A2306)</f>
      </c>
      <c r="D2306" s="5" t="str">
        <f>B2306^2+C2306^2</f>
      </c>
      <c r="E2306" s="5" t="str">
        <f>IF(D2306&lt;=1,1,0)</f>
      </c>
    </row>
    <row r="2307">
      <c r="A2307" s="6">
        <v>280</v>
      </c>
      <c r="B2307" s="6" t="str">
        <f>INDEX('Lineal Mixto'!$C$5:$C$2004,2*A2307-1)</f>
      </c>
      <c r="C2307" s="6" t="str">
        <f>INDEX('Lineal Mixto'!$C$5:$C$2004,2*A2307)</f>
      </c>
      <c r="D2307" s="6" t="str">
        <f>B2307^2+C2307^2</f>
      </c>
      <c r="E2307" s="6" t="str">
        <f>IF(D2307&lt;=1,1,0)</f>
      </c>
    </row>
    <row r="2308">
      <c r="A2308" s="5">
        <v>281</v>
      </c>
      <c r="B2308" s="5" t="str">
        <f>INDEX('Lineal Mixto'!$C$5:$C$2004,2*A2308-1)</f>
      </c>
      <c r="C2308" s="5" t="str">
        <f>INDEX('Lineal Mixto'!$C$5:$C$2004,2*A2308)</f>
      </c>
      <c r="D2308" s="5" t="str">
        <f>B2308^2+C2308^2</f>
      </c>
      <c r="E2308" s="5" t="str">
        <f>IF(D2308&lt;=1,1,0)</f>
      </c>
    </row>
    <row r="2309">
      <c r="A2309" s="6">
        <v>282</v>
      </c>
      <c r="B2309" s="6" t="str">
        <f>INDEX('Lineal Mixto'!$C$5:$C$2004,2*A2309-1)</f>
      </c>
      <c r="C2309" s="6" t="str">
        <f>INDEX('Lineal Mixto'!$C$5:$C$2004,2*A2309)</f>
      </c>
      <c r="D2309" s="6" t="str">
        <f>B2309^2+C2309^2</f>
      </c>
      <c r="E2309" s="6" t="str">
        <f>IF(D2309&lt;=1,1,0)</f>
      </c>
    </row>
    <row r="2310">
      <c r="A2310" s="5">
        <v>283</v>
      </c>
      <c r="B2310" s="5" t="str">
        <f>INDEX('Lineal Mixto'!$C$5:$C$2004,2*A2310-1)</f>
      </c>
      <c r="C2310" s="5" t="str">
        <f>INDEX('Lineal Mixto'!$C$5:$C$2004,2*A2310)</f>
      </c>
      <c r="D2310" s="5" t="str">
        <f>B2310^2+C2310^2</f>
      </c>
      <c r="E2310" s="5" t="str">
        <f>IF(D2310&lt;=1,1,0)</f>
      </c>
    </row>
    <row r="2311">
      <c r="A2311" s="6">
        <v>284</v>
      </c>
      <c r="B2311" s="6" t="str">
        <f>INDEX('Lineal Mixto'!$C$5:$C$2004,2*A2311-1)</f>
      </c>
      <c r="C2311" s="6" t="str">
        <f>INDEX('Lineal Mixto'!$C$5:$C$2004,2*A2311)</f>
      </c>
      <c r="D2311" s="6" t="str">
        <f>B2311^2+C2311^2</f>
      </c>
      <c r="E2311" s="6" t="str">
        <f>IF(D2311&lt;=1,1,0)</f>
      </c>
    </row>
    <row r="2312">
      <c r="A2312" s="5">
        <v>285</v>
      </c>
      <c r="B2312" s="5" t="str">
        <f>INDEX('Lineal Mixto'!$C$5:$C$2004,2*A2312-1)</f>
      </c>
      <c r="C2312" s="5" t="str">
        <f>INDEX('Lineal Mixto'!$C$5:$C$2004,2*A2312)</f>
      </c>
      <c r="D2312" s="5" t="str">
        <f>B2312^2+C2312^2</f>
      </c>
      <c r="E2312" s="5" t="str">
        <f>IF(D2312&lt;=1,1,0)</f>
      </c>
    </row>
    <row r="2313">
      <c r="A2313" s="6">
        <v>286</v>
      </c>
      <c r="B2313" s="6" t="str">
        <f>INDEX('Lineal Mixto'!$C$5:$C$2004,2*A2313-1)</f>
      </c>
      <c r="C2313" s="6" t="str">
        <f>INDEX('Lineal Mixto'!$C$5:$C$2004,2*A2313)</f>
      </c>
      <c r="D2313" s="6" t="str">
        <f>B2313^2+C2313^2</f>
      </c>
      <c r="E2313" s="6" t="str">
        <f>IF(D2313&lt;=1,1,0)</f>
      </c>
    </row>
    <row r="2314">
      <c r="A2314" s="5">
        <v>287</v>
      </c>
      <c r="B2314" s="5" t="str">
        <f>INDEX('Lineal Mixto'!$C$5:$C$2004,2*A2314-1)</f>
      </c>
      <c r="C2314" s="5" t="str">
        <f>INDEX('Lineal Mixto'!$C$5:$C$2004,2*A2314)</f>
      </c>
      <c r="D2314" s="5" t="str">
        <f>B2314^2+C2314^2</f>
      </c>
      <c r="E2314" s="5" t="str">
        <f>IF(D2314&lt;=1,1,0)</f>
      </c>
    </row>
    <row r="2315">
      <c r="A2315" s="6">
        <v>288</v>
      </c>
      <c r="B2315" s="6" t="str">
        <f>INDEX('Lineal Mixto'!$C$5:$C$2004,2*A2315-1)</f>
      </c>
      <c r="C2315" s="6" t="str">
        <f>INDEX('Lineal Mixto'!$C$5:$C$2004,2*A2315)</f>
      </c>
      <c r="D2315" s="6" t="str">
        <f>B2315^2+C2315^2</f>
      </c>
      <c r="E2315" s="6" t="str">
        <f>IF(D2315&lt;=1,1,0)</f>
      </c>
    </row>
    <row r="2316">
      <c r="A2316" s="5">
        <v>289</v>
      </c>
      <c r="B2316" s="5" t="str">
        <f>INDEX('Lineal Mixto'!$C$5:$C$2004,2*A2316-1)</f>
      </c>
      <c r="C2316" s="5" t="str">
        <f>INDEX('Lineal Mixto'!$C$5:$C$2004,2*A2316)</f>
      </c>
      <c r="D2316" s="5" t="str">
        <f>B2316^2+C2316^2</f>
      </c>
      <c r="E2316" s="5" t="str">
        <f>IF(D2316&lt;=1,1,0)</f>
      </c>
    </row>
    <row r="2317">
      <c r="A2317" s="6">
        <v>290</v>
      </c>
      <c r="B2317" s="6" t="str">
        <f>INDEX('Lineal Mixto'!$C$5:$C$2004,2*A2317-1)</f>
      </c>
      <c r="C2317" s="6" t="str">
        <f>INDEX('Lineal Mixto'!$C$5:$C$2004,2*A2317)</f>
      </c>
      <c r="D2317" s="6" t="str">
        <f>B2317^2+C2317^2</f>
      </c>
      <c r="E2317" s="6" t="str">
        <f>IF(D2317&lt;=1,1,0)</f>
      </c>
    </row>
    <row r="2318">
      <c r="A2318" s="5">
        <v>291</v>
      </c>
      <c r="B2318" s="5" t="str">
        <f>INDEX('Lineal Mixto'!$C$5:$C$2004,2*A2318-1)</f>
      </c>
      <c r="C2318" s="5" t="str">
        <f>INDEX('Lineal Mixto'!$C$5:$C$2004,2*A2318)</f>
      </c>
      <c r="D2318" s="5" t="str">
        <f>B2318^2+C2318^2</f>
      </c>
      <c r="E2318" s="5" t="str">
        <f>IF(D2318&lt;=1,1,0)</f>
      </c>
    </row>
    <row r="2319">
      <c r="A2319" s="6">
        <v>292</v>
      </c>
      <c r="B2319" s="6" t="str">
        <f>INDEX('Lineal Mixto'!$C$5:$C$2004,2*A2319-1)</f>
      </c>
      <c r="C2319" s="6" t="str">
        <f>INDEX('Lineal Mixto'!$C$5:$C$2004,2*A2319)</f>
      </c>
      <c r="D2319" s="6" t="str">
        <f>B2319^2+C2319^2</f>
      </c>
      <c r="E2319" s="6" t="str">
        <f>IF(D2319&lt;=1,1,0)</f>
      </c>
    </row>
    <row r="2320">
      <c r="A2320" s="5">
        <v>293</v>
      </c>
      <c r="B2320" s="5" t="str">
        <f>INDEX('Lineal Mixto'!$C$5:$C$2004,2*A2320-1)</f>
      </c>
      <c r="C2320" s="5" t="str">
        <f>INDEX('Lineal Mixto'!$C$5:$C$2004,2*A2320)</f>
      </c>
      <c r="D2320" s="5" t="str">
        <f>B2320^2+C2320^2</f>
      </c>
      <c r="E2320" s="5" t="str">
        <f>IF(D2320&lt;=1,1,0)</f>
      </c>
    </row>
    <row r="2321">
      <c r="A2321" s="6">
        <v>294</v>
      </c>
      <c r="B2321" s="6" t="str">
        <f>INDEX('Lineal Mixto'!$C$5:$C$2004,2*A2321-1)</f>
      </c>
      <c r="C2321" s="6" t="str">
        <f>INDEX('Lineal Mixto'!$C$5:$C$2004,2*A2321)</f>
      </c>
      <c r="D2321" s="6" t="str">
        <f>B2321^2+C2321^2</f>
      </c>
      <c r="E2321" s="6" t="str">
        <f>IF(D2321&lt;=1,1,0)</f>
      </c>
    </row>
    <row r="2322">
      <c r="A2322" s="5">
        <v>295</v>
      </c>
      <c r="B2322" s="5" t="str">
        <f>INDEX('Lineal Mixto'!$C$5:$C$2004,2*A2322-1)</f>
      </c>
      <c r="C2322" s="5" t="str">
        <f>INDEX('Lineal Mixto'!$C$5:$C$2004,2*A2322)</f>
      </c>
      <c r="D2322" s="5" t="str">
        <f>B2322^2+C2322^2</f>
      </c>
      <c r="E2322" s="5" t="str">
        <f>IF(D2322&lt;=1,1,0)</f>
      </c>
    </row>
    <row r="2323">
      <c r="A2323" s="6">
        <v>296</v>
      </c>
      <c r="B2323" s="6" t="str">
        <f>INDEX('Lineal Mixto'!$C$5:$C$2004,2*A2323-1)</f>
      </c>
      <c r="C2323" s="6" t="str">
        <f>INDEX('Lineal Mixto'!$C$5:$C$2004,2*A2323)</f>
      </c>
      <c r="D2323" s="6" t="str">
        <f>B2323^2+C2323^2</f>
      </c>
      <c r="E2323" s="6" t="str">
        <f>IF(D2323&lt;=1,1,0)</f>
      </c>
    </row>
    <row r="2324">
      <c r="A2324" s="5">
        <v>297</v>
      </c>
      <c r="B2324" s="5" t="str">
        <f>INDEX('Lineal Mixto'!$C$5:$C$2004,2*A2324-1)</f>
      </c>
      <c r="C2324" s="5" t="str">
        <f>INDEX('Lineal Mixto'!$C$5:$C$2004,2*A2324)</f>
      </c>
      <c r="D2324" s="5" t="str">
        <f>B2324^2+C2324^2</f>
      </c>
      <c r="E2324" s="5" t="str">
        <f>IF(D2324&lt;=1,1,0)</f>
      </c>
    </row>
    <row r="2325">
      <c r="A2325" s="6">
        <v>298</v>
      </c>
      <c r="B2325" s="6" t="str">
        <f>INDEX('Lineal Mixto'!$C$5:$C$2004,2*A2325-1)</f>
      </c>
      <c r="C2325" s="6" t="str">
        <f>INDEX('Lineal Mixto'!$C$5:$C$2004,2*A2325)</f>
      </c>
      <c r="D2325" s="6" t="str">
        <f>B2325^2+C2325^2</f>
      </c>
      <c r="E2325" s="6" t="str">
        <f>IF(D2325&lt;=1,1,0)</f>
      </c>
    </row>
    <row r="2326">
      <c r="A2326" s="5">
        <v>299</v>
      </c>
      <c r="B2326" s="5" t="str">
        <f>INDEX('Lineal Mixto'!$C$5:$C$2004,2*A2326-1)</f>
      </c>
      <c r="C2326" s="5" t="str">
        <f>INDEX('Lineal Mixto'!$C$5:$C$2004,2*A2326)</f>
      </c>
      <c r="D2326" s="5" t="str">
        <f>B2326^2+C2326^2</f>
      </c>
      <c r="E2326" s="5" t="str">
        <f>IF(D2326&lt;=1,1,0)</f>
      </c>
    </row>
    <row r="2327">
      <c r="A2327" s="6">
        <v>300</v>
      </c>
      <c r="B2327" s="6" t="str">
        <f>INDEX('Lineal Mixto'!$C$5:$C$2004,2*A2327-1)</f>
      </c>
      <c r="C2327" s="6" t="str">
        <f>INDEX('Lineal Mixto'!$C$5:$C$2004,2*A2327)</f>
      </c>
      <c r="D2327" s="6" t="str">
        <f>B2327^2+C2327^2</f>
      </c>
      <c r="E2327" s="6" t="str">
        <f>IF(D2327&lt;=1,1,0)</f>
      </c>
    </row>
    <row r="2328">
      <c r="A2328" s="5">
        <v>301</v>
      </c>
      <c r="B2328" s="5" t="str">
        <f>INDEX('Lineal Mixto'!$C$5:$C$2004,2*A2328-1)</f>
      </c>
      <c r="C2328" s="5" t="str">
        <f>INDEX('Lineal Mixto'!$C$5:$C$2004,2*A2328)</f>
      </c>
      <c r="D2328" s="5" t="str">
        <f>B2328^2+C2328^2</f>
      </c>
      <c r="E2328" s="5" t="str">
        <f>IF(D2328&lt;=1,1,0)</f>
      </c>
    </row>
    <row r="2329">
      <c r="A2329" s="6">
        <v>302</v>
      </c>
      <c r="B2329" s="6" t="str">
        <f>INDEX('Lineal Mixto'!$C$5:$C$2004,2*A2329-1)</f>
      </c>
      <c r="C2329" s="6" t="str">
        <f>INDEX('Lineal Mixto'!$C$5:$C$2004,2*A2329)</f>
      </c>
      <c r="D2329" s="6" t="str">
        <f>B2329^2+C2329^2</f>
      </c>
      <c r="E2329" s="6" t="str">
        <f>IF(D2329&lt;=1,1,0)</f>
      </c>
    </row>
    <row r="2330">
      <c r="A2330" s="5">
        <v>303</v>
      </c>
      <c r="B2330" s="5" t="str">
        <f>INDEX('Lineal Mixto'!$C$5:$C$2004,2*A2330-1)</f>
      </c>
      <c r="C2330" s="5" t="str">
        <f>INDEX('Lineal Mixto'!$C$5:$C$2004,2*A2330)</f>
      </c>
      <c r="D2330" s="5" t="str">
        <f>B2330^2+C2330^2</f>
      </c>
      <c r="E2330" s="5" t="str">
        <f>IF(D2330&lt;=1,1,0)</f>
      </c>
    </row>
    <row r="2331">
      <c r="A2331" s="6">
        <v>304</v>
      </c>
      <c r="B2331" s="6" t="str">
        <f>INDEX('Lineal Mixto'!$C$5:$C$2004,2*A2331-1)</f>
      </c>
      <c r="C2331" s="6" t="str">
        <f>INDEX('Lineal Mixto'!$C$5:$C$2004,2*A2331)</f>
      </c>
      <c r="D2331" s="6" t="str">
        <f>B2331^2+C2331^2</f>
      </c>
      <c r="E2331" s="6" t="str">
        <f>IF(D2331&lt;=1,1,0)</f>
      </c>
    </row>
    <row r="2332">
      <c r="A2332" s="5">
        <v>305</v>
      </c>
      <c r="B2332" s="5" t="str">
        <f>INDEX('Lineal Mixto'!$C$5:$C$2004,2*A2332-1)</f>
      </c>
      <c r="C2332" s="5" t="str">
        <f>INDEX('Lineal Mixto'!$C$5:$C$2004,2*A2332)</f>
      </c>
      <c r="D2332" s="5" t="str">
        <f>B2332^2+C2332^2</f>
      </c>
      <c r="E2332" s="5" t="str">
        <f>IF(D2332&lt;=1,1,0)</f>
      </c>
    </row>
    <row r="2333">
      <c r="A2333" s="6">
        <v>306</v>
      </c>
      <c r="B2333" s="6" t="str">
        <f>INDEX('Lineal Mixto'!$C$5:$C$2004,2*A2333-1)</f>
      </c>
      <c r="C2333" s="6" t="str">
        <f>INDEX('Lineal Mixto'!$C$5:$C$2004,2*A2333)</f>
      </c>
      <c r="D2333" s="6" t="str">
        <f>B2333^2+C2333^2</f>
      </c>
      <c r="E2333" s="6" t="str">
        <f>IF(D2333&lt;=1,1,0)</f>
      </c>
    </row>
    <row r="2334">
      <c r="A2334" s="5">
        <v>307</v>
      </c>
      <c r="B2334" s="5" t="str">
        <f>INDEX('Lineal Mixto'!$C$5:$C$2004,2*A2334-1)</f>
      </c>
      <c r="C2334" s="5" t="str">
        <f>INDEX('Lineal Mixto'!$C$5:$C$2004,2*A2334)</f>
      </c>
      <c r="D2334" s="5" t="str">
        <f>B2334^2+C2334^2</f>
      </c>
      <c r="E2334" s="5" t="str">
        <f>IF(D2334&lt;=1,1,0)</f>
      </c>
    </row>
    <row r="2335">
      <c r="A2335" s="6">
        <v>308</v>
      </c>
      <c r="B2335" s="6" t="str">
        <f>INDEX('Lineal Mixto'!$C$5:$C$2004,2*A2335-1)</f>
      </c>
      <c r="C2335" s="6" t="str">
        <f>INDEX('Lineal Mixto'!$C$5:$C$2004,2*A2335)</f>
      </c>
      <c r="D2335" s="6" t="str">
        <f>B2335^2+C2335^2</f>
      </c>
      <c r="E2335" s="6" t="str">
        <f>IF(D2335&lt;=1,1,0)</f>
      </c>
    </row>
    <row r="2336">
      <c r="A2336" s="5">
        <v>309</v>
      </c>
      <c r="B2336" s="5" t="str">
        <f>INDEX('Lineal Mixto'!$C$5:$C$2004,2*A2336-1)</f>
      </c>
      <c r="C2336" s="5" t="str">
        <f>INDEX('Lineal Mixto'!$C$5:$C$2004,2*A2336)</f>
      </c>
      <c r="D2336" s="5" t="str">
        <f>B2336^2+C2336^2</f>
      </c>
      <c r="E2336" s="5" t="str">
        <f>IF(D2336&lt;=1,1,0)</f>
      </c>
    </row>
    <row r="2337">
      <c r="A2337" s="6">
        <v>310</v>
      </c>
      <c r="B2337" s="6" t="str">
        <f>INDEX('Lineal Mixto'!$C$5:$C$2004,2*A2337-1)</f>
      </c>
      <c r="C2337" s="6" t="str">
        <f>INDEX('Lineal Mixto'!$C$5:$C$2004,2*A2337)</f>
      </c>
      <c r="D2337" s="6" t="str">
        <f>B2337^2+C2337^2</f>
      </c>
      <c r="E2337" s="6" t="str">
        <f>IF(D2337&lt;=1,1,0)</f>
      </c>
    </row>
    <row r="2338">
      <c r="A2338" s="5">
        <v>311</v>
      </c>
      <c r="B2338" s="5" t="str">
        <f>INDEX('Lineal Mixto'!$C$5:$C$2004,2*A2338-1)</f>
      </c>
      <c r="C2338" s="5" t="str">
        <f>INDEX('Lineal Mixto'!$C$5:$C$2004,2*A2338)</f>
      </c>
      <c r="D2338" s="5" t="str">
        <f>B2338^2+C2338^2</f>
      </c>
      <c r="E2338" s="5" t="str">
        <f>IF(D2338&lt;=1,1,0)</f>
      </c>
    </row>
    <row r="2339">
      <c r="A2339" s="6">
        <v>312</v>
      </c>
      <c r="B2339" s="6" t="str">
        <f>INDEX('Lineal Mixto'!$C$5:$C$2004,2*A2339-1)</f>
      </c>
      <c r="C2339" s="6" t="str">
        <f>INDEX('Lineal Mixto'!$C$5:$C$2004,2*A2339)</f>
      </c>
      <c r="D2339" s="6" t="str">
        <f>B2339^2+C2339^2</f>
      </c>
      <c r="E2339" s="6" t="str">
        <f>IF(D2339&lt;=1,1,0)</f>
      </c>
    </row>
    <row r="2340">
      <c r="A2340" s="5">
        <v>313</v>
      </c>
      <c r="B2340" s="5" t="str">
        <f>INDEX('Lineal Mixto'!$C$5:$C$2004,2*A2340-1)</f>
      </c>
      <c r="C2340" s="5" t="str">
        <f>INDEX('Lineal Mixto'!$C$5:$C$2004,2*A2340)</f>
      </c>
      <c r="D2340" s="5" t="str">
        <f>B2340^2+C2340^2</f>
      </c>
      <c r="E2340" s="5" t="str">
        <f>IF(D2340&lt;=1,1,0)</f>
      </c>
    </row>
    <row r="2341">
      <c r="A2341" s="6">
        <v>314</v>
      </c>
      <c r="B2341" s="6" t="str">
        <f>INDEX('Lineal Mixto'!$C$5:$C$2004,2*A2341-1)</f>
      </c>
      <c r="C2341" s="6" t="str">
        <f>INDEX('Lineal Mixto'!$C$5:$C$2004,2*A2341)</f>
      </c>
      <c r="D2341" s="6" t="str">
        <f>B2341^2+C2341^2</f>
      </c>
      <c r="E2341" s="6" t="str">
        <f>IF(D2341&lt;=1,1,0)</f>
      </c>
    </row>
    <row r="2342">
      <c r="A2342" s="5">
        <v>315</v>
      </c>
      <c r="B2342" s="5" t="str">
        <f>INDEX('Lineal Mixto'!$C$5:$C$2004,2*A2342-1)</f>
      </c>
      <c r="C2342" s="5" t="str">
        <f>INDEX('Lineal Mixto'!$C$5:$C$2004,2*A2342)</f>
      </c>
      <c r="D2342" s="5" t="str">
        <f>B2342^2+C2342^2</f>
      </c>
      <c r="E2342" s="5" t="str">
        <f>IF(D2342&lt;=1,1,0)</f>
      </c>
    </row>
    <row r="2343">
      <c r="A2343" s="6">
        <v>316</v>
      </c>
      <c r="B2343" s="6" t="str">
        <f>INDEX('Lineal Mixto'!$C$5:$C$2004,2*A2343-1)</f>
      </c>
      <c r="C2343" s="6" t="str">
        <f>INDEX('Lineal Mixto'!$C$5:$C$2004,2*A2343)</f>
      </c>
      <c r="D2343" s="6" t="str">
        <f>B2343^2+C2343^2</f>
      </c>
      <c r="E2343" s="6" t="str">
        <f>IF(D2343&lt;=1,1,0)</f>
      </c>
    </row>
    <row r="2344">
      <c r="A2344" s="5">
        <v>317</v>
      </c>
      <c r="B2344" s="5" t="str">
        <f>INDEX('Lineal Mixto'!$C$5:$C$2004,2*A2344-1)</f>
      </c>
      <c r="C2344" s="5" t="str">
        <f>INDEX('Lineal Mixto'!$C$5:$C$2004,2*A2344)</f>
      </c>
      <c r="D2344" s="5" t="str">
        <f>B2344^2+C2344^2</f>
      </c>
      <c r="E2344" s="5" t="str">
        <f>IF(D2344&lt;=1,1,0)</f>
      </c>
    </row>
    <row r="2345">
      <c r="A2345" s="6">
        <v>318</v>
      </c>
      <c r="B2345" s="6" t="str">
        <f>INDEX('Lineal Mixto'!$C$5:$C$2004,2*A2345-1)</f>
      </c>
      <c r="C2345" s="6" t="str">
        <f>INDEX('Lineal Mixto'!$C$5:$C$2004,2*A2345)</f>
      </c>
      <c r="D2345" s="6" t="str">
        <f>B2345^2+C2345^2</f>
      </c>
      <c r="E2345" s="6" t="str">
        <f>IF(D2345&lt;=1,1,0)</f>
      </c>
    </row>
    <row r="2346">
      <c r="A2346" s="5">
        <v>319</v>
      </c>
      <c r="B2346" s="5" t="str">
        <f>INDEX('Lineal Mixto'!$C$5:$C$2004,2*A2346-1)</f>
      </c>
      <c r="C2346" s="5" t="str">
        <f>INDEX('Lineal Mixto'!$C$5:$C$2004,2*A2346)</f>
      </c>
      <c r="D2346" s="5" t="str">
        <f>B2346^2+C2346^2</f>
      </c>
      <c r="E2346" s="5" t="str">
        <f>IF(D2346&lt;=1,1,0)</f>
      </c>
    </row>
    <row r="2347">
      <c r="A2347" s="6">
        <v>320</v>
      </c>
      <c r="B2347" s="6" t="str">
        <f>INDEX('Lineal Mixto'!$C$5:$C$2004,2*A2347-1)</f>
      </c>
      <c r="C2347" s="6" t="str">
        <f>INDEX('Lineal Mixto'!$C$5:$C$2004,2*A2347)</f>
      </c>
      <c r="D2347" s="6" t="str">
        <f>B2347^2+C2347^2</f>
      </c>
      <c r="E2347" s="6" t="str">
        <f>IF(D2347&lt;=1,1,0)</f>
      </c>
    </row>
    <row r="2348">
      <c r="A2348" s="5">
        <v>321</v>
      </c>
      <c r="B2348" s="5" t="str">
        <f>INDEX('Lineal Mixto'!$C$5:$C$2004,2*A2348-1)</f>
      </c>
      <c r="C2348" s="5" t="str">
        <f>INDEX('Lineal Mixto'!$C$5:$C$2004,2*A2348)</f>
      </c>
      <c r="D2348" s="5" t="str">
        <f>B2348^2+C2348^2</f>
      </c>
      <c r="E2348" s="5" t="str">
        <f>IF(D2348&lt;=1,1,0)</f>
      </c>
    </row>
    <row r="2349">
      <c r="A2349" s="6">
        <v>322</v>
      </c>
      <c r="B2349" s="6" t="str">
        <f>INDEX('Lineal Mixto'!$C$5:$C$2004,2*A2349-1)</f>
      </c>
      <c r="C2349" s="6" t="str">
        <f>INDEX('Lineal Mixto'!$C$5:$C$2004,2*A2349)</f>
      </c>
      <c r="D2349" s="6" t="str">
        <f>B2349^2+C2349^2</f>
      </c>
      <c r="E2349" s="6" t="str">
        <f>IF(D2349&lt;=1,1,0)</f>
      </c>
    </row>
    <row r="2350">
      <c r="A2350" s="5">
        <v>323</v>
      </c>
      <c r="B2350" s="5" t="str">
        <f>INDEX('Lineal Mixto'!$C$5:$C$2004,2*A2350-1)</f>
      </c>
      <c r="C2350" s="5" t="str">
        <f>INDEX('Lineal Mixto'!$C$5:$C$2004,2*A2350)</f>
      </c>
      <c r="D2350" s="5" t="str">
        <f>B2350^2+C2350^2</f>
      </c>
      <c r="E2350" s="5" t="str">
        <f>IF(D2350&lt;=1,1,0)</f>
      </c>
    </row>
    <row r="2351">
      <c r="A2351" s="6">
        <v>324</v>
      </c>
      <c r="B2351" s="6" t="str">
        <f>INDEX('Lineal Mixto'!$C$5:$C$2004,2*A2351-1)</f>
      </c>
      <c r="C2351" s="6" t="str">
        <f>INDEX('Lineal Mixto'!$C$5:$C$2004,2*A2351)</f>
      </c>
      <c r="D2351" s="6" t="str">
        <f>B2351^2+C2351^2</f>
      </c>
      <c r="E2351" s="6" t="str">
        <f>IF(D2351&lt;=1,1,0)</f>
      </c>
    </row>
    <row r="2352">
      <c r="A2352" s="5">
        <v>325</v>
      </c>
      <c r="B2352" s="5" t="str">
        <f>INDEX('Lineal Mixto'!$C$5:$C$2004,2*A2352-1)</f>
      </c>
      <c r="C2352" s="5" t="str">
        <f>INDEX('Lineal Mixto'!$C$5:$C$2004,2*A2352)</f>
      </c>
      <c r="D2352" s="5" t="str">
        <f>B2352^2+C2352^2</f>
      </c>
      <c r="E2352" s="5" t="str">
        <f>IF(D2352&lt;=1,1,0)</f>
      </c>
    </row>
    <row r="2353">
      <c r="A2353" s="6">
        <v>326</v>
      </c>
      <c r="B2353" s="6" t="str">
        <f>INDEX('Lineal Mixto'!$C$5:$C$2004,2*A2353-1)</f>
      </c>
      <c r="C2353" s="6" t="str">
        <f>INDEX('Lineal Mixto'!$C$5:$C$2004,2*A2353)</f>
      </c>
      <c r="D2353" s="6" t="str">
        <f>B2353^2+C2353^2</f>
      </c>
      <c r="E2353" s="6" t="str">
        <f>IF(D2353&lt;=1,1,0)</f>
      </c>
    </row>
    <row r="2354">
      <c r="A2354" s="5">
        <v>327</v>
      </c>
      <c r="B2354" s="5" t="str">
        <f>INDEX('Lineal Mixto'!$C$5:$C$2004,2*A2354-1)</f>
      </c>
      <c r="C2354" s="5" t="str">
        <f>INDEX('Lineal Mixto'!$C$5:$C$2004,2*A2354)</f>
      </c>
      <c r="D2354" s="5" t="str">
        <f>B2354^2+C2354^2</f>
      </c>
      <c r="E2354" s="5" t="str">
        <f>IF(D2354&lt;=1,1,0)</f>
      </c>
    </row>
    <row r="2355">
      <c r="A2355" s="6">
        <v>328</v>
      </c>
      <c r="B2355" s="6" t="str">
        <f>INDEX('Lineal Mixto'!$C$5:$C$2004,2*A2355-1)</f>
      </c>
      <c r="C2355" s="6" t="str">
        <f>INDEX('Lineal Mixto'!$C$5:$C$2004,2*A2355)</f>
      </c>
      <c r="D2355" s="6" t="str">
        <f>B2355^2+C2355^2</f>
      </c>
      <c r="E2355" s="6" t="str">
        <f>IF(D2355&lt;=1,1,0)</f>
      </c>
    </row>
    <row r="2356">
      <c r="A2356" s="5">
        <v>329</v>
      </c>
      <c r="B2356" s="5" t="str">
        <f>INDEX('Lineal Mixto'!$C$5:$C$2004,2*A2356-1)</f>
      </c>
      <c r="C2356" s="5" t="str">
        <f>INDEX('Lineal Mixto'!$C$5:$C$2004,2*A2356)</f>
      </c>
      <c r="D2356" s="5" t="str">
        <f>B2356^2+C2356^2</f>
      </c>
      <c r="E2356" s="5" t="str">
        <f>IF(D2356&lt;=1,1,0)</f>
      </c>
    </row>
    <row r="2357">
      <c r="A2357" s="6">
        <v>330</v>
      </c>
      <c r="B2357" s="6" t="str">
        <f>INDEX('Lineal Mixto'!$C$5:$C$2004,2*A2357-1)</f>
      </c>
      <c r="C2357" s="6" t="str">
        <f>INDEX('Lineal Mixto'!$C$5:$C$2004,2*A2357)</f>
      </c>
      <c r="D2357" s="6" t="str">
        <f>B2357^2+C2357^2</f>
      </c>
      <c r="E2357" s="6" t="str">
        <f>IF(D2357&lt;=1,1,0)</f>
      </c>
    </row>
    <row r="2358">
      <c r="A2358" s="5">
        <v>331</v>
      </c>
      <c r="B2358" s="5" t="str">
        <f>INDEX('Lineal Mixto'!$C$5:$C$2004,2*A2358-1)</f>
      </c>
      <c r="C2358" s="5" t="str">
        <f>INDEX('Lineal Mixto'!$C$5:$C$2004,2*A2358)</f>
      </c>
      <c r="D2358" s="5" t="str">
        <f>B2358^2+C2358^2</f>
      </c>
      <c r="E2358" s="5" t="str">
        <f>IF(D2358&lt;=1,1,0)</f>
      </c>
    </row>
    <row r="2359">
      <c r="A2359" s="6">
        <v>332</v>
      </c>
      <c r="B2359" s="6" t="str">
        <f>INDEX('Lineal Mixto'!$C$5:$C$2004,2*A2359-1)</f>
      </c>
      <c r="C2359" s="6" t="str">
        <f>INDEX('Lineal Mixto'!$C$5:$C$2004,2*A2359)</f>
      </c>
      <c r="D2359" s="6" t="str">
        <f>B2359^2+C2359^2</f>
      </c>
      <c r="E2359" s="6" t="str">
        <f>IF(D2359&lt;=1,1,0)</f>
      </c>
    </row>
    <row r="2360">
      <c r="A2360" s="5">
        <v>333</v>
      </c>
      <c r="B2360" s="5" t="str">
        <f>INDEX('Lineal Mixto'!$C$5:$C$2004,2*A2360-1)</f>
      </c>
      <c r="C2360" s="5" t="str">
        <f>INDEX('Lineal Mixto'!$C$5:$C$2004,2*A2360)</f>
      </c>
      <c r="D2360" s="5" t="str">
        <f>B2360^2+C2360^2</f>
      </c>
      <c r="E2360" s="5" t="str">
        <f>IF(D2360&lt;=1,1,0)</f>
      </c>
    </row>
    <row r="2361">
      <c r="A2361" s="6">
        <v>334</v>
      </c>
      <c r="B2361" s="6" t="str">
        <f>INDEX('Lineal Mixto'!$C$5:$C$2004,2*A2361-1)</f>
      </c>
      <c r="C2361" s="6" t="str">
        <f>INDEX('Lineal Mixto'!$C$5:$C$2004,2*A2361)</f>
      </c>
      <c r="D2361" s="6" t="str">
        <f>B2361^2+C2361^2</f>
      </c>
      <c r="E2361" s="6" t="str">
        <f>IF(D2361&lt;=1,1,0)</f>
      </c>
    </row>
    <row r="2362">
      <c r="A2362" s="5">
        <v>335</v>
      </c>
      <c r="B2362" s="5" t="str">
        <f>INDEX('Lineal Mixto'!$C$5:$C$2004,2*A2362-1)</f>
      </c>
      <c r="C2362" s="5" t="str">
        <f>INDEX('Lineal Mixto'!$C$5:$C$2004,2*A2362)</f>
      </c>
      <c r="D2362" s="5" t="str">
        <f>B2362^2+C2362^2</f>
      </c>
      <c r="E2362" s="5" t="str">
        <f>IF(D2362&lt;=1,1,0)</f>
      </c>
    </row>
    <row r="2363">
      <c r="A2363" s="6">
        <v>336</v>
      </c>
      <c r="B2363" s="6" t="str">
        <f>INDEX('Lineal Mixto'!$C$5:$C$2004,2*A2363-1)</f>
      </c>
      <c r="C2363" s="6" t="str">
        <f>INDEX('Lineal Mixto'!$C$5:$C$2004,2*A2363)</f>
      </c>
      <c r="D2363" s="6" t="str">
        <f>B2363^2+C2363^2</f>
      </c>
      <c r="E2363" s="6" t="str">
        <f>IF(D2363&lt;=1,1,0)</f>
      </c>
    </row>
    <row r="2364">
      <c r="A2364" s="5">
        <v>337</v>
      </c>
      <c r="B2364" s="5" t="str">
        <f>INDEX('Lineal Mixto'!$C$5:$C$2004,2*A2364-1)</f>
      </c>
      <c r="C2364" s="5" t="str">
        <f>INDEX('Lineal Mixto'!$C$5:$C$2004,2*A2364)</f>
      </c>
      <c r="D2364" s="5" t="str">
        <f>B2364^2+C2364^2</f>
      </c>
      <c r="E2364" s="5" t="str">
        <f>IF(D2364&lt;=1,1,0)</f>
      </c>
    </row>
    <row r="2365">
      <c r="A2365" s="6">
        <v>338</v>
      </c>
      <c r="B2365" s="6" t="str">
        <f>INDEX('Lineal Mixto'!$C$5:$C$2004,2*A2365-1)</f>
      </c>
      <c r="C2365" s="6" t="str">
        <f>INDEX('Lineal Mixto'!$C$5:$C$2004,2*A2365)</f>
      </c>
      <c r="D2365" s="6" t="str">
        <f>B2365^2+C2365^2</f>
      </c>
      <c r="E2365" s="6" t="str">
        <f>IF(D2365&lt;=1,1,0)</f>
      </c>
    </row>
    <row r="2366">
      <c r="A2366" s="5">
        <v>339</v>
      </c>
      <c r="B2366" s="5" t="str">
        <f>INDEX('Lineal Mixto'!$C$5:$C$2004,2*A2366-1)</f>
      </c>
      <c r="C2366" s="5" t="str">
        <f>INDEX('Lineal Mixto'!$C$5:$C$2004,2*A2366)</f>
      </c>
      <c r="D2366" s="5" t="str">
        <f>B2366^2+C2366^2</f>
      </c>
      <c r="E2366" s="5" t="str">
        <f>IF(D2366&lt;=1,1,0)</f>
      </c>
    </row>
    <row r="2367">
      <c r="A2367" s="6">
        <v>340</v>
      </c>
      <c r="B2367" s="6" t="str">
        <f>INDEX('Lineal Mixto'!$C$5:$C$2004,2*A2367-1)</f>
      </c>
      <c r="C2367" s="6" t="str">
        <f>INDEX('Lineal Mixto'!$C$5:$C$2004,2*A2367)</f>
      </c>
      <c r="D2367" s="6" t="str">
        <f>B2367^2+C2367^2</f>
      </c>
      <c r="E2367" s="6" t="str">
        <f>IF(D2367&lt;=1,1,0)</f>
      </c>
    </row>
    <row r="2368">
      <c r="A2368" s="5">
        <v>341</v>
      </c>
      <c r="B2368" s="5" t="str">
        <f>INDEX('Lineal Mixto'!$C$5:$C$2004,2*A2368-1)</f>
      </c>
      <c r="C2368" s="5" t="str">
        <f>INDEX('Lineal Mixto'!$C$5:$C$2004,2*A2368)</f>
      </c>
      <c r="D2368" s="5" t="str">
        <f>B2368^2+C2368^2</f>
      </c>
      <c r="E2368" s="5" t="str">
        <f>IF(D2368&lt;=1,1,0)</f>
      </c>
    </row>
    <row r="2369">
      <c r="A2369" s="6">
        <v>342</v>
      </c>
      <c r="B2369" s="6" t="str">
        <f>INDEX('Lineal Mixto'!$C$5:$C$2004,2*A2369-1)</f>
      </c>
      <c r="C2369" s="6" t="str">
        <f>INDEX('Lineal Mixto'!$C$5:$C$2004,2*A2369)</f>
      </c>
      <c r="D2369" s="6" t="str">
        <f>B2369^2+C2369^2</f>
      </c>
      <c r="E2369" s="6" t="str">
        <f>IF(D2369&lt;=1,1,0)</f>
      </c>
    </row>
    <row r="2370">
      <c r="A2370" s="5">
        <v>343</v>
      </c>
      <c r="B2370" s="5" t="str">
        <f>INDEX('Lineal Mixto'!$C$5:$C$2004,2*A2370-1)</f>
      </c>
      <c r="C2370" s="5" t="str">
        <f>INDEX('Lineal Mixto'!$C$5:$C$2004,2*A2370)</f>
      </c>
      <c r="D2370" s="5" t="str">
        <f>B2370^2+C2370^2</f>
      </c>
      <c r="E2370" s="5" t="str">
        <f>IF(D2370&lt;=1,1,0)</f>
      </c>
    </row>
    <row r="2371">
      <c r="A2371" s="6">
        <v>344</v>
      </c>
      <c r="B2371" s="6" t="str">
        <f>INDEX('Lineal Mixto'!$C$5:$C$2004,2*A2371-1)</f>
      </c>
      <c r="C2371" s="6" t="str">
        <f>INDEX('Lineal Mixto'!$C$5:$C$2004,2*A2371)</f>
      </c>
      <c r="D2371" s="6" t="str">
        <f>B2371^2+C2371^2</f>
      </c>
      <c r="E2371" s="6" t="str">
        <f>IF(D2371&lt;=1,1,0)</f>
      </c>
    </row>
    <row r="2372">
      <c r="A2372" s="5">
        <v>345</v>
      </c>
      <c r="B2372" s="5" t="str">
        <f>INDEX('Lineal Mixto'!$C$5:$C$2004,2*A2372-1)</f>
      </c>
      <c r="C2372" s="5" t="str">
        <f>INDEX('Lineal Mixto'!$C$5:$C$2004,2*A2372)</f>
      </c>
      <c r="D2372" s="5" t="str">
        <f>B2372^2+C2372^2</f>
      </c>
      <c r="E2372" s="5" t="str">
        <f>IF(D2372&lt;=1,1,0)</f>
      </c>
    </row>
    <row r="2373">
      <c r="A2373" s="6">
        <v>346</v>
      </c>
      <c r="B2373" s="6" t="str">
        <f>INDEX('Lineal Mixto'!$C$5:$C$2004,2*A2373-1)</f>
      </c>
      <c r="C2373" s="6" t="str">
        <f>INDEX('Lineal Mixto'!$C$5:$C$2004,2*A2373)</f>
      </c>
      <c r="D2373" s="6" t="str">
        <f>B2373^2+C2373^2</f>
      </c>
      <c r="E2373" s="6" t="str">
        <f>IF(D2373&lt;=1,1,0)</f>
      </c>
    </row>
    <row r="2374">
      <c r="A2374" s="5">
        <v>347</v>
      </c>
      <c r="B2374" s="5" t="str">
        <f>INDEX('Lineal Mixto'!$C$5:$C$2004,2*A2374-1)</f>
      </c>
      <c r="C2374" s="5" t="str">
        <f>INDEX('Lineal Mixto'!$C$5:$C$2004,2*A2374)</f>
      </c>
      <c r="D2374" s="5" t="str">
        <f>B2374^2+C2374^2</f>
      </c>
      <c r="E2374" s="5" t="str">
        <f>IF(D2374&lt;=1,1,0)</f>
      </c>
    </row>
    <row r="2375">
      <c r="A2375" s="6">
        <v>348</v>
      </c>
      <c r="B2375" s="6" t="str">
        <f>INDEX('Lineal Mixto'!$C$5:$C$2004,2*A2375-1)</f>
      </c>
      <c r="C2375" s="6" t="str">
        <f>INDEX('Lineal Mixto'!$C$5:$C$2004,2*A2375)</f>
      </c>
      <c r="D2375" s="6" t="str">
        <f>B2375^2+C2375^2</f>
      </c>
      <c r="E2375" s="6" t="str">
        <f>IF(D2375&lt;=1,1,0)</f>
      </c>
    </row>
    <row r="2376">
      <c r="A2376" s="5">
        <v>349</v>
      </c>
      <c r="B2376" s="5" t="str">
        <f>INDEX('Lineal Mixto'!$C$5:$C$2004,2*A2376-1)</f>
      </c>
      <c r="C2376" s="5" t="str">
        <f>INDEX('Lineal Mixto'!$C$5:$C$2004,2*A2376)</f>
      </c>
      <c r="D2376" s="5" t="str">
        <f>B2376^2+C2376^2</f>
      </c>
      <c r="E2376" s="5" t="str">
        <f>IF(D2376&lt;=1,1,0)</f>
      </c>
    </row>
    <row r="2377">
      <c r="A2377" s="6">
        <v>350</v>
      </c>
      <c r="B2377" s="6" t="str">
        <f>INDEX('Lineal Mixto'!$C$5:$C$2004,2*A2377-1)</f>
      </c>
      <c r="C2377" s="6" t="str">
        <f>INDEX('Lineal Mixto'!$C$5:$C$2004,2*A2377)</f>
      </c>
      <c r="D2377" s="6" t="str">
        <f>B2377^2+C2377^2</f>
      </c>
      <c r="E2377" s="6" t="str">
        <f>IF(D2377&lt;=1,1,0)</f>
      </c>
    </row>
    <row r="2378">
      <c r="A2378" s="5">
        <v>351</v>
      </c>
      <c r="B2378" s="5" t="str">
        <f>INDEX('Lineal Mixto'!$C$5:$C$2004,2*A2378-1)</f>
      </c>
      <c r="C2378" s="5" t="str">
        <f>INDEX('Lineal Mixto'!$C$5:$C$2004,2*A2378)</f>
      </c>
      <c r="D2378" s="5" t="str">
        <f>B2378^2+C2378^2</f>
      </c>
      <c r="E2378" s="5" t="str">
        <f>IF(D2378&lt;=1,1,0)</f>
      </c>
    </row>
    <row r="2379">
      <c r="A2379" s="6">
        <v>352</v>
      </c>
      <c r="B2379" s="6" t="str">
        <f>INDEX('Lineal Mixto'!$C$5:$C$2004,2*A2379-1)</f>
      </c>
      <c r="C2379" s="6" t="str">
        <f>INDEX('Lineal Mixto'!$C$5:$C$2004,2*A2379)</f>
      </c>
      <c r="D2379" s="6" t="str">
        <f>B2379^2+C2379^2</f>
      </c>
      <c r="E2379" s="6" t="str">
        <f>IF(D2379&lt;=1,1,0)</f>
      </c>
    </row>
    <row r="2380">
      <c r="A2380" s="5">
        <v>353</v>
      </c>
      <c r="B2380" s="5" t="str">
        <f>INDEX('Lineal Mixto'!$C$5:$C$2004,2*A2380-1)</f>
      </c>
      <c r="C2380" s="5" t="str">
        <f>INDEX('Lineal Mixto'!$C$5:$C$2004,2*A2380)</f>
      </c>
      <c r="D2380" s="5" t="str">
        <f>B2380^2+C2380^2</f>
      </c>
      <c r="E2380" s="5" t="str">
        <f>IF(D2380&lt;=1,1,0)</f>
      </c>
    </row>
    <row r="2381">
      <c r="A2381" s="6">
        <v>354</v>
      </c>
      <c r="B2381" s="6" t="str">
        <f>INDEX('Lineal Mixto'!$C$5:$C$2004,2*A2381-1)</f>
      </c>
      <c r="C2381" s="6" t="str">
        <f>INDEX('Lineal Mixto'!$C$5:$C$2004,2*A2381)</f>
      </c>
      <c r="D2381" s="6" t="str">
        <f>B2381^2+C2381^2</f>
      </c>
      <c r="E2381" s="6" t="str">
        <f>IF(D2381&lt;=1,1,0)</f>
      </c>
    </row>
    <row r="2382">
      <c r="A2382" s="5">
        <v>355</v>
      </c>
      <c r="B2382" s="5" t="str">
        <f>INDEX('Lineal Mixto'!$C$5:$C$2004,2*A2382-1)</f>
      </c>
      <c r="C2382" s="5" t="str">
        <f>INDEX('Lineal Mixto'!$C$5:$C$2004,2*A2382)</f>
      </c>
      <c r="D2382" s="5" t="str">
        <f>B2382^2+C2382^2</f>
      </c>
      <c r="E2382" s="5" t="str">
        <f>IF(D2382&lt;=1,1,0)</f>
      </c>
    </row>
    <row r="2383">
      <c r="A2383" s="6">
        <v>356</v>
      </c>
      <c r="B2383" s="6" t="str">
        <f>INDEX('Lineal Mixto'!$C$5:$C$2004,2*A2383-1)</f>
      </c>
      <c r="C2383" s="6" t="str">
        <f>INDEX('Lineal Mixto'!$C$5:$C$2004,2*A2383)</f>
      </c>
      <c r="D2383" s="6" t="str">
        <f>B2383^2+C2383^2</f>
      </c>
      <c r="E2383" s="6" t="str">
        <f>IF(D2383&lt;=1,1,0)</f>
      </c>
    </row>
    <row r="2384">
      <c r="A2384" s="5">
        <v>357</v>
      </c>
      <c r="B2384" s="5" t="str">
        <f>INDEX('Lineal Mixto'!$C$5:$C$2004,2*A2384-1)</f>
      </c>
      <c r="C2384" s="5" t="str">
        <f>INDEX('Lineal Mixto'!$C$5:$C$2004,2*A2384)</f>
      </c>
      <c r="D2384" s="5" t="str">
        <f>B2384^2+C2384^2</f>
      </c>
      <c r="E2384" s="5" t="str">
        <f>IF(D2384&lt;=1,1,0)</f>
      </c>
    </row>
    <row r="2385">
      <c r="A2385" s="6">
        <v>358</v>
      </c>
      <c r="B2385" s="6" t="str">
        <f>INDEX('Lineal Mixto'!$C$5:$C$2004,2*A2385-1)</f>
      </c>
      <c r="C2385" s="6" t="str">
        <f>INDEX('Lineal Mixto'!$C$5:$C$2004,2*A2385)</f>
      </c>
      <c r="D2385" s="6" t="str">
        <f>B2385^2+C2385^2</f>
      </c>
      <c r="E2385" s="6" t="str">
        <f>IF(D2385&lt;=1,1,0)</f>
      </c>
    </row>
    <row r="2386">
      <c r="A2386" s="5">
        <v>359</v>
      </c>
      <c r="B2386" s="5" t="str">
        <f>INDEX('Lineal Mixto'!$C$5:$C$2004,2*A2386-1)</f>
      </c>
      <c r="C2386" s="5" t="str">
        <f>INDEX('Lineal Mixto'!$C$5:$C$2004,2*A2386)</f>
      </c>
      <c r="D2386" s="5" t="str">
        <f>B2386^2+C2386^2</f>
      </c>
      <c r="E2386" s="5" t="str">
        <f>IF(D2386&lt;=1,1,0)</f>
      </c>
    </row>
    <row r="2387">
      <c r="A2387" s="6">
        <v>360</v>
      </c>
      <c r="B2387" s="6" t="str">
        <f>INDEX('Lineal Mixto'!$C$5:$C$2004,2*A2387-1)</f>
      </c>
      <c r="C2387" s="6" t="str">
        <f>INDEX('Lineal Mixto'!$C$5:$C$2004,2*A2387)</f>
      </c>
      <c r="D2387" s="6" t="str">
        <f>B2387^2+C2387^2</f>
      </c>
      <c r="E2387" s="6" t="str">
        <f>IF(D2387&lt;=1,1,0)</f>
      </c>
    </row>
    <row r="2388">
      <c r="A2388" s="5">
        <v>361</v>
      </c>
      <c r="B2388" s="5" t="str">
        <f>INDEX('Lineal Mixto'!$C$5:$C$2004,2*A2388-1)</f>
      </c>
      <c r="C2388" s="5" t="str">
        <f>INDEX('Lineal Mixto'!$C$5:$C$2004,2*A2388)</f>
      </c>
      <c r="D2388" s="5" t="str">
        <f>B2388^2+C2388^2</f>
      </c>
      <c r="E2388" s="5" t="str">
        <f>IF(D2388&lt;=1,1,0)</f>
      </c>
    </row>
    <row r="2389">
      <c r="A2389" s="6">
        <v>362</v>
      </c>
      <c r="B2389" s="6" t="str">
        <f>INDEX('Lineal Mixto'!$C$5:$C$2004,2*A2389-1)</f>
      </c>
      <c r="C2389" s="6" t="str">
        <f>INDEX('Lineal Mixto'!$C$5:$C$2004,2*A2389)</f>
      </c>
      <c r="D2389" s="6" t="str">
        <f>B2389^2+C2389^2</f>
      </c>
      <c r="E2389" s="6" t="str">
        <f>IF(D2389&lt;=1,1,0)</f>
      </c>
    </row>
    <row r="2390">
      <c r="A2390" s="5">
        <v>363</v>
      </c>
      <c r="B2390" s="5" t="str">
        <f>INDEX('Lineal Mixto'!$C$5:$C$2004,2*A2390-1)</f>
      </c>
      <c r="C2390" s="5" t="str">
        <f>INDEX('Lineal Mixto'!$C$5:$C$2004,2*A2390)</f>
      </c>
      <c r="D2390" s="5" t="str">
        <f>B2390^2+C2390^2</f>
      </c>
      <c r="E2390" s="5" t="str">
        <f>IF(D2390&lt;=1,1,0)</f>
      </c>
    </row>
    <row r="2391">
      <c r="A2391" s="6">
        <v>364</v>
      </c>
      <c r="B2391" s="6" t="str">
        <f>INDEX('Lineal Mixto'!$C$5:$C$2004,2*A2391-1)</f>
      </c>
      <c r="C2391" s="6" t="str">
        <f>INDEX('Lineal Mixto'!$C$5:$C$2004,2*A2391)</f>
      </c>
      <c r="D2391" s="6" t="str">
        <f>B2391^2+C2391^2</f>
      </c>
      <c r="E2391" s="6" t="str">
        <f>IF(D2391&lt;=1,1,0)</f>
      </c>
    </row>
    <row r="2392">
      <c r="A2392" s="5">
        <v>365</v>
      </c>
      <c r="B2392" s="5" t="str">
        <f>INDEX('Lineal Mixto'!$C$5:$C$2004,2*A2392-1)</f>
      </c>
      <c r="C2392" s="5" t="str">
        <f>INDEX('Lineal Mixto'!$C$5:$C$2004,2*A2392)</f>
      </c>
      <c r="D2392" s="5" t="str">
        <f>B2392^2+C2392^2</f>
      </c>
      <c r="E2392" s="5" t="str">
        <f>IF(D2392&lt;=1,1,0)</f>
      </c>
    </row>
    <row r="2393">
      <c r="A2393" s="6">
        <v>366</v>
      </c>
      <c r="B2393" s="6" t="str">
        <f>INDEX('Lineal Mixto'!$C$5:$C$2004,2*A2393-1)</f>
      </c>
      <c r="C2393" s="6" t="str">
        <f>INDEX('Lineal Mixto'!$C$5:$C$2004,2*A2393)</f>
      </c>
      <c r="D2393" s="6" t="str">
        <f>B2393^2+C2393^2</f>
      </c>
      <c r="E2393" s="6" t="str">
        <f>IF(D2393&lt;=1,1,0)</f>
      </c>
    </row>
    <row r="2394">
      <c r="A2394" s="5">
        <v>367</v>
      </c>
      <c r="B2394" s="5" t="str">
        <f>INDEX('Lineal Mixto'!$C$5:$C$2004,2*A2394-1)</f>
      </c>
      <c r="C2394" s="5" t="str">
        <f>INDEX('Lineal Mixto'!$C$5:$C$2004,2*A2394)</f>
      </c>
      <c r="D2394" s="5" t="str">
        <f>B2394^2+C2394^2</f>
      </c>
      <c r="E2394" s="5" t="str">
        <f>IF(D2394&lt;=1,1,0)</f>
      </c>
    </row>
    <row r="2395">
      <c r="A2395" s="6">
        <v>368</v>
      </c>
      <c r="B2395" s="6" t="str">
        <f>INDEX('Lineal Mixto'!$C$5:$C$2004,2*A2395-1)</f>
      </c>
      <c r="C2395" s="6" t="str">
        <f>INDEX('Lineal Mixto'!$C$5:$C$2004,2*A2395)</f>
      </c>
      <c r="D2395" s="6" t="str">
        <f>B2395^2+C2395^2</f>
      </c>
      <c r="E2395" s="6" t="str">
        <f>IF(D2395&lt;=1,1,0)</f>
      </c>
    </row>
    <row r="2396">
      <c r="A2396" s="5">
        <v>369</v>
      </c>
      <c r="B2396" s="5" t="str">
        <f>INDEX('Lineal Mixto'!$C$5:$C$2004,2*A2396-1)</f>
      </c>
      <c r="C2396" s="5" t="str">
        <f>INDEX('Lineal Mixto'!$C$5:$C$2004,2*A2396)</f>
      </c>
      <c r="D2396" s="5" t="str">
        <f>B2396^2+C2396^2</f>
      </c>
      <c r="E2396" s="5" t="str">
        <f>IF(D2396&lt;=1,1,0)</f>
      </c>
    </row>
    <row r="2397">
      <c r="A2397" s="6">
        <v>370</v>
      </c>
      <c r="B2397" s="6" t="str">
        <f>INDEX('Lineal Mixto'!$C$5:$C$2004,2*A2397-1)</f>
      </c>
      <c r="C2397" s="6" t="str">
        <f>INDEX('Lineal Mixto'!$C$5:$C$2004,2*A2397)</f>
      </c>
      <c r="D2397" s="6" t="str">
        <f>B2397^2+C2397^2</f>
      </c>
      <c r="E2397" s="6" t="str">
        <f>IF(D2397&lt;=1,1,0)</f>
      </c>
    </row>
    <row r="2398">
      <c r="A2398" s="5">
        <v>371</v>
      </c>
      <c r="B2398" s="5" t="str">
        <f>INDEX('Lineal Mixto'!$C$5:$C$2004,2*A2398-1)</f>
      </c>
      <c r="C2398" s="5" t="str">
        <f>INDEX('Lineal Mixto'!$C$5:$C$2004,2*A2398)</f>
      </c>
      <c r="D2398" s="5" t="str">
        <f>B2398^2+C2398^2</f>
      </c>
      <c r="E2398" s="5" t="str">
        <f>IF(D2398&lt;=1,1,0)</f>
      </c>
    </row>
    <row r="2399">
      <c r="A2399" s="6">
        <v>372</v>
      </c>
      <c r="B2399" s="6" t="str">
        <f>INDEX('Lineal Mixto'!$C$5:$C$2004,2*A2399-1)</f>
      </c>
      <c r="C2399" s="6" t="str">
        <f>INDEX('Lineal Mixto'!$C$5:$C$2004,2*A2399)</f>
      </c>
      <c r="D2399" s="6" t="str">
        <f>B2399^2+C2399^2</f>
      </c>
      <c r="E2399" s="6" t="str">
        <f>IF(D2399&lt;=1,1,0)</f>
      </c>
    </row>
    <row r="2400">
      <c r="A2400" s="5">
        <v>373</v>
      </c>
      <c r="B2400" s="5" t="str">
        <f>INDEX('Lineal Mixto'!$C$5:$C$2004,2*A2400-1)</f>
      </c>
      <c r="C2400" s="5" t="str">
        <f>INDEX('Lineal Mixto'!$C$5:$C$2004,2*A2400)</f>
      </c>
      <c r="D2400" s="5" t="str">
        <f>B2400^2+C2400^2</f>
      </c>
      <c r="E2400" s="5" t="str">
        <f>IF(D2400&lt;=1,1,0)</f>
      </c>
    </row>
    <row r="2401">
      <c r="A2401" s="6">
        <v>374</v>
      </c>
      <c r="B2401" s="6" t="str">
        <f>INDEX('Lineal Mixto'!$C$5:$C$2004,2*A2401-1)</f>
      </c>
      <c r="C2401" s="6" t="str">
        <f>INDEX('Lineal Mixto'!$C$5:$C$2004,2*A2401)</f>
      </c>
      <c r="D2401" s="6" t="str">
        <f>B2401^2+C2401^2</f>
      </c>
      <c r="E2401" s="6" t="str">
        <f>IF(D2401&lt;=1,1,0)</f>
      </c>
    </row>
    <row r="2402">
      <c r="A2402" s="5">
        <v>375</v>
      </c>
      <c r="B2402" s="5" t="str">
        <f>INDEX('Lineal Mixto'!$C$5:$C$2004,2*A2402-1)</f>
      </c>
      <c r="C2402" s="5" t="str">
        <f>INDEX('Lineal Mixto'!$C$5:$C$2004,2*A2402)</f>
      </c>
      <c r="D2402" s="5" t="str">
        <f>B2402^2+C2402^2</f>
      </c>
      <c r="E2402" s="5" t="str">
        <f>IF(D2402&lt;=1,1,0)</f>
      </c>
    </row>
    <row r="2403">
      <c r="A2403" s="6">
        <v>376</v>
      </c>
      <c r="B2403" s="6" t="str">
        <f>INDEX('Lineal Mixto'!$C$5:$C$2004,2*A2403-1)</f>
      </c>
      <c r="C2403" s="6" t="str">
        <f>INDEX('Lineal Mixto'!$C$5:$C$2004,2*A2403)</f>
      </c>
      <c r="D2403" s="6" t="str">
        <f>B2403^2+C2403^2</f>
      </c>
      <c r="E2403" s="6" t="str">
        <f>IF(D2403&lt;=1,1,0)</f>
      </c>
    </row>
    <row r="2404">
      <c r="A2404" s="5">
        <v>377</v>
      </c>
      <c r="B2404" s="5" t="str">
        <f>INDEX('Lineal Mixto'!$C$5:$C$2004,2*A2404-1)</f>
      </c>
      <c r="C2404" s="5" t="str">
        <f>INDEX('Lineal Mixto'!$C$5:$C$2004,2*A2404)</f>
      </c>
      <c r="D2404" s="5" t="str">
        <f>B2404^2+C2404^2</f>
      </c>
      <c r="E2404" s="5" t="str">
        <f>IF(D2404&lt;=1,1,0)</f>
      </c>
    </row>
    <row r="2405">
      <c r="A2405" s="6">
        <v>378</v>
      </c>
      <c r="B2405" s="6" t="str">
        <f>INDEX('Lineal Mixto'!$C$5:$C$2004,2*A2405-1)</f>
      </c>
      <c r="C2405" s="6" t="str">
        <f>INDEX('Lineal Mixto'!$C$5:$C$2004,2*A2405)</f>
      </c>
      <c r="D2405" s="6" t="str">
        <f>B2405^2+C2405^2</f>
      </c>
      <c r="E2405" s="6" t="str">
        <f>IF(D2405&lt;=1,1,0)</f>
      </c>
    </row>
    <row r="2406">
      <c r="A2406" s="5">
        <v>379</v>
      </c>
      <c r="B2406" s="5" t="str">
        <f>INDEX('Lineal Mixto'!$C$5:$C$2004,2*A2406-1)</f>
      </c>
      <c r="C2406" s="5" t="str">
        <f>INDEX('Lineal Mixto'!$C$5:$C$2004,2*A2406)</f>
      </c>
      <c r="D2406" s="5" t="str">
        <f>B2406^2+C2406^2</f>
      </c>
      <c r="E2406" s="5" t="str">
        <f>IF(D2406&lt;=1,1,0)</f>
      </c>
    </row>
    <row r="2407">
      <c r="A2407" s="6">
        <v>380</v>
      </c>
      <c r="B2407" s="6" t="str">
        <f>INDEX('Lineal Mixto'!$C$5:$C$2004,2*A2407-1)</f>
      </c>
      <c r="C2407" s="6" t="str">
        <f>INDEX('Lineal Mixto'!$C$5:$C$2004,2*A2407)</f>
      </c>
      <c r="D2407" s="6" t="str">
        <f>B2407^2+C2407^2</f>
      </c>
      <c r="E2407" s="6" t="str">
        <f>IF(D2407&lt;=1,1,0)</f>
      </c>
    </row>
    <row r="2408">
      <c r="A2408" s="5">
        <v>381</v>
      </c>
      <c r="B2408" s="5" t="str">
        <f>INDEX('Lineal Mixto'!$C$5:$C$2004,2*A2408-1)</f>
      </c>
      <c r="C2408" s="5" t="str">
        <f>INDEX('Lineal Mixto'!$C$5:$C$2004,2*A2408)</f>
      </c>
      <c r="D2408" s="5" t="str">
        <f>B2408^2+C2408^2</f>
      </c>
      <c r="E2408" s="5" t="str">
        <f>IF(D2408&lt;=1,1,0)</f>
      </c>
    </row>
    <row r="2409">
      <c r="A2409" s="6">
        <v>382</v>
      </c>
      <c r="B2409" s="6" t="str">
        <f>INDEX('Lineal Mixto'!$C$5:$C$2004,2*A2409-1)</f>
      </c>
      <c r="C2409" s="6" t="str">
        <f>INDEX('Lineal Mixto'!$C$5:$C$2004,2*A2409)</f>
      </c>
      <c r="D2409" s="6" t="str">
        <f>B2409^2+C2409^2</f>
      </c>
      <c r="E2409" s="6" t="str">
        <f>IF(D2409&lt;=1,1,0)</f>
      </c>
    </row>
    <row r="2410">
      <c r="A2410" s="5">
        <v>383</v>
      </c>
      <c r="B2410" s="5" t="str">
        <f>INDEX('Lineal Mixto'!$C$5:$C$2004,2*A2410-1)</f>
      </c>
      <c r="C2410" s="5" t="str">
        <f>INDEX('Lineal Mixto'!$C$5:$C$2004,2*A2410)</f>
      </c>
      <c r="D2410" s="5" t="str">
        <f>B2410^2+C2410^2</f>
      </c>
      <c r="E2410" s="5" t="str">
        <f>IF(D2410&lt;=1,1,0)</f>
      </c>
    </row>
    <row r="2411">
      <c r="A2411" s="6">
        <v>384</v>
      </c>
      <c r="B2411" s="6" t="str">
        <f>INDEX('Lineal Mixto'!$C$5:$C$2004,2*A2411-1)</f>
      </c>
      <c r="C2411" s="6" t="str">
        <f>INDEX('Lineal Mixto'!$C$5:$C$2004,2*A2411)</f>
      </c>
      <c r="D2411" s="6" t="str">
        <f>B2411^2+C2411^2</f>
      </c>
      <c r="E2411" s="6" t="str">
        <f>IF(D2411&lt;=1,1,0)</f>
      </c>
    </row>
    <row r="2412">
      <c r="A2412" s="5">
        <v>385</v>
      </c>
      <c r="B2412" s="5" t="str">
        <f>INDEX('Lineal Mixto'!$C$5:$C$2004,2*A2412-1)</f>
      </c>
      <c r="C2412" s="5" t="str">
        <f>INDEX('Lineal Mixto'!$C$5:$C$2004,2*A2412)</f>
      </c>
      <c r="D2412" s="5" t="str">
        <f>B2412^2+C2412^2</f>
      </c>
      <c r="E2412" s="5" t="str">
        <f>IF(D2412&lt;=1,1,0)</f>
      </c>
    </row>
    <row r="2413">
      <c r="A2413" s="6">
        <v>386</v>
      </c>
      <c r="B2413" s="6" t="str">
        <f>INDEX('Lineal Mixto'!$C$5:$C$2004,2*A2413-1)</f>
      </c>
      <c r="C2413" s="6" t="str">
        <f>INDEX('Lineal Mixto'!$C$5:$C$2004,2*A2413)</f>
      </c>
      <c r="D2413" s="6" t="str">
        <f>B2413^2+C2413^2</f>
      </c>
      <c r="E2413" s="6" t="str">
        <f>IF(D2413&lt;=1,1,0)</f>
      </c>
    </row>
    <row r="2414">
      <c r="A2414" s="5">
        <v>387</v>
      </c>
      <c r="B2414" s="5" t="str">
        <f>INDEX('Lineal Mixto'!$C$5:$C$2004,2*A2414-1)</f>
      </c>
      <c r="C2414" s="5" t="str">
        <f>INDEX('Lineal Mixto'!$C$5:$C$2004,2*A2414)</f>
      </c>
      <c r="D2414" s="5" t="str">
        <f>B2414^2+C2414^2</f>
      </c>
      <c r="E2414" s="5" t="str">
        <f>IF(D2414&lt;=1,1,0)</f>
      </c>
    </row>
    <row r="2415">
      <c r="A2415" s="6">
        <v>388</v>
      </c>
      <c r="B2415" s="6" t="str">
        <f>INDEX('Lineal Mixto'!$C$5:$C$2004,2*A2415-1)</f>
      </c>
      <c r="C2415" s="6" t="str">
        <f>INDEX('Lineal Mixto'!$C$5:$C$2004,2*A2415)</f>
      </c>
      <c r="D2415" s="6" t="str">
        <f>B2415^2+C2415^2</f>
      </c>
      <c r="E2415" s="6" t="str">
        <f>IF(D2415&lt;=1,1,0)</f>
      </c>
    </row>
    <row r="2416">
      <c r="A2416" s="5">
        <v>389</v>
      </c>
      <c r="B2416" s="5" t="str">
        <f>INDEX('Lineal Mixto'!$C$5:$C$2004,2*A2416-1)</f>
      </c>
      <c r="C2416" s="5" t="str">
        <f>INDEX('Lineal Mixto'!$C$5:$C$2004,2*A2416)</f>
      </c>
      <c r="D2416" s="5" t="str">
        <f>B2416^2+C2416^2</f>
      </c>
      <c r="E2416" s="5" t="str">
        <f>IF(D2416&lt;=1,1,0)</f>
      </c>
    </row>
    <row r="2417">
      <c r="A2417" s="6">
        <v>390</v>
      </c>
      <c r="B2417" s="6" t="str">
        <f>INDEX('Lineal Mixto'!$C$5:$C$2004,2*A2417-1)</f>
      </c>
      <c r="C2417" s="6" t="str">
        <f>INDEX('Lineal Mixto'!$C$5:$C$2004,2*A2417)</f>
      </c>
      <c r="D2417" s="6" t="str">
        <f>B2417^2+C2417^2</f>
      </c>
      <c r="E2417" s="6" t="str">
        <f>IF(D2417&lt;=1,1,0)</f>
      </c>
    </row>
    <row r="2418">
      <c r="A2418" s="5">
        <v>391</v>
      </c>
      <c r="B2418" s="5" t="str">
        <f>INDEX('Lineal Mixto'!$C$5:$C$2004,2*A2418-1)</f>
      </c>
      <c r="C2418" s="5" t="str">
        <f>INDEX('Lineal Mixto'!$C$5:$C$2004,2*A2418)</f>
      </c>
      <c r="D2418" s="5" t="str">
        <f>B2418^2+C2418^2</f>
      </c>
      <c r="E2418" s="5" t="str">
        <f>IF(D2418&lt;=1,1,0)</f>
      </c>
    </row>
    <row r="2419">
      <c r="A2419" s="6">
        <v>392</v>
      </c>
      <c r="B2419" s="6" t="str">
        <f>INDEX('Lineal Mixto'!$C$5:$C$2004,2*A2419-1)</f>
      </c>
      <c r="C2419" s="6" t="str">
        <f>INDEX('Lineal Mixto'!$C$5:$C$2004,2*A2419)</f>
      </c>
      <c r="D2419" s="6" t="str">
        <f>B2419^2+C2419^2</f>
      </c>
      <c r="E2419" s="6" t="str">
        <f>IF(D2419&lt;=1,1,0)</f>
      </c>
    </row>
    <row r="2420">
      <c r="A2420" s="5">
        <v>393</v>
      </c>
      <c r="B2420" s="5" t="str">
        <f>INDEX('Lineal Mixto'!$C$5:$C$2004,2*A2420-1)</f>
      </c>
      <c r="C2420" s="5" t="str">
        <f>INDEX('Lineal Mixto'!$C$5:$C$2004,2*A2420)</f>
      </c>
      <c r="D2420" s="5" t="str">
        <f>B2420^2+C2420^2</f>
      </c>
      <c r="E2420" s="5" t="str">
        <f>IF(D2420&lt;=1,1,0)</f>
      </c>
    </row>
    <row r="2421">
      <c r="A2421" s="6">
        <v>394</v>
      </c>
      <c r="B2421" s="6" t="str">
        <f>INDEX('Lineal Mixto'!$C$5:$C$2004,2*A2421-1)</f>
      </c>
      <c r="C2421" s="6" t="str">
        <f>INDEX('Lineal Mixto'!$C$5:$C$2004,2*A2421)</f>
      </c>
      <c r="D2421" s="6" t="str">
        <f>B2421^2+C2421^2</f>
      </c>
      <c r="E2421" s="6" t="str">
        <f>IF(D2421&lt;=1,1,0)</f>
      </c>
    </row>
    <row r="2422">
      <c r="A2422" s="5">
        <v>395</v>
      </c>
      <c r="B2422" s="5" t="str">
        <f>INDEX('Lineal Mixto'!$C$5:$C$2004,2*A2422-1)</f>
      </c>
      <c r="C2422" s="5" t="str">
        <f>INDEX('Lineal Mixto'!$C$5:$C$2004,2*A2422)</f>
      </c>
      <c r="D2422" s="5" t="str">
        <f>B2422^2+C2422^2</f>
      </c>
      <c r="E2422" s="5" t="str">
        <f>IF(D2422&lt;=1,1,0)</f>
      </c>
    </row>
    <row r="2423">
      <c r="A2423" s="6">
        <v>396</v>
      </c>
      <c r="B2423" s="6" t="str">
        <f>INDEX('Lineal Mixto'!$C$5:$C$2004,2*A2423-1)</f>
      </c>
      <c r="C2423" s="6" t="str">
        <f>INDEX('Lineal Mixto'!$C$5:$C$2004,2*A2423)</f>
      </c>
      <c r="D2423" s="6" t="str">
        <f>B2423^2+C2423^2</f>
      </c>
      <c r="E2423" s="6" t="str">
        <f>IF(D2423&lt;=1,1,0)</f>
      </c>
    </row>
    <row r="2424">
      <c r="A2424" s="5">
        <v>397</v>
      </c>
      <c r="B2424" s="5" t="str">
        <f>INDEX('Lineal Mixto'!$C$5:$C$2004,2*A2424-1)</f>
      </c>
      <c r="C2424" s="5" t="str">
        <f>INDEX('Lineal Mixto'!$C$5:$C$2004,2*A2424)</f>
      </c>
      <c r="D2424" s="5" t="str">
        <f>B2424^2+C2424^2</f>
      </c>
      <c r="E2424" s="5" t="str">
        <f>IF(D2424&lt;=1,1,0)</f>
      </c>
    </row>
    <row r="2425">
      <c r="A2425" s="6">
        <v>398</v>
      </c>
      <c r="B2425" s="6" t="str">
        <f>INDEX('Lineal Mixto'!$C$5:$C$2004,2*A2425-1)</f>
      </c>
      <c r="C2425" s="6" t="str">
        <f>INDEX('Lineal Mixto'!$C$5:$C$2004,2*A2425)</f>
      </c>
      <c r="D2425" s="6" t="str">
        <f>B2425^2+C2425^2</f>
      </c>
      <c r="E2425" s="6" t="str">
        <f>IF(D2425&lt;=1,1,0)</f>
      </c>
    </row>
    <row r="2426">
      <c r="A2426" s="5">
        <v>399</v>
      </c>
      <c r="B2426" s="5" t="str">
        <f>INDEX('Lineal Mixto'!$C$5:$C$2004,2*A2426-1)</f>
      </c>
      <c r="C2426" s="5" t="str">
        <f>INDEX('Lineal Mixto'!$C$5:$C$2004,2*A2426)</f>
      </c>
      <c r="D2426" s="5" t="str">
        <f>B2426^2+C2426^2</f>
      </c>
      <c r="E2426" s="5" t="str">
        <f>IF(D2426&lt;=1,1,0)</f>
      </c>
    </row>
    <row r="2427">
      <c r="A2427" s="6">
        <v>400</v>
      </c>
      <c r="B2427" s="6" t="str">
        <f>INDEX('Lineal Mixto'!$C$5:$C$2004,2*A2427-1)</f>
      </c>
      <c r="C2427" s="6" t="str">
        <f>INDEX('Lineal Mixto'!$C$5:$C$2004,2*A2427)</f>
      </c>
      <c r="D2427" s="6" t="str">
        <f>B2427^2+C2427^2</f>
      </c>
      <c r="E2427" s="6" t="str">
        <f>IF(D2427&lt;=1,1,0)</f>
      </c>
    </row>
    <row r="2428">
      <c r="A2428" s="5">
        <v>401</v>
      </c>
      <c r="B2428" s="5" t="str">
        <f>INDEX('Lineal Mixto'!$C$5:$C$2004,2*A2428-1)</f>
      </c>
      <c r="C2428" s="5" t="str">
        <f>INDEX('Lineal Mixto'!$C$5:$C$2004,2*A2428)</f>
      </c>
      <c r="D2428" s="5" t="str">
        <f>B2428^2+C2428^2</f>
      </c>
      <c r="E2428" s="5" t="str">
        <f>IF(D2428&lt;=1,1,0)</f>
      </c>
    </row>
    <row r="2429">
      <c r="A2429" s="6">
        <v>402</v>
      </c>
      <c r="B2429" s="6" t="str">
        <f>INDEX('Lineal Mixto'!$C$5:$C$2004,2*A2429-1)</f>
      </c>
      <c r="C2429" s="6" t="str">
        <f>INDEX('Lineal Mixto'!$C$5:$C$2004,2*A2429)</f>
      </c>
      <c r="D2429" s="6" t="str">
        <f>B2429^2+C2429^2</f>
      </c>
      <c r="E2429" s="6" t="str">
        <f>IF(D2429&lt;=1,1,0)</f>
      </c>
    </row>
    <row r="2430">
      <c r="A2430" s="5">
        <v>403</v>
      </c>
      <c r="B2430" s="5" t="str">
        <f>INDEX('Lineal Mixto'!$C$5:$C$2004,2*A2430-1)</f>
      </c>
      <c r="C2430" s="5" t="str">
        <f>INDEX('Lineal Mixto'!$C$5:$C$2004,2*A2430)</f>
      </c>
      <c r="D2430" s="5" t="str">
        <f>B2430^2+C2430^2</f>
      </c>
      <c r="E2430" s="5" t="str">
        <f>IF(D2430&lt;=1,1,0)</f>
      </c>
    </row>
    <row r="2431">
      <c r="A2431" s="6">
        <v>404</v>
      </c>
      <c r="B2431" s="6" t="str">
        <f>INDEX('Lineal Mixto'!$C$5:$C$2004,2*A2431-1)</f>
      </c>
      <c r="C2431" s="6" t="str">
        <f>INDEX('Lineal Mixto'!$C$5:$C$2004,2*A2431)</f>
      </c>
      <c r="D2431" s="6" t="str">
        <f>B2431^2+C2431^2</f>
      </c>
      <c r="E2431" s="6" t="str">
        <f>IF(D2431&lt;=1,1,0)</f>
      </c>
    </row>
    <row r="2432">
      <c r="A2432" s="5">
        <v>405</v>
      </c>
      <c r="B2432" s="5" t="str">
        <f>INDEX('Lineal Mixto'!$C$5:$C$2004,2*A2432-1)</f>
      </c>
      <c r="C2432" s="5" t="str">
        <f>INDEX('Lineal Mixto'!$C$5:$C$2004,2*A2432)</f>
      </c>
      <c r="D2432" s="5" t="str">
        <f>B2432^2+C2432^2</f>
      </c>
      <c r="E2432" s="5" t="str">
        <f>IF(D2432&lt;=1,1,0)</f>
      </c>
    </row>
    <row r="2433">
      <c r="A2433" s="6">
        <v>406</v>
      </c>
      <c r="B2433" s="6" t="str">
        <f>INDEX('Lineal Mixto'!$C$5:$C$2004,2*A2433-1)</f>
      </c>
      <c r="C2433" s="6" t="str">
        <f>INDEX('Lineal Mixto'!$C$5:$C$2004,2*A2433)</f>
      </c>
      <c r="D2433" s="6" t="str">
        <f>B2433^2+C2433^2</f>
      </c>
      <c r="E2433" s="6" t="str">
        <f>IF(D2433&lt;=1,1,0)</f>
      </c>
    </row>
    <row r="2434">
      <c r="A2434" s="5">
        <v>407</v>
      </c>
      <c r="B2434" s="5" t="str">
        <f>INDEX('Lineal Mixto'!$C$5:$C$2004,2*A2434-1)</f>
      </c>
      <c r="C2434" s="5" t="str">
        <f>INDEX('Lineal Mixto'!$C$5:$C$2004,2*A2434)</f>
      </c>
      <c r="D2434" s="5" t="str">
        <f>B2434^2+C2434^2</f>
      </c>
      <c r="E2434" s="5" t="str">
        <f>IF(D2434&lt;=1,1,0)</f>
      </c>
    </row>
    <row r="2435">
      <c r="A2435" s="6">
        <v>408</v>
      </c>
      <c r="B2435" s="6" t="str">
        <f>INDEX('Lineal Mixto'!$C$5:$C$2004,2*A2435-1)</f>
      </c>
      <c r="C2435" s="6" t="str">
        <f>INDEX('Lineal Mixto'!$C$5:$C$2004,2*A2435)</f>
      </c>
      <c r="D2435" s="6" t="str">
        <f>B2435^2+C2435^2</f>
      </c>
      <c r="E2435" s="6" t="str">
        <f>IF(D2435&lt;=1,1,0)</f>
      </c>
    </row>
    <row r="2436">
      <c r="A2436" s="5">
        <v>409</v>
      </c>
      <c r="B2436" s="5" t="str">
        <f>INDEX('Lineal Mixto'!$C$5:$C$2004,2*A2436-1)</f>
      </c>
      <c r="C2436" s="5" t="str">
        <f>INDEX('Lineal Mixto'!$C$5:$C$2004,2*A2436)</f>
      </c>
      <c r="D2436" s="5" t="str">
        <f>B2436^2+C2436^2</f>
      </c>
      <c r="E2436" s="5" t="str">
        <f>IF(D2436&lt;=1,1,0)</f>
      </c>
    </row>
    <row r="2437">
      <c r="A2437" s="6">
        <v>410</v>
      </c>
      <c r="B2437" s="6" t="str">
        <f>INDEX('Lineal Mixto'!$C$5:$C$2004,2*A2437-1)</f>
      </c>
      <c r="C2437" s="6" t="str">
        <f>INDEX('Lineal Mixto'!$C$5:$C$2004,2*A2437)</f>
      </c>
      <c r="D2437" s="6" t="str">
        <f>B2437^2+C2437^2</f>
      </c>
      <c r="E2437" s="6" t="str">
        <f>IF(D2437&lt;=1,1,0)</f>
      </c>
    </row>
    <row r="2438">
      <c r="A2438" s="5">
        <v>411</v>
      </c>
      <c r="B2438" s="5" t="str">
        <f>INDEX('Lineal Mixto'!$C$5:$C$2004,2*A2438-1)</f>
      </c>
      <c r="C2438" s="5" t="str">
        <f>INDEX('Lineal Mixto'!$C$5:$C$2004,2*A2438)</f>
      </c>
      <c r="D2438" s="5" t="str">
        <f>B2438^2+C2438^2</f>
      </c>
      <c r="E2438" s="5" t="str">
        <f>IF(D2438&lt;=1,1,0)</f>
      </c>
    </row>
    <row r="2439">
      <c r="A2439" s="6">
        <v>412</v>
      </c>
      <c r="B2439" s="6" t="str">
        <f>INDEX('Lineal Mixto'!$C$5:$C$2004,2*A2439-1)</f>
      </c>
      <c r="C2439" s="6" t="str">
        <f>INDEX('Lineal Mixto'!$C$5:$C$2004,2*A2439)</f>
      </c>
      <c r="D2439" s="6" t="str">
        <f>B2439^2+C2439^2</f>
      </c>
      <c r="E2439" s="6" t="str">
        <f>IF(D2439&lt;=1,1,0)</f>
      </c>
    </row>
    <row r="2440">
      <c r="A2440" s="5">
        <v>413</v>
      </c>
      <c r="B2440" s="5" t="str">
        <f>INDEX('Lineal Mixto'!$C$5:$C$2004,2*A2440-1)</f>
      </c>
      <c r="C2440" s="5" t="str">
        <f>INDEX('Lineal Mixto'!$C$5:$C$2004,2*A2440)</f>
      </c>
      <c r="D2440" s="5" t="str">
        <f>B2440^2+C2440^2</f>
      </c>
      <c r="E2440" s="5" t="str">
        <f>IF(D2440&lt;=1,1,0)</f>
      </c>
    </row>
    <row r="2441">
      <c r="A2441" s="6">
        <v>414</v>
      </c>
      <c r="B2441" s="6" t="str">
        <f>INDEX('Lineal Mixto'!$C$5:$C$2004,2*A2441-1)</f>
      </c>
      <c r="C2441" s="6" t="str">
        <f>INDEX('Lineal Mixto'!$C$5:$C$2004,2*A2441)</f>
      </c>
      <c r="D2441" s="6" t="str">
        <f>B2441^2+C2441^2</f>
      </c>
      <c r="E2441" s="6" t="str">
        <f>IF(D2441&lt;=1,1,0)</f>
      </c>
    </row>
    <row r="2442">
      <c r="A2442" s="5">
        <v>415</v>
      </c>
      <c r="B2442" s="5" t="str">
        <f>INDEX('Lineal Mixto'!$C$5:$C$2004,2*A2442-1)</f>
      </c>
      <c r="C2442" s="5" t="str">
        <f>INDEX('Lineal Mixto'!$C$5:$C$2004,2*A2442)</f>
      </c>
      <c r="D2442" s="5" t="str">
        <f>B2442^2+C2442^2</f>
      </c>
      <c r="E2442" s="5" t="str">
        <f>IF(D2442&lt;=1,1,0)</f>
      </c>
    </row>
    <row r="2443">
      <c r="A2443" s="6">
        <v>416</v>
      </c>
      <c r="B2443" s="6" t="str">
        <f>INDEX('Lineal Mixto'!$C$5:$C$2004,2*A2443-1)</f>
      </c>
      <c r="C2443" s="6" t="str">
        <f>INDEX('Lineal Mixto'!$C$5:$C$2004,2*A2443)</f>
      </c>
      <c r="D2443" s="6" t="str">
        <f>B2443^2+C2443^2</f>
      </c>
      <c r="E2443" s="6" t="str">
        <f>IF(D2443&lt;=1,1,0)</f>
      </c>
    </row>
    <row r="2444">
      <c r="A2444" s="5">
        <v>417</v>
      </c>
      <c r="B2444" s="5" t="str">
        <f>INDEX('Lineal Mixto'!$C$5:$C$2004,2*A2444-1)</f>
      </c>
      <c r="C2444" s="5" t="str">
        <f>INDEX('Lineal Mixto'!$C$5:$C$2004,2*A2444)</f>
      </c>
      <c r="D2444" s="5" t="str">
        <f>B2444^2+C2444^2</f>
      </c>
      <c r="E2444" s="5" t="str">
        <f>IF(D2444&lt;=1,1,0)</f>
      </c>
    </row>
    <row r="2445">
      <c r="A2445" s="6">
        <v>418</v>
      </c>
      <c r="B2445" s="6" t="str">
        <f>INDEX('Lineal Mixto'!$C$5:$C$2004,2*A2445-1)</f>
      </c>
      <c r="C2445" s="6" t="str">
        <f>INDEX('Lineal Mixto'!$C$5:$C$2004,2*A2445)</f>
      </c>
      <c r="D2445" s="6" t="str">
        <f>B2445^2+C2445^2</f>
      </c>
      <c r="E2445" s="6" t="str">
        <f>IF(D2445&lt;=1,1,0)</f>
      </c>
    </row>
    <row r="2446">
      <c r="A2446" s="5">
        <v>419</v>
      </c>
      <c r="B2446" s="5" t="str">
        <f>INDEX('Lineal Mixto'!$C$5:$C$2004,2*A2446-1)</f>
      </c>
      <c r="C2446" s="5" t="str">
        <f>INDEX('Lineal Mixto'!$C$5:$C$2004,2*A2446)</f>
      </c>
      <c r="D2446" s="5" t="str">
        <f>B2446^2+C2446^2</f>
      </c>
      <c r="E2446" s="5" t="str">
        <f>IF(D2446&lt;=1,1,0)</f>
      </c>
    </row>
    <row r="2447">
      <c r="A2447" s="6">
        <v>420</v>
      </c>
      <c r="B2447" s="6" t="str">
        <f>INDEX('Lineal Mixto'!$C$5:$C$2004,2*A2447-1)</f>
      </c>
      <c r="C2447" s="6" t="str">
        <f>INDEX('Lineal Mixto'!$C$5:$C$2004,2*A2447)</f>
      </c>
      <c r="D2447" s="6" t="str">
        <f>B2447^2+C2447^2</f>
      </c>
      <c r="E2447" s="6" t="str">
        <f>IF(D2447&lt;=1,1,0)</f>
      </c>
    </row>
    <row r="2448">
      <c r="A2448" s="5">
        <v>421</v>
      </c>
      <c r="B2448" s="5" t="str">
        <f>INDEX('Lineal Mixto'!$C$5:$C$2004,2*A2448-1)</f>
      </c>
      <c r="C2448" s="5" t="str">
        <f>INDEX('Lineal Mixto'!$C$5:$C$2004,2*A2448)</f>
      </c>
      <c r="D2448" s="5" t="str">
        <f>B2448^2+C2448^2</f>
      </c>
      <c r="E2448" s="5" t="str">
        <f>IF(D2448&lt;=1,1,0)</f>
      </c>
    </row>
    <row r="2449">
      <c r="A2449" s="6">
        <v>422</v>
      </c>
      <c r="B2449" s="6" t="str">
        <f>INDEX('Lineal Mixto'!$C$5:$C$2004,2*A2449-1)</f>
      </c>
      <c r="C2449" s="6" t="str">
        <f>INDEX('Lineal Mixto'!$C$5:$C$2004,2*A2449)</f>
      </c>
      <c r="D2449" s="6" t="str">
        <f>B2449^2+C2449^2</f>
      </c>
      <c r="E2449" s="6" t="str">
        <f>IF(D2449&lt;=1,1,0)</f>
      </c>
    </row>
    <row r="2450">
      <c r="A2450" s="5">
        <v>423</v>
      </c>
      <c r="B2450" s="5" t="str">
        <f>INDEX('Lineal Mixto'!$C$5:$C$2004,2*A2450-1)</f>
      </c>
      <c r="C2450" s="5" t="str">
        <f>INDEX('Lineal Mixto'!$C$5:$C$2004,2*A2450)</f>
      </c>
      <c r="D2450" s="5" t="str">
        <f>B2450^2+C2450^2</f>
      </c>
      <c r="E2450" s="5" t="str">
        <f>IF(D2450&lt;=1,1,0)</f>
      </c>
    </row>
    <row r="2451">
      <c r="A2451" s="6">
        <v>424</v>
      </c>
      <c r="B2451" s="6" t="str">
        <f>INDEX('Lineal Mixto'!$C$5:$C$2004,2*A2451-1)</f>
      </c>
      <c r="C2451" s="6" t="str">
        <f>INDEX('Lineal Mixto'!$C$5:$C$2004,2*A2451)</f>
      </c>
      <c r="D2451" s="6" t="str">
        <f>B2451^2+C2451^2</f>
      </c>
      <c r="E2451" s="6" t="str">
        <f>IF(D2451&lt;=1,1,0)</f>
      </c>
    </row>
    <row r="2452">
      <c r="A2452" s="5">
        <v>425</v>
      </c>
      <c r="B2452" s="5" t="str">
        <f>INDEX('Lineal Mixto'!$C$5:$C$2004,2*A2452-1)</f>
      </c>
      <c r="C2452" s="5" t="str">
        <f>INDEX('Lineal Mixto'!$C$5:$C$2004,2*A2452)</f>
      </c>
      <c r="D2452" s="5" t="str">
        <f>B2452^2+C2452^2</f>
      </c>
      <c r="E2452" s="5" t="str">
        <f>IF(D2452&lt;=1,1,0)</f>
      </c>
    </row>
    <row r="2453">
      <c r="A2453" s="6">
        <v>426</v>
      </c>
      <c r="B2453" s="6" t="str">
        <f>INDEX('Lineal Mixto'!$C$5:$C$2004,2*A2453-1)</f>
      </c>
      <c r="C2453" s="6" t="str">
        <f>INDEX('Lineal Mixto'!$C$5:$C$2004,2*A2453)</f>
      </c>
      <c r="D2453" s="6" t="str">
        <f>B2453^2+C2453^2</f>
      </c>
      <c r="E2453" s="6" t="str">
        <f>IF(D2453&lt;=1,1,0)</f>
      </c>
    </row>
    <row r="2454">
      <c r="A2454" s="5">
        <v>427</v>
      </c>
      <c r="B2454" s="5" t="str">
        <f>INDEX('Lineal Mixto'!$C$5:$C$2004,2*A2454-1)</f>
      </c>
      <c r="C2454" s="5" t="str">
        <f>INDEX('Lineal Mixto'!$C$5:$C$2004,2*A2454)</f>
      </c>
      <c r="D2454" s="5" t="str">
        <f>B2454^2+C2454^2</f>
      </c>
      <c r="E2454" s="5" t="str">
        <f>IF(D2454&lt;=1,1,0)</f>
      </c>
    </row>
    <row r="2455">
      <c r="A2455" s="6">
        <v>428</v>
      </c>
      <c r="B2455" s="6" t="str">
        <f>INDEX('Lineal Mixto'!$C$5:$C$2004,2*A2455-1)</f>
      </c>
      <c r="C2455" s="6" t="str">
        <f>INDEX('Lineal Mixto'!$C$5:$C$2004,2*A2455)</f>
      </c>
      <c r="D2455" s="6" t="str">
        <f>B2455^2+C2455^2</f>
      </c>
      <c r="E2455" s="6" t="str">
        <f>IF(D2455&lt;=1,1,0)</f>
      </c>
    </row>
    <row r="2456">
      <c r="A2456" s="5">
        <v>429</v>
      </c>
      <c r="B2456" s="5" t="str">
        <f>INDEX('Lineal Mixto'!$C$5:$C$2004,2*A2456-1)</f>
      </c>
      <c r="C2456" s="5" t="str">
        <f>INDEX('Lineal Mixto'!$C$5:$C$2004,2*A2456)</f>
      </c>
      <c r="D2456" s="5" t="str">
        <f>B2456^2+C2456^2</f>
      </c>
      <c r="E2456" s="5" t="str">
        <f>IF(D2456&lt;=1,1,0)</f>
      </c>
    </row>
    <row r="2457">
      <c r="A2457" s="6">
        <v>430</v>
      </c>
      <c r="B2457" s="6" t="str">
        <f>INDEX('Lineal Mixto'!$C$5:$C$2004,2*A2457-1)</f>
      </c>
      <c r="C2457" s="6" t="str">
        <f>INDEX('Lineal Mixto'!$C$5:$C$2004,2*A2457)</f>
      </c>
      <c r="D2457" s="6" t="str">
        <f>B2457^2+C2457^2</f>
      </c>
      <c r="E2457" s="6" t="str">
        <f>IF(D2457&lt;=1,1,0)</f>
      </c>
    </row>
    <row r="2458">
      <c r="A2458" s="5">
        <v>431</v>
      </c>
      <c r="B2458" s="5" t="str">
        <f>INDEX('Lineal Mixto'!$C$5:$C$2004,2*A2458-1)</f>
      </c>
      <c r="C2458" s="5" t="str">
        <f>INDEX('Lineal Mixto'!$C$5:$C$2004,2*A2458)</f>
      </c>
      <c r="D2458" s="5" t="str">
        <f>B2458^2+C2458^2</f>
      </c>
      <c r="E2458" s="5" t="str">
        <f>IF(D2458&lt;=1,1,0)</f>
      </c>
    </row>
    <row r="2459">
      <c r="A2459" s="6">
        <v>432</v>
      </c>
      <c r="B2459" s="6" t="str">
        <f>INDEX('Lineal Mixto'!$C$5:$C$2004,2*A2459-1)</f>
      </c>
      <c r="C2459" s="6" t="str">
        <f>INDEX('Lineal Mixto'!$C$5:$C$2004,2*A2459)</f>
      </c>
      <c r="D2459" s="6" t="str">
        <f>B2459^2+C2459^2</f>
      </c>
      <c r="E2459" s="6" t="str">
        <f>IF(D2459&lt;=1,1,0)</f>
      </c>
    </row>
    <row r="2460">
      <c r="A2460" s="5">
        <v>433</v>
      </c>
      <c r="B2460" s="5" t="str">
        <f>INDEX('Lineal Mixto'!$C$5:$C$2004,2*A2460-1)</f>
      </c>
      <c r="C2460" s="5" t="str">
        <f>INDEX('Lineal Mixto'!$C$5:$C$2004,2*A2460)</f>
      </c>
      <c r="D2460" s="5" t="str">
        <f>B2460^2+C2460^2</f>
      </c>
      <c r="E2460" s="5" t="str">
        <f>IF(D2460&lt;=1,1,0)</f>
      </c>
    </row>
    <row r="2461">
      <c r="A2461" s="6">
        <v>434</v>
      </c>
      <c r="B2461" s="6" t="str">
        <f>INDEX('Lineal Mixto'!$C$5:$C$2004,2*A2461-1)</f>
      </c>
      <c r="C2461" s="6" t="str">
        <f>INDEX('Lineal Mixto'!$C$5:$C$2004,2*A2461)</f>
      </c>
      <c r="D2461" s="6" t="str">
        <f>B2461^2+C2461^2</f>
      </c>
      <c r="E2461" s="6" t="str">
        <f>IF(D2461&lt;=1,1,0)</f>
      </c>
    </row>
    <row r="2462">
      <c r="A2462" s="5">
        <v>435</v>
      </c>
      <c r="B2462" s="5" t="str">
        <f>INDEX('Lineal Mixto'!$C$5:$C$2004,2*A2462-1)</f>
      </c>
      <c r="C2462" s="5" t="str">
        <f>INDEX('Lineal Mixto'!$C$5:$C$2004,2*A2462)</f>
      </c>
      <c r="D2462" s="5" t="str">
        <f>B2462^2+C2462^2</f>
      </c>
      <c r="E2462" s="5" t="str">
        <f>IF(D2462&lt;=1,1,0)</f>
      </c>
    </row>
    <row r="2463">
      <c r="A2463" s="6">
        <v>436</v>
      </c>
      <c r="B2463" s="6" t="str">
        <f>INDEX('Lineal Mixto'!$C$5:$C$2004,2*A2463-1)</f>
      </c>
      <c r="C2463" s="6" t="str">
        <f>INDEX('Lineal Mixto'!$C$5:$C$2004,2*A2463)</f>
      </c>
      <c r="D2463" s="6" t="str">
        <f>B2463^2+C2463^2</f>
      </c>
      <c r="E2463" s="6" t="str">
        <f>IF(D2463&lt;=1,1,0)</f>
      </c>
    </row>
    <row r="2464">
      <c r="A2464" s="5">
        <v>437</v>
      </c>
      <c r="B2464" s="5" t="str">
        <f>INDEX('Lineal Mixto'!$C$5:$C$2004,2*A2464-1)</f>
      </c>
      <c r="C2464" s="5" t="str">
        <f>INDEX('Lineal Mixto'!$C$5:$C$2004,2*A2464)</f>
      </c>
      <c r="D2464" s="5" t="str">
        <f>B2464^2+C2464^2</f>
      </c>
      <c r="E2464" s="5" t="str">
        <f>IF(D2464&lt;=1,1,0)</f>
      </c>
    </row>
    <row r="2465">
      <c r="A2465" s="6">
        <v>438</v>
      </c>
      <c r="B2465" s="6" t="str">
        <f>INDEX('Lineal Mixto'!$C$5:$C$2004,2*A2465-1)</f>
      </c>
      <c r="C2465" s="6" t="str">
        <f>INDEX('Lineal Mixto'!$C$5:$C$2004,2*A2465)</f>
      </c>
      <c r="D2465" s="6" t="str">
        <f>B2465^2+C2465^2</f>
      </c>
      <c r="E2465" s="6" t="str">
        <f>IF(D2465&lt;=1,1,0)</f>
      </c>
    </row>
    <row r="2466">
      <c r="A2466" s="5">
        <v>439</v>
      </c>
      <c r="B2466" s="5" t="str">
        <f>INDEX('Lineal Mixto'!$C$5:$C$2004,2*A2466-1)</f>
      </c>
      <c r="C2466" s="5" t="str">
        <f>INDEX('Lineal Mixto'!$C$5:$C$2004,2*A2466)</f>
      </c>
      <c r="D2466" s="5" t="str">
        <f>B2466^2+C2466^2</f>
      </c>
      <c r="E2466" s="5" t="str">
        <f>IF(D2466&lt;=1,1,0)</f>
      </c>
    </row>
    <row r="2467">
      <c r="A2467" s="6">
        <v>440</v>
      </c>
      <c r="B2467" s="6" t="str">
        <f>INDEX('Lineal Mixto'!$C$5:$C$2004,2*A2467-1)</f>
      </c>
      <c r="C2467" s="6" t="str">
        <f>INDEX('Lineal Mixto'!$C$5:$C$2004,2*A2467)</f>
      </c>
      <c r="D2467" s="6" t="str">
        <f>B2467^2+C2467^2</f>
      </c>
      <c r="E2467" s="6" t="str">
        <f>IF(D2467&lt;=1,1,0)</f>
      </c>
    </row>
    <row r="2468">
      <c r="A2468" s="5">
        <v>441</v>
      </c>
      <c r="B2468" s="5" t="str">
        <f>INDEX('Lineal Mixto'!$C$5:$C$2004,2*A2468-1)</f>
      </c>
      <c r="C2468" s="5" t="str">
        <f>INDEX('Lineal Mixto'!$C$5:$C$2004,2*A2468)</f>
      </c>
      <c r="D2468" s="5" t="str">
        <f>B2468^2+C2468^2</f>
      </c>
      <c r="E2468" s="5" t="str">
        <f>IF(D2468&lt;=1,1,0)</f>
      </c>
    </row>
    <row r="2469">
      <c r="A2469" s="6">
        <v>442</v>
      </c>
      <c r="B2469" s="6" t="str">
        <f>INDEX('Lineal Mixto'!$C$5:$C$2004,2*A2469-1)</f>
      </c>
      <c r="C2469" s="6" t="str">
        <f>INDEX('Lineal Mixto'!$C$5:$C$2004,2*A2469)</f>
      </c>
      <c r="D2469" s="6" t="str">
        <f>B2469^2+C2469^2</f>
      </c>
      <c r="E2469" s="6" t="str">
        <f>IF(D2469&lt;=1,1,0)</f>
      </c>
    </row>
    <row r="2470">
      <c r="A2470" s="5">
        <v>443</v>
      </c>
      <c r="B2470" s="5" t="str">
        <f>INDEX('Lineal Mixto'!$C$5:$C$2004,2*A2470-1)</f>
      </c>
      <c r="C2470" s="5" t="str">
        <f>INDEX('Lineal Mixto'!$C$5:$C$2004,2*A2470)</f>
      </c>
      <c r="D2470" s="5" t="str">
        <f>B2470^2+C2470^2</f>
      </c>
      <c r="E2470" s="5" t="str">
        <f>IF(D2470&lt;=1,1,0)</f>
      </c>
    </row>
    <row r="2471">
      <c r="A2471" s="6">
        <v>444</v>
      </c>
      <c r="B2471" s="6" t="str">
        <f>INDEX('Lineal Mixto'!$C$5:$C$2004,2*A2471-1)</f>
      </c>
      <c r="C2471" s="6" t="str">
        <f>INDEX('Lineal Mixto'!$C$5:$C$2004,2*A2471)</f>
      </c>
      <c r="D2471" s="6" t="str">
        <f>B2471^2+C2471^2</f>
      </c>
      <c r="E2471" s="6" t="str">
        <f>IF(D2471&lt;=1,1,0)</f>
      </c>
    </row>
    <row r="2472">
      <c r="A2472" s="5">
        <v>445</v>
      </c>
      <c r="B2472" s="5" t="str">
        <f>INDEX('Lineal Mixto'!$C$5:$C$2004,2*A2472-1)</f>
      </c>
      <c r="C2472" s="5" t="str">
        <f>INDEX('Lineal Mixto'!$C$5:$C$2004,2*A2472)</f>
      </c>
      <c r="D2472" s="5" t="str">
        <f>B2472^2+C2472^2</f>
      </c>
      <c r="E2472" s="5" t="str">
        <f>IF(D2472&lt;=1,1,0)</f>
      </c>
    </row>
    <row r="2473">
      <c r="A2473" s="6">
        <v>446</v>
      </c>
      <c r="B2473" s="6" t="str">
        <f>INDEX('Lineal Mixto'!$C$5:$C$2004,2*A2473-1)</f>
      </c>
      <c r="C2473" s="6" t="str">
        <f>INDEX('Lineal Mixto'!$C$5:$C$2004,2*A2473)</f>
      </c>
      <c r="D2473" s="6" t="str">
        <f>B2473^2+C2473^2</f>
      </c>
      <c r="E2473" s="6" t="str">
        <f>IF(D2473&lt;=1,1,0)</f>
      </c>
    </row>
    <row r="2474">
      <c r="A2474" s="5">
        <v>447</v>
      </c>
      <c r="B2474" s="5" t="str">
        <f>INDEX('Lineal Mixto'!$C$5:$C$2004,2*A2474-1)</f>
      </c>
      <c r="C2474" s="5" t="str">
        <f>INDEX('Lineal Mixto'!$C$5:$C$2004,2*A2474)</f>
      </c>
      <c r="D2474" s="5" t="str">
        <f>B2474^2+C2474^2</f>
      </c>
      <c r="E2474" s="5" t="str">
        <f>IF(D2474&lt;=1,1,0)</f>
      </c>
    </row>
    <row r="2475">
      <c r="A2475" s="6">
        <v>448</v>
      </c>
      <c r="B2475" s="6" t="str">
        <f>INDEX('Lineal Mixto'!$C$5:$C$2004,2*A2475-1)</f>
      </c>
      <c r="C2475" s="6" t="str">
        <f>INDEX('Lineal Mixto'!$C$5:$C$2004,2*A2475)</f>
      </c>
      <c r="D2475" s="6" t="str">
        <f>B2475^2+C2475^2</f>
      </c>
      <c r="E2475" s="6" t="str">
        <f>IF(D2475&lt;=1,1,0)</f>
      </c>
    </row>
    <row r="2476">
      <c r="A2476" s="5">
        <v>449</v>
      </c>
      <c r="B2476" s="5" t="str">
        <f>INDEX('Lineal Mixto'!$C$5:$C$2004,2*A2476-1)</f>
      </c>
      <c r="C2476" s="5" t="str">
        <f>INDEX('Lineal Mixto'!$C$5:$C$2004,2*A2476)</f>
      </c>
      <c r="D2476" s="5" t="str">
        <f>B2476^2+C2476^2</f>
      </c>
      <c r="E2476" s="5" t="str">
        <f>IF(D2476&lt;=1,1,0)</f>
      </c>
    </row>
    <row r="2477">
      <c r="A2477" s="6">
        <v>450</v>
      </c>
      <c r="B2477" s="6" t="str">
        <f>INDEX('Lineal Mixto'!$C$5:$C$2004,2*A2477-1)</f>
      </c>
      <c r="C2477" s="6" t="str">
        <f>INDEX('Lineal Mixto'!$C$5:$C$2004,2*A2477)</f>
      </c>
      <c r="D2477" s="6" t="str">
        <f>B2477^2+C2477^2</f>
      </c>
      <c r="E2477" s="6" t="str">
        <f>IF(D2477&lt;=1,1,0)</f>
      </c>
    </row>
    <row r="2478">
      <c r="A2478" s="5">
        <v>451</v>
      </c>
      <c r="B2478" s="5" t="str">
        <f>INDEX('Lineal Mixto'!$C$5:$C$2004,2*A2478-1)</f>
      </c>
      <c r="C2478" s="5" t="str">
        <f>INDEX('Lineal Mixto'!$C$5:$C$2004,2*A2478)</f>
      </c>
      <c r="D2478" s="5" t="str">
        <f>B2478^2+C2478^2</f>
      </c>
      <c r="E2478" s="5" t="str">
        <f>IF(D2478&lt;=1,1,0)</f>
      </c>
    </row>
    <row r="2479">
      <c r="A2479" s="6">
        <v>452</v>
      </c>
      <c r="B2479" s="6" t="str">
        <f>INDEX('Lineal Mixto'!$C$5:$C$2004,2*A2479-1)</f>
      </c>
      <c r="C2479" s="6" t="str">
        <f>INDEX('Lineal Mixto'!$C$5:$C$2004,2*A2479)</f>
      </c>
      <c r="D2479" s="6" t="str">
        <f>B2479^2+C2479^2</f>
      </c>
      <c r="E2479" s="6" t="str">
        <f>IF(D2479&lt;=1,1,0)</f>
      </c>
    </row>
    <row r="2480">
      <c r="A2480" s="5">
        <v>453</v>
      </c>
      <c r="B2480" s="5" t="str">
        <f>INDEX('Lineal Mixto'!$C$5:$C$2004,2*A2480-1)</f>
      </c>
      <c r="C2480" s="5" t="str">
        <f>INDEX('Lineal Mixto'!$C$5:$C$2004,2*A2480)</f>
      </c>
      <c r="D2480" s="5" t="str">
        <f>B2480^2+C2480^2</f>
      </c>
      <c r="E2480" s="5" t="str">
        <f>IF(D2480&lt;=1,1,0)</f>
      </c>
    </row>
    <row r="2481">
      <c r="A2481" s="6">
        <v>454</v>
      </c>
      <c r="B2481" s="6" t="str">
        <f>INDEX('Lineal Mixto'!$C$5:$C$2004,2*A2481-1)</f>
      </c>
      <c r="C2481" s="6" t="str">
        <f>INDEX('Lineal Mixto'!$C$5:$C$2004,2*A2481)</f>
      </c>
      <c r="D2481" s="6" t="str">
        <f>B2481^2+C2481^2</f>
      </c>
      <c r="E2481" s="6" t="str">
        <f>IF(D2481&lt;=1,1,0)</f>
      </c>
    </row>
    <row r="2482">
      <c r="A2482" s="5">
        <v>455</v>
      </c>
      <c r="B2482" s="5" t="str">
        <f>INDEX('Lineal Mixto'!$C$5:$C$2004,2*A2482-1)</f>
      </c>
      <c r="C2482" s="5" t="str">
        <f>INDEX('Lineal Mixto'!$C$5:$C$2004,2*A2482)</f>
      </c>
      <c r="D2482" s="5" t="str">
        <f>B2482^2+C2482^2</f>
      </c>
      <c r="E2482" s="5" t="str">
        <f>IF(D2482&lt;=1,1,0)</f>
      </c>
    </row>
    <row r="2483">
      <c r="A2483" s="6">
        <v>456</v>
      </c>
      <c r="B2483" s="6" t="str">
        <f>INDEX('Lineal Mixto'!$C$5:$C$2004,2*A2483-1)</f>
      </c>
      <c r="C2483" s="6" t="str">
        <f>INDEX('Lineal Mixto'!$C$5:$C$2004,2*A2483)</f>
      </c>
      <c r="D2483" s="6" t="str">
        <f>B2483^2+C2483^2</f>
      </c>
      <c r="E2483" s="6" t="str">
        <f>IF(D2483&lt;=1,1,0)</f>
      </c>
    </row>
    <row r="2484">
      <c r="A2484" s="5">
        <v>457</v>
      </c>
      <c r="B2484" s="5" t="str">
        <f>INDEX('Lineal Mixto'!$C$5:$C$2004,2*A2484-1)</f>
      </c>
      <c r="C2484" s="5" t="str">
        <f>INDEX('Lineal Mixto'!$C$5:$C$2004,2*A2484)</f>
      </c>
      <c r="D2484" s="5" t="str">
        <f>B2484^2+C2484^2</f>
      </c>
      <c r="E2484" s="5" t="str">
        <f>IF(D2484&lt;=1,1,0)</f>
      </c>
    </row>
    <row r="2485">
      <c r="A2485" s="6">
        <v>458</v>
      </c>
      <c r="B2485" s="6" t="str">
        <f>INDEX('Lineal Mixto'!$C$5:$C$2004,2*A2485-1)</f>
      </c>
      <c r="C2485" s="6" t="str">
        <f>INDEX('Lineal Mixto'!$C$5:$C$2004,2*A2485)</f>
      </c>
      <c r="D2485" s="6" t="str">
        <f>B2485^2+C2485^2</f>
      </c>
      <c r="E2485" s="6" t="str">
        <f>IF(D2485&lt;=1,1,0)</f>
      </c>
    </row>
    <row r="2486">
      <c r="A2486" s="5">
        <v>459</v>
      </c>
      <c r="B2486" s="5" t="str">
        <f>INDEX('Lineal Mixto'!$C$5:$C$2004,2*A2486-1)</f>
      </c>
      <c r="C2486" s="5" t="str">
        <f>INDEX('Lineal Mixto'!$C$5:$C$2004,2*A2486)</f>
      </c>
      <c r="D2486" s="5" t="str">
        <f>B2486^2+C2486^2</f>
      </c>
      <c r="E2486" s="5" t="str">
        <f>IF(D2486&lt;=1,1,0)</f>
      </c>
    </row>
    <row r="2487">
      <c r="A2487" s="6">
        <v>460</v>
      </c>
      <c r="B2487" s="6" t="str">
        <f>INDEX('Lineal Mixto'!$C$5:$C$2004,2*A2487-1)</f>
      </c>
      <c r="C2487" s="6" t="str">
        <f>INDEX('Lineal Mixto'!$C$5:$C$2004,2*A2487)</f>
      </c>
      <c r="D2487" s="6" t="str">
        <f>B2487^2+C2487^2</f>
      </c>
      <c r="E2487" s="6" t="str">
        <f>IF(D2487&lt;=1,1,0)</f>
      </c>
    </row>
    <row r="2488">
      <c r="A2488" s="5">
        <v>461</v>
      </c>
      <c r="B2488" s="5" t="str">
        <f>INDEX('Lineal Mixto'!$C$5:$C$2004,2*A2488-1)</f>
      </c>
      <c r="C2488" s="5" t="str">
        <f>INDEX('Lineal Mixto'!$C$5:$C$2004,2*A2488)</f>
      </c>
      <c r="D2488" s="5" t="str">
        <f>B2488^2+C2488^2</f>
      </c>
      <c r="E2488" s="5" t="str">
        <f>IF(D2488&lt;=1,1,0)</f>
      </c>
    </row>
    <row r="2489">
      <c r="A2489" s="6">
        <v>462</v>
      </c>
      <c r="B2489" s="6" t="str">
        <f>INDEX('Lineal Mixto'!$C$5:$C$2004,2*A2489-1)</f>
      </c>
      <c r="C2489" s="6" t="str">
        <f>INDEX('Lineal Mixto'!$C$5:$C$2004,2*A2489)</f>
      </c>
      <c r="D2489" s="6" t="str">
        <f>B2489^2+C2489^2</f>
      </c>
      <c r="E2489" s="6" t="str">
        <f>IF(D2489&lt;=1,1,0)</f>
      </c>
    </row>
    <row r="2490">
      <c r="A2490" s="5">
        <v>463</v>
      </c>
      <c r="B2490" s="5" t="str">
        <f>INDEX('Lineal Mixto'!$C$5:$C$2004,2*A2490-1)</f>
      </c>
      <c r="C2490" s="5" t="str">
        <f>INDEX('Lineal Mixto'!$C$5:$C$2004,2*A2490)</f>
      </c>
      <c r="D2490" s="5" t="str">
        <f>B2490^2+C2490^2</f>
      </c>
      <c r="E2490" s="5" t="str">
        <f>IF(D2490&lt;=1,1,0)</f>
      </c>
    </row>
    <row r="2491">
      <c r="A2491" s="6">
        <v>464</v>
      </c>
      <c r="B2491" s="6" t="str">
        <f>INDEX('Lineal Mixto'!$C$5:$C$2004,2*A2491-1)</f>
      </c>
      <c r="C2491" s="6" t="str">
        <f>INDEX('Lineal Mixto'!$C$5:$C$2004,2*A2491)</f>
      </c>
      <c r="D2491" s="6" t="str">
        <f>B2491^2+C2491^2</f>
      </c>
      <c r="E2491" s="6" t="str">
        <f>IF(D2491&lt;=1,1,0)</f>
      </c>
    </row>
    <row r="2492">
      <c r="A2492" s="5">
        <v>465</v>
      </c>
      <c r="B2492" s="5" t="str">
        <f>INDEX('Lineal Mixto'!$C$5:$C$2004,2*A2492-1)</f>
      </c>
      <c r="C2492" s="5" t="str">
        <f>INDEX('Lineal Mixto'!$C$5:$C$2004,2*A2492)</f>
      </c>
      <c r="D2492" s="5" t="str">
        <f>B2492^2+C2492^2</f>
      </c>
      <c r="E2492" s="5" t="str">
        <f>IF(D2492&lt;=1,1,0)</f>
      </c>
    </row>
    <row r="2493">
      <c r="A2493" s="6">
        <v>466</v>
      </c>
      <c r="B2493" s="6" t="str">
        <f>INDEX('Lineal Mixto'!$C$5:$C$2004,2*A2493-1)</f>
      </c>
      <c r="C2493" s="6" t="str">
        <f>INDEX('Lineal Mixto'!$C$5:$C$2004,2*A2493)</f>
      </c>
      <c r="D2493" s="6" t="str">
        <f>B2493^2+C2493^2</f>
      </c>
      <c r="E2493" s="6" t="str">
        <f>IF(D2493&lt;=1,1,0)</f>
      </c>
    </row>
    <row r="2494">
      <c r="A2494" s="5">
        <v>467</v>
      </c>
      <c r="B2494" s="5" t="str">
        <f>INDEX('Lineal Mixto'!$C$5:$C$2004,2*A2494-1)</f>
      </c>
      <c r="C2494" s="5" t="str">
        <f>INDEX('Lineal Mixto'!$C$5:$C$2004,2*A2494)</f>
      </c>
      <c r="D2494" s="5" t="str">
        <f>B2494^2+C2494^2</f>
      </c>
      <c r="E2494" s="5" t="str">
        <f>IF(D2494&lt;=1,1,0)</f>
      </c>
    </row>
    <row r="2495">
      <c r="A2495" s="6">
        <v>468</v>
      </c>
      <c r="B2495" s="6" t="str">
        <f>INDEX('Lineal Mixto'!$C$5:$C$2004,2*A2495-1)</f>
      </c>
      <c r="C2495" s="6" t="str">
        <f>INDEX('Lineal Mixto'!$C$5:$C$2004,2*A2495)</f>
      </c>
      <c r="D2495" s="6" t="str">
        <f>B2495^2+C2495^2</f>
      </c>
      <c r="E2495" s="6" t="str">
        <f>IF(D2495&lt;=1,1,0)</f>
      </c>
    </row>
    <row r="2496">
      <c r="A2496" s="5">
        <v>469</v>
      </c>
      <c r="B2496" s="5" t="str">
        <f>INDEX('Lineal Mixto'!$C$5:$C$2004,2*A2496-1)</f>
      </c>
      <c r="C2496" s="5" t="str">
        <f>INDEX('Lineal Mixto'!$C$5:$C$2004,2*A2496)</f>
      </c>
      <c r="D2496" s="5" t="str">
        <f>B2496^2+C2496^2</f>
      </c>
      <c r="E2496" s="5" t="str">
        <f>IF(D2496&lt;=1,1,0)</f>
      </c>
    </row>
    <row r="2497">
      <c r="A2497" s="6">
        <v>470</v>
      </c>
      <c r="B2497" s="6" t="str">
        <f>INDEX('Lineal Mixto'!$C$5:$C$2004,2*A2497-1)</f>
      </c>
      <c r="C2497" s="6" t="str">
        <f>INDEX('Lineal Mixto'!$C$5:$C$2004,2*A2497)</f>
      </c>
      <c r="D2497" s="6" t="str">
        <f>B2497^2+C2497^2</f>
      </c>
      <c r="E2497" s="6" t="str">
        <f>IF(D2497&lt;=1,1,0)</f>
      </c>
    </row>
    <row r="2498">
      <c r="A2498" s="5">
        <v>471</v>
      </c>
      <c r="B2498" s="5" t="str">
        <f>INDEX('Lineal Mixto'!$C$5:$C$2004,2*A2498-1)</f>
      </c>
      <c r="C2498" s="5" t="str">
        <f>INDEX('Lineal Mixto'!$C$5:$C$2004,2*A2498)</f>
      </c>
      <c r="D2498" s="5" t="str">
        <f>B2498^2+C2498^2</f>
      </c>
      <c r="E2498" s="5" t="str">
        <f>IF(D2498&lt;=1,1,0)</f>
      </c>
    </row>
    <row r="2499">
      <c r="A2499" s="6">
        <v>472</v>
      </c>
      <c r="B2499" s="6" t="str">
        <f>INDEX('Lineal Mixto'!$C$5:$C$2004,2*A2499-1)</f>
      </c>
      <c r="C2499" s="6" t="str">
        <f>INDEX('Lineal Mixto'!$C$5:$C$2004,2*A2499)</f>
      </c>
      <c r="D2499" s="6" t="str">
        <f>B2499^2+C2499^2</f>
      </c>
      <c r="E2499" s="6" t="str">
        <f>IF(D2499&lt;=1,1,0)</f>
      </c>
    </row>
    <row r="2500">
      <c r="A2500" s="5">
        <v>473</v>
      </c>
      <c r="B2500" s="5" t="str">
        <f>INDEX('Lineal Mixto'!$C$5:$C$2004,2*A2500-1)</f>
      </c>
      <c r="C2500" s="5" t="str">
        <f>INDEX('Lineal Mixto'!$C$5:$C$2004,2*A2500)</f>
      </c>
      <c r="D2500" s="5" t="str">
        <f>B2500^2+C2500^2</f>
      </c>
      <c r="E2500" s="5" t="str">
        <f>IF(D2500&lt;=1,1,0)</f>
      </c>
    </row>
    <row r="2501">
      <c r="A2501" s="6">
        <v>474</v>
      </c>
      <c r="B2501" s="6" t="str">
        <f>INDEX('Lineal Mixto'!$C$5:$C$2004,2*A2501-1)</f>
      </c>
      <c r="C2501" s="6" t="str">
        <f>INDEX('Lineal Mixto'!$C$5:$C$2004,2*A2501)</f>
      </c>
      <c r="D2501" s="6" t="str">
        <f>B2501^2+C2501^2</f>
      </c>
      <c r="E2501" s="6" t="str">
        <f>IF(D2501&lt;=1,1,0)</f>
      </c>
    </row>
    <row r="2502">
      <c r="A2502" s="5">
        <v>475</v>
      </c>
      <c r="B2502" s="5" t="str">
        <f>INDEX('Lineal Mixto'!$C$5:$C$2004,2*A2502-1)</f>
      </c>
      <c r="C2502" s="5" t="str">
        <f>INDEX('Lineal Mixto'!$C$5:$C$2004,2*A2502)</f>
      </c>
      <c r="D2502" s="5" t="str">
        <f>B2502^2+C2502^2</f>
      </c>
      <c r="E2502" s="5" t="str">
        <f>IF(D2502&lt;=1,1,0)</f>
      </c>
    </row>
    <row r="2503">
      <c r="A2503" s="6">
        <v>476</v>
      </c>
      <c r="B2503" s="6" t="str">
        <f>INDEX('Lineal Mixto'!$C$5:$C$2004,2*A2503-1)</f>
      </c>
      <c r="C2503" s="6" t="str">
        <f>INDEX('Lineal Mixto'!$C$5:$C$2004,2*A2503)</f>
      </c>
      <c r="D2503" s="6" t="str">
        <f>B2503^2+C2503^2</f>
      </c>
      <c r="E2503" s="6" t="str">
        <f>IF(D2503&lt;=1,1,0)</f>
      </c>
    </row>
    <row r="2504">
      <c r="A2504" s="5">
        <v>477</v>
      </c>
      <c r="B2504" s="5" t="str">
        <f>INDEX('Lineal Mixto'!$C$5:$C$2004,2*A2504-1)</f>
      </c>
      <c r="C2504" s="5" t="str">
        <f>INDEX('Lineal Mixto'!$C$5:$C$2004,2*A2504)</f>
      </c>
      <c r="D2504" s="5" t="str">
        <f>B2504^2+C2504^2</f>
      </c>
      <c r="E2504" s="5" t="str">
        <f>IF(D2504&lt;=1,1,0)</f>
      </c>
    </row>
    <row r="2505">
      <c r="A2505" s="6">
        <v>478</v>
      </c>
      <c r="B2505" s="6" t="str">
        <f>INDEX('Lineal Mixto'!$C$5:$C$2004,2*A2505-1)</f>
      </c>
      <c r="C2505" s="6" t="str">
        <f>INDEX('Lineal Mixto'!$C$5:$C$2004,2*A2505)</f>
      </c>
      <c r="D2505" s="6" t="str">
        <f>B2505^2+C2505^2</f>
      </c>
      <c r="E2505" s="6" t="str">
        <f>IF(D2505&lt;=1,1,0)</f>
      </c>
    </row>
    <row r="2506">
      <c r="A2506" s="5">
        <v>479</v>
      </c>
      <c r="B2506" s="5" t="str">
        <f>INDEX('Lineal Mixto'!$C$5:$C$2004,2*A2506-1)</f>
      </c>
      <c r="C2506" s="5" t="str">
        <f>INDEX('Lineal Mixto'!$C$5:$C$2004,2*A2506)</f>
      </c>
      <c r="D2506" s="5" t="str">
        <f>B2506^2+C2506^2</f>
      </c>
      <c r="E2506" s="5" t="str">
        <f>IF(D2506&lt;=1,1,0)</f>
      </c>
    </row>
    <row r="2507">
      <c r="A2507" s="6">
        <v>480</v>
      </c>
      <c r="B2507" s="6" t="str">
        <f>INDEX('Lineal Mixto'!$C$5:$C$2004,2*A2507-1)</f>
      </c>
      <c r="C2507" s="6" t="str">
        <f>INDEX('Lineal Mixto'!$C$5:$C$2004,2*A2507)</f>
      </c>
      <c r="D2507" s="6" t="str">
        <f>B2507^2+C2507^2</f>
      </c>
      <c r="E2507" s="6" t="str">
        <f>IF(D2507&lt;=1,1,0)</f>
      </c>
    </row>
    <row r="2508">
      <c r="A2508" s="5">
        <v>481</v>
      </c>
      <c r="B2508" s="5" t="str">
        <f>INDEX('Lineal Mixto'!$C$5:$C$2004,2*A2508-1)</f>
      </c>
      <c r="C2508" s="5" t="str">
        <f>INDEX('Lineal Mixto'!$C$5:$C$2004,2*A2508)</f>
      </c>
      <c r="D2508" s="5" t="str">
        <f>B2508^2+C2508^2</f>
      </c>
      <c r="E2508" s="5" t="str">
        <f>IF(D2508&lt;=1,1,0)</f>
      </c>
    </row>
    <row r="2509">
      <c r="A2509" s="6">
        <v>482</v>
      </c>
      <c r="B2509" s="6" t="str">
        <f>INDEX('Lineal Mixto'!$C$5:$C$2004,2*A2509-1)</f>
      </c>
      <c r="C2509" s="6" t="str">
        <f>INDEX('Lineal Mixto'!$C$5:$C$2004,2*A2509)</f>
      </c>
      <c r="D2509" s="6" t="str">
        <f>B2509^2+C2509^2</f>
      </c>
      <c r="E2509" s="6" t="str">
        <f>IF(D2509&lt;=1,1,0)</f>
      </c>
    </row>
    <row r="2510">
      <c r="A2510" s="5">
        <v>483</v>
      </c>
      <c r="B2510" s="5" t="str">
        <f>INDEX('Lineal Mixto'!$C$5:$C$2004,2*A2510-1)</f>
      </c>
      <c r="C2510" s="5" t="str">
        <f>INDEX('Lineal Mixto'!$C$5:$C$2004,2*A2510)</f>
      </c>
      <c r="D2510" s="5" t="str">
        <f>B2510^2+C2510^2</f>
      </c>
      <c r="E2510" s="5" t="str">
        <f>IF(D2510&lt;=1,1,0)</f>
      </c>
    </row>
    <row r="2511">
      <c r="A2511" s="6">
        <v>484</v>
      </c>
      <c r="B2511" s="6" t="str">
        <f>INDEX('Lineal Mixto'!$C$5:$C$2004,2*A2511-1)</f>
      </c>
      <c r="C2511" s="6" t="str">
        <f>INDEX('Lineal Mixto'!$C$5:$C$2004,2*A2511)</f>
      </c>
      <c r="D2511" s="6" t="str">
        <f>B2511^2+C2511^2</f>
      </c>
      <c r="E2511" s="6" t="str">
        <f>IF(D2511&lt;=1,1,0)</f>
      </c>
    </row>
    <row r="2512">
      <c r="A2512" s="5">
        <v>485</v>
      </c>
      <c r="B2512" s="5" t="str">
        <f>INDEX('Lineal Mixto'!$C$5:$C$2004,2*A2512-1)</f>
      </c>
      <c r="C2512" s="5" t="str">
        <f>INDEX('Lineal Mixto'!$C$5:$C$2004,2*A2512)</f>
      </c>
      <c r="D2512" s="5" t="str">
        <f>B2512^2+C2512^2</f>
      </c>
      <c r="E2512" s="5" t="str">
        <f>IF(D2512&lt;=1,1,0)</f>
      </c>
    </row>
    <row r="2513">
      <c r="A2513" s="6">
        <v>486</v>
      </c>
      <c r="B2513" s="6" t="str">
        <f>INDEX('Lineal Mixto'!$C$5:$C$2004,2*A2513-1)</f>
      </c>
      <c r="C2513" s="6" t="str">
        <f>INDEX('Lineal Mixto'!$C$5:$C$2004,2*A2513)</f>
      </c>
      <c r="D2513" s="6" t="str">
        <f>B2513^2+C2513^2</f>
      </c>
      <c r="E2513" s="6" t="str">
        <f>IF(D2513&lt;=1,1,0)</f>
      </c>
    </row>
    <row r="2514">
      <c r="A2514" s="5">
        <v>487</v>
      </c>
      <c r="B2514" s="5" t="str">
        <f>INDEX('Lineal Mixto'!$C$5:$C$2004,2*A2514-1)</f>
      </c>
      <c r="C2514" s="5" t="str">
        <f>INDEX('Lineal Mixto'!$C$5:$C$2004,2*A2514)</f>
      </c>
      <c r="D2514" s="5" t="str">
        <f>B2514^2+C2514^2</f>
      </c>
      <c r="E2514" s="5" t="str">
        <f>IF(D2514&lt;=1,1,0)</f>
      </c>
    </row>
    <row r="2515">
      <c r="A2515" s="6">
        <v>488</v>
      </c>
      <c r="B2515" s="6" t="str">
        <f>INDEX('Lineal Mixto'!$C$5:$C$2004,2*A2515-1)</f>
      </c>
      <c r="C2515" s="6" t="str">
        <f>INDEX('Lineal Mixto'!$C$5:$C$2004,2*A2515)</f>
      </c>
      <c r="D2515" s="6" t="str">
        <f>B2515^2+C2515^2</f>
      </c>
      <c r="E2515" s="6" t="str">
        <f>IF(D2515&lt;=1,1,0)</f>
      </c>
    </row>
    <row r="2516">
      <c r="A2516" s="5">
        <v>489</v>
      </c>
      <c r="B2516" s="5" t="str">
        <f>INDEX('Lineal Mixto'!$C$5:$C$2004,2*A2516-1)</f>
      </c>
      <c r="C2516" s="5" t="str">
        <f>INDEX('Lineal Mixto'!$C$5:$C$2004,2*A2516)</f>
      </c>
      <c r="D2516" s="5" t="str">
        <f>B2516^2+C2516^2</f>
      </c>
      <c r="E2516" s="5" t="str">
        <f>IF(D2516&lt;=1,1,0)</f>
      </c>
    </row>
    <row r="2517">
      <c r="A2517" s="6">
        <v>490</v>
      </c>
      <c r="B2517" s="6" t="str">
        <f>INDEX('Lineal Mixto'!$C$5:$C$2004,2*A2517-1)</f>
      </c>
      <c r="C2517" s="6" t="str">
        <f>INDEX('Lineal Mixto'!$C$5:$C$2004,2*A2517)</f>
      </c>
      <c r="D2517" s="6" t="str">
        <f>B2517^2+C2517^2</f>
      </c>
      <c r="E2517" s="6" t="str">
        <f>IF(D2517&lt;=1,1,0)</f>
      </c>
    </row>
    <row r="2518">
      <c r="A2518" s="5">
        <v>491</v>
      </c>
      <c r="B2518" s="5" t="str">
        <f>INDEX('Lineal Mixto'!$C$5:$C$2004,2*A2518-1)</f>
      </c>
      <c r="C2518" s="5" t="str">
        <f>INDEX('Lineal Mixto'!$C$5:$C$2004,2*A2518)</f>
      </c>
      <c r="D2518" s="5" t="str">
        <f>B2518^2+C2518^2</f>
      </c>
      <c r="E2518" s="5" t="str">
        <f>IF(D2518&lt;=1,1,0)</f>
      </c>
    </row>
    <row r="2519">
      <c r="A2519" s="6">
        <v>492</v>
      </c>
      <c r="B2519" s="6" t="str">
        <f>INDEX('Lineal Mixto'!$C$5:$C$2004,2*A2519-1)</f>
      </c>
      <c r="C2519" s="6" t="str">
        <f>INDEX('Lineal Mixto'!$C$5:$C$2004,2*A2519)</f>
      </c>
      <c r="D2519" s="6" t="str">
        <f>B2519^2+C2519^2</f>
      </c>
      <c r="E2519" s="6" t="str">
        <f>IF(D2519&lt;=1,1,0)</f>
      </c>
    </row>
    <row r="2520">
      <c r="A2520" s="5">
        <v>493</v>
      </c>
      <c r="B2520" s="5" t="str">
        <f>INDEX('Lineal Mixto'!$C$5:$C$2004,2*A2520-1)</f>
      </c>
      <c r="C2520" s="5" t="str">
        <f>INDEX('Lineal Mixto'!$C$5:$C$2004,2*A2520)</f>
      </c>
      <c r="D2520" s="5" t="str">
        <f>B2520^2+C2520^2</f>
      </c>
      <c r="E2520" s="5" t="str">
        <f>IF(D2520&lt;=1,1,0)</f>
      </c>
    </row>
    <row r="2521">
      <c r="A2521" s="6">
        <v>494</v>
      </c>
      <c r="B2521" s="6" t="str">
        <f>INDEX('Lineal Mixto'!$C$5:$C$2004,2*A2521-1)</f>
      </c>
      <c r="C2521" s="6" t="str">
        <f>INDEX('Lineal Mixto'!$C$5:$C$2004,2*A2521)</f>
      </c>
      <c r="D2521" s="6" t="str">
        <f>B2521^2+C2521^2</f>
      </c>
      <c r="E2521" s="6" t="str">
        <f>IF(D2521&lt;=1,1,0)</f>
      </c>
    </row>
    <row r="2522">
      <c r="A2522" s="5">
        <v>495</v>
      </c>
      <c r="B2522" s="5" t="str">
        <f>INDEX('Lineal Mixto'!$C$5:$C$2004,2*A2522-1)</f>
      </c>
      <c r="C2522" s="5" t="str">
        <f>INDEX('Lineal Mixto'!$C$5:$C$2004,2*A2522)</f>
      </c>
      <c r="D2522" s="5" t="str">
        <f>B2522^2+C2522^2</f>
      </c>
      <c r="E2522" s="5" t="str">
        <f>IF(D2522&lt;=1,1,0)</f>
      </c>
    </row>
    <row r="2523">
      <c r="A2523" s="6">
        <v>496</v>
      </c>
      <c r="B2523" s="6" t="str">
        <f>INDEX('Lineal Mixto'!$C$5:$C$2004,2*A2523-1)</f>
      </c>
      <c r="C2523" s="6" t="str">
        <f>INDEX('Lineal Mixto'!$C$5:$C$2004,2*A2523)</f>
      </c>
      <c r="D2523" s="6" t="str">
        <f>B2523^2+C2523^2</f>
      </c>
      <c r="E2523" s="6" t="str">
        <f>IF(D2523&lt;=1,1,0)</f>
      </c>
    </row>
    <row r="2524">
      <c r="A2524" s="5">
        <v>497</v>
      </c>
      <c r="B2524" s="5" t="str">
        <f>INDEX('Lineal Mixto'!$C$5:$C$2004,2*A2524-1)</f>
      </c>
      <c r="C2524" s="5" t="str">
        <f>INDEX('Lineal Mixto'!$C$5:$C$2004,2*A2524)</f>
      </c>
      <c r="D2524" s="5" t="str">
        <f>B2524^2+C2524^2</f>
      </c>
      <c r="E2524" s="5" t="str">
        <f>IF(D2524&lt;=1,1,0)</f>
      </c>
    </row>
    <row r="2525">
      <c r="A2525" s="6">
        <v>498</v>
      </c>
      <c r="B2525" s="6" t="str">
        <f>INDEX('Lineal Mixto'!$C$5:$C$2004,2*A2525-1)</f>
      </c>
      <c r="C2525" s="6" t="str">
        <f>INDEX('Lineal Mixto'!$C$5:$C$2004,2*A2525)</f>
      </c>
      <c r="D2525" s="6" t="str">
        <f>B2525^2+C2525^2</f>
      </c>
      <c r="E2525" s="6" t="str">
        <f>IF(D2525&lt;=1,1,0)</f>
      </c>
    </row>
    <row r="2526">
      <c r="A2526" s="5">
        <v>499</v>
      </c>
      <c r="B2526" s="5" t="str">
        <f>INDEX('Lineal Mixto'!$C$5:$C$2004,2*A2526-1)</f>
      </c>
      <c r="C2526" s="5" t="str">
        <f>INDEX('Lineal Mixto'!$C$5:$C$2004,2*A2526)</f>
      </c>
      <c r="D2526" s="5" t="str">
        <f>B2526^2+C2526^2</f>
      </c>
      <c r="E2526" s="5" t="str">
        <f>IF(D2526&lt;=1,1,0)</f>
      </c>
    </row>
    <row r="2527">
      <c r="A2527" s="6">
        <v>500</v>
      </c>
      <c r="B2527" s="6" t="str">
        <f>INDEX('Lineal Mixto'!$C$5:$C$2004,2*A2527-1)</f>
      </c>
      <c r="C2527" s="6" t="str">
        <f>INDEX('Lineal Mixto'!$C$5:$C$2004,2*A2527)</f>
      </c>
      <c r="D2527" s="6" t="str">
        <f>B2527^2+C2527^2</f>
      </c>
      <c r="E2527" s="6" t="str">
        <f>IF(D2527&lt;=1,1,0)</f>
      </c>
    </row>
    <row r="2528">
      <c r="A2528" s="5">
        <v>501</v>
      </c>
      <c r="B2528" s="5" t="str">
        <f>INDEX('Lineal Mixto'!$C$5:$C$2004,2*A2528-1)</f>
      </c>
      <c r="C2528" s="5" t="str">
        <f>INDEX('Lineal Mixto'!$C$5:$C$2004,2*A2528)</f>
      </c>
      <c r="D2528" s="5" t="str">
        <f>B2528^2+C2528^2</f>
      </c>
      <c r="E2528" s="5" t="str">
        <f>IF(D2528&lt;=1,1,0)</f>
      </c>
    </row>
    <row r="2529">
      <c r="A2529" s="6">
        <v>502</v>
      </c>
      <c r="B2529" s="6" t="str">
        <f>INDEX('Lineal Mixto'!$C$5:$C$2004,2*A2529-1)</f>
      </c>
      <c r="C2529" s="6" t="str">
        <f>INDEX('Lineal Mixto'!$C$5:$C$2004,2*A2529)</f>
      </c>
      <c r="D2529" s="6" t="str">
        <f>B2529^2+C2529^2</f>
      </c>
      <c r="E2529" s="6" t="str">
        <f>IF(D2529&lt;=1,1,0)</f>
      </c>
    </row>
    <row r="2530">
      <c r="A2530" s="5">
        <v>503</v>
      </c>
      <c r="B2530" s="5" t="str">
        <f>INDEX('Lineal Mixto'!$C$5:$C$2004,2*A2530-1)</f>
      </c>
      <c r="C2530" s="5" t="str">
        <f>INDEX('Lineal Mixto'!$C$5:$C$2004,2*A2530)</f>
      </c>
      <c r="D2530" s="5" t="str">
        <f>B2530^2+C2530^2</f>
      </c>
      <c r="E2530" s="5" t="str">
        <f>IF(D2530&lt;=1,1,0)</f>
      </c>
    </row>
    <row r="2531">
      <c r="A2531" s="6">
        <v>504</v>
      </c>
      <c r="B2531" s="6" t="str">
        <f>INDEX('Lineal Mixto'!$C$5:$C$2004,2*A2531-1)</f>
      </c>
      <c r="C2531" s="6" t="str">
        <f>INDEX('Lineal Mixto'!$C$5:$C$2004,2*A2531)</f>
      </c>
      <c r="D2531" s="6" t="str">
        <f>B2531^2+C2531^2</f>
      </c>
      <c r="E2531" s="6" t="str">
        <f>IF(D2531&lt;=1,1,0)</f>
      </c>
    </row>
    <row r="2532">
      <c r="A2532" s="5">
        <v>505</v>
      </c>
      <c r="B2532" s="5" t="str">
        <f>INDEX('Lineal Mixto'!$C$5:$C$2004,2*A2532-1)</f>
      </c>
      <c r="C2532" s="5" t="str">
        <f>INDEX('Lineal Mixto'!$C$5:$C$2004,2*A2532)</f>
      </c>
      <c r="D2532" s="5" t="str">
        <f>B2532^2+C2532^2</f>
      </c>
      <c r="E2532" s="5" t="str">
        <f>IF(D2532&lt;=1,1,0)</f>
      </c>
    </row>
    <row r="2533">
      <c r="A2533" s="6">
        <v>506</v>
      </c>
      <c r="B2533" s="6" t="str">
        <f>INDEX('Lineal Mixto'!$C$5:$C$2004,2*A2533-1)</f>
      </c>
      <c r="C2533" s="6" t="str">
        <f>INDEX('Lineal Mixto'!$C$5:$C$2004,2*A2533)</f>
      </c>
      <c r="D2533" s="6" t="str">
        <f>B2533^2+C2533^2</f>
      </c>
      <c r="E2533" s="6" t="str">
        <f>IF(D2533&lt;=1,1,0)</f>
      </c>
    </row>
    <row r="2534">
      <c r="A2534" s="5">
        <v>507</v>
      </c>
      <c r="B2534" s="5" t="str">
        <f>INDEX('Lineal Mixto'!$C$5:$C$2004,2*A2534-1)</f>
      </c>
      <c r="C2534" s="5" t="str">
        <f>INDEX('Lineal Mixto'!$C$5:$C$2004,2*A2534)</f>
      </c>
      <c r="D2534" s="5" t="str">
        <f>B2534^2+C2534^2</f>
      </c>
      <c r="E2534" s="5" t="str">
        <f>IF(D2534&lt;=1,1,0)</f>
      </c>
    </row>
    <row r="2535">
      <c r="A2535" s="6">
        <v>508</v>
      </c>
      <c r="B2535" s="6" t="str">
        <f>INDEX('Lineal Mixto'!$C$5:$C$2004,2*A2535-1)</f>
      </c>
      <c r="C2535" s="6" t="str">
        <f>INDEX('Lineal Mixto'!$C$5:$C$2004,2*A2535)</f>
      </c>
      <c r="D2535" s="6" t="str">
        <f>B2535^2+C2535^2</f>
      </c>
      <c r="E2535" s="6" t="str">
        <f>IF(D2535&lt;=1,1,0)</f>
      </c>
    </row>
    <row r="2536">
      <c r="A2536" s="5">
        <v>509</v>
      </c>
      <c r="B2536" s="5" t="str">
        <f>INDEX('Lineal Mixto'!$C$5:$C$2004,2*A2536-1)</f>
      </c>
      <c r="C2536" s="5" t="str">
        <f>INDEX('Lineal Mixto'!$C$5:$C$2004,2*A2536)</f>
      </c>
      <c r="D2536" s="5" t="str">
        <f>B2536^2+C2536^2</f>
      </c>
      <c r="E2536" s="5" t="str">
        <f>IF(D2536&lt;=1,1,0)</f>
      </c>
    </row>
    <row r="2537">
      <c r="A2537" s="6">
        <v>510</v>
      </c>
      <c r="B2537" s="6" t="str">
        <f>INDEX('Lineal Mixto'!$C$5:$C$2004,2*A2537-1)</f>
      </c>
      <c r="C2537" s="6" t="str">
        <f>INDEX('Lineal Mixto'!$C$5:$C$2004,2*A2537)</f>
      </c>
      <c r="D2537" s="6" t="str">
        <f>B2537^2+C2537^2</f>
      </c>
      <c r="E2537" s="6" t="str">
        <f>IF(D2537&lt;=1,1,0)</f>
      </c>
    </row>
    <row r="2538">
      <c r="A2538" s="5">
        <v>511</v>
      </c>
      <c r="B2538" s="5" t="str">
        <f>INDEX('Lineal Mixto'!$C$5:$C$2004,2*A2538-1)</f>
      </c>
      <c r="C2538" s="5" t="str">
        <f>INDEX('Lineal Mixto'!$C$5:$C$2004,2*A2538)</f>
      </c>
      <c r="D2538" s="5" t="str">
        <f>B2538^2+C2538^2</f>
      </c>
      <c r="E2538" s="5" t="str">
        <f>IF(D2538&lt;=1,1,0)</f>
      </c>
    </row>
    <row r="2539">
      <c r="A2539" s="6">
        <v>512</v>
      </c>
      <c r="B2539" s="6" t="str">
        <f>INDEX('Lineal Mixto'!$C$5:$C$2004,2*A2539-1)</f>
      </c>
      <c r="C2539" s="6" t="str">
        <f>INDEX('Lineal Mixto'!$C$5:$C$2004,2*A2539)</f>
      </c>
      <c r="D2539" s="6" t="str">
        <f>B2539^2+C2539^2</f>
      </c>
      <c r="E2539" s="6" t="str">
        <f>IF(D2539&lt;=1,1,0)</f>
      </c>
    </row>
    <row r="2540">
      <c r="A2540" s="5">
        <v>513</v>
      </c>
      <c r="B2540" s="5" t="str">
        <f>INDEX('Lineal Mixto'!$C$5:$C$2004,2*A2540-1)</f>
      </c>
      <c r="C2540" s="5" t="str">
        <f>INDEX('Lineal Mixto'!$C$5:$C$2004,2*A2540)</f>
      </c>
      <c r="D2540" s="5" t="str">
        <f>B2540^2+C2540^2</f>
      </c>
      <c r="E2540" s="5" t="str">
        <f>IF(D2540&lt;=1,1,0)</f>
      </c>
    </row>
    <row r="2541">
      <c r="A2541" s="6">
        <v>514</v>
      </c>
      <c r="B2541" s="6" t="str">
        <f>INDEX('Lineal Mixto'!$C$5:$C$2004,2*A2541-1)</f>
      </c>
      <c r="C2541" s="6" t="str">
        <f>INDEX('Lineal Mixto'!$C$5:$C$2004,2*A2541)</f>
      </c>
      <c r="D2541" s="6" t="str">
        <f>B2541^2+C2541^2</f>
      </c>
      <c r="E2541" s="6" t="str">
        <f>IF(D2541&lt;=1,1,0)</f>
      </c>
    </row>
    <row r="2542">
      <c r="A2542" s="5">
        <v>515</v>
      </c>
      <c r="B2542" s="5" t="str">
        <f>INDEX('Lineal Mixto'!$C$5:$C$2004,2*A2542-1)</f>
      </c>
      <c r="C2542" s="5" t="str">
        <f>INDEX('Lineal Mixto'!$C$5:$C$2004,2*A2542)</f>
      </c>
      <c r="D2542" s="5" t="str">
        <f>B2542^2+C2542^2</f>
      </c>
      <c r="E2542" s="5" t="str">
        <f>IF(D2542&lt;=1,1,0)</f>
      </c>
    </row>
    <row r="2543">
      <c r="A2543" s="6">
        <v>516</v>
      </c>
      <c r="B2543" s="6" t="str">
        <f>INDEX('Lineal Mixto'!$C$5:$C$2004,2*A2543-1)</f>
      </c>
      <c r="C2543" s="6" t="str">
        <f>INDEX('Lineal Mixto'!$C$5:$C$2004,2*A2543)</f>
      </c>
      <c r="D2543" s="6" t="str">
        <f>B2543^2+C2543^2</f>
      </c>
      <c r="E2543" s="6" t="str">
        <f>IF(D2543&lt;=1,1,0)</f>
      </c>
    </row>
    <row r="2544">
      <c r="A2544" s="5">
        <v>517</v>
      </c>
      <c r="B2544" s="5" t="str">
        <f>INDEX('Lineal Mixto'!$C$5:$C$2004,2*A2544-1)</f>
      </c>
      <c r="C2544" s="5" t="str">
        <f>INDEX('Lineal Mixto'!$C$5:$C$2004,2*A2544)</f>
      </c>
      <c r="D2544" s="5" t="str">
        <f>B2544^2+C2544^2</f>
      </c>
      <c r="E2544" s="5" t="str">
        <f>IF(D2544&lt;=1,1,0)</f>
      </c>
    </row>
    <row r="2545">
      <c r="A2545" s="6">
        <v>518</v>
      </c>
      <c r="B2545" s="6" t="str">
        <f>INDEX('Lineal Mixto'!$C$5:$C$2004,2*A2545-1)</f>
      </c>
      <c r="C2545" s="6" t="str">
        <f>INDEX('Lineal Mixto'!$C$5:$C$2004,2*A2545)</f>
      </c>
      <c r="D2545" s="6" t="str">
        <f>B2545^2+C2545^2</f>
      </c>
      <c r="E2545" s="6" t="str">
        <f>IF(D2545&lt;=1,1,0)</f>
      </c>
    </row>
    <row r="2546">
      <c r="A2546" s="5">
        <v>519</v>
      </c>
      <c r="B2546" s="5" t="str">
        <f>INDEX('Lineal Mixto'!$C$5:$C$2004,2*A2546-1)</f>
      </c>
      <c r="C2546" s="5" t="str">
        <f>INDEX('Lineal Mixto'!$C$5:$C$2004,2*A2546)</f>
      </c>
      <c r="D2546" s="5" t="str">
        <f>B2546^2+C2546^2</f>
      </c>
      <c r="E2546" s="5" t="str">
        <f>IF(D2546&lt;=1,1,0)</f>
      </c>
    </row>
    <row r="2547">
      <c r="A2547" s="6">
        <v>520</v>
      </c>
      <c r="B2547" s="6" t="str">
        <f>INDEX('Lineal Mixto'!$C$5:$C$2004,2*A2547-1)</f>
      </c>
      <c r="C2547" s="6" t="str">
        <f>INDEX('Lineal Mixto'!$C$5:$C$2004,2*A2547)</f>
      </c>
      <c r="D2547" s="6" t="str">
        <f>B2547^2+C2547^2</f>
      </c>
      <c r="E2547" s="6" t="str">
        <f>IF(D2547&lt;=1,1,0)</f>
      </c>
    </row>
    <row r="2548">
      <c r="A2548" s="5">
        <v>521</v>
      </c>
      <c r="B2548" s="5" t="str">
        <f>INDEX('Lineal Mixto'!$C$5:$C$2004,2*A2548-1)</f>
      </c>
      <c r="C2548" s="5" t="str">
        <f>INDEX('Lineal Mixto'!$C$5:$C$2004,2*A2548)</f>
      </c>
      <c r="D2548" s="5" t="str">
        <f>B2548^2+C2548^2</f>
      </c>
      <c r="E2548" s="5" t="str">
        <f>IF(D2548&lt;=1,1,0)</f>
      </c>
    </row>
    <row r="2549">
      <c r="A2549" s="6">
        <v>522</v>
      </c>
      <c r="B2549" s="6" t="str">
        <f>INDEX('Lineal Mixto'!$C$5:$C$2004,2*A2549-1)</f>
      </c>
      <c r="C2549" s="6" t="str">
        <f>INDEX('Lineal Mixto'!$C$5:$C$2004,2*A2549)</f>
      </c>
      <c r="D2549" s="6" t="str">
        <f>B2549^2+C2549^2</f>
      </c>
      <c r="E2549" s="6" t="str">
        <f>IF(D2549&lt;=1,1,0)</f>
      </c>
    </row>
    <row r="2550">
      <c r="A2550" s="5">
        <v>523</v>
      </c>
      <c r="B2550" s="5" t="str">
        <f>INDEX('Lineal Mixto'!$C$5:$C$2004,2*A2550-1)</f>
      </c>
      <c r="C2550" s="5" t="str">
        <f>INDEX('Lineal Mixto'!$C$5:$C$2004,2*A2550)</f>
      </c>
      <c r="D2550" s="5" t="str">
        <f>B2550^2+C2550^2</f>
      </c>
      <c r="E2550" s="5" t="str">
        <f>IF(D2550&lt;=1,1,0)</f>
      </c>
    </row>
    <row r="2551">
      <c r="A2551" s="6">
        <v>524</v>
      </c>
      <c r="B2551" s="6" t="str">
        <f>INDEX('Lineal Mixto'!$C$5:$C$2004,2*A2551-1)</f>
      </c>
      <c r="C2551" s="6" t="str">
        <f>INDEX('Lineal Mixto'!$C$5:$C$2004,2*A2551)</f>
      </c>
      <c r="D2551" s="6" t="str">
        <f>B2551^2+C2551^2</f>
      </c>
      <c r="E2551" s="6" t="str">
        <f>IF(D2551&lt;=1,1,0)</f>
      </c>
    </row>
    <row r="2552">
      <c r="A2552" s="5">
        <v>525</v>
      </c>
      <c r="B2552" s="5" t="str">
        <f>INDEX('Lineal Mixto'!$C$5:$C$2004,2*A2552-1)</f>
      </c>
      <c r="C2552" s="5" t="str">
        <f>INDEX('Lineal Mixto'!$C$5:$C$2004,2*A2552)</f>
      </c>
      <c r="D2552" s="5" t="str">
        <f>B2552^2+C2552^2</f>
      </c>
      <c r="E2552" s="5" t="str">
        <f>IF(D2552&lt;=1,1,0)</f>
      </c>
    </row>
    <row r="2553">
      <c r="A2553" s="6">
        <v>526</v>
      </c>
      <c r="B2553" s="6" t="str">
        <f>INDEX('Lineal Mixto'!$C$5:$C$2004,2*A2553-1)</f>
      </c>
      <c r="C2553" s="6" t="str">
        <f>INDEX('Lineal Mixto'!$C$5:$C$2004,2*A2553)</f>
      </c>
      <c r="D2553" s="6" t="str">
        <f>B2553^2+C2553^2</f>
      </c>
      <c r="E2553" s="6" t="str">
        <f>IF(D2553&lt;=1,1,0)</f>
      </c>
    </row>
    <row r="2554">
      <c r="A2554" s="5">
        <v>527</v>
      </c>
      <c r="B2554" s="5" t="str">
        <f>INDEX('Lineal Mixto'!$C$5:$C$2004,2*A2554-1)</f>
      </c>
      <c r="C2554" s="5" t="str">
        <f>INDEX('Lineal Mixto'!$C$5:$C$2004,2*A2554)</f>
      </c>
      <c r="D2554" s="5" t="str">
        <f>B2554^2+C2554^2</f>
      </c>
      <c r="E2554" s="5" t="str">
        <f>IF(D2554&lt;=1,1,0)</f>
      </c>
    </row>
    <row r="2555">
      <c r="A2555" s="6">
        <v>528</v>
      </c>
      <c r="B2555" s="6" t="str">
        <f>INDEX('Lineal Mixto'!$C$5:$C$2004,2*A2555-1)</f>
      </c>
      <c r="C2555" s="6" t="str">
        <f>INDEX('Lineal Mixto'!$C$5:$C$2004,2*A2555)</f>
      </c>
      <c r="D2555" s="6" t="str">
        <f>B2555^2+C2555^2</f>
      </c>
      <c r="E2555" s="6" t="str">
        <f>IF(D2555&lt;=1,1,0)</f>
      </c>
    </row>
    <row r="2556">
      <c r="A2556" s="5">
        <v>529</v>
      </c>
      <c r="B2556" s="5" t="str">
        <f>INDEX('Lineal Mixto'!$C$5:$C$2004,2*A2556-1)</f>
      </c>
      <c r="C2556" s="5" t="str">
        <f>INDEX('Lineal Mixto'!$C$5:$C$2004,2*A2556)</f>
      </c>
      <c r="D2556" s="5" t="str">
        <f>B2556^2+C2556^2</f>
      </c>
      <c r="E2556" s="5" t="str">
        <f>IF(D2556&lt;=1,1,0)</f>
      </c>
    </row>
    <row r="2557">
      <c r="A2557" s="6">
        <v>530</v>
      </c>
      <c r="B2557" s="6" t="str">
        <f>INDEX('Lineal Mixto'!$C$5:$C$2004,2*A2557-1)</f>
      </c>
      <c r="C2557" s="6" t="str">
        <f>INDEX('Lineal Mixto'!$C$5:$C$2004,2*A2557)</f>
      </c>
      <c r="D2557" s="6" t="str">
        <f>B2557^2+C2557^2</f>
      </c>
      <c r="E2557" s="6" t="str">
        <f>IF(D2557&lt;=1,1,0)</f>
      </c>
    </row>
    <row r="2558">
      <c r="A2558" s="5">
        <v>531</v>
      </c>
      <c r="B2558" s="5" t="str">
        <f>INDEX('Lineal Mixto'!$C$5:$C$2004,2*A2558-1)</f>
      </c>
      <c r="C2558" s="5" t="str">
        <f>INDEX('Lineal Mixto'!$C$5:$C$2004,2*A2558)</f>
      </c>
      <c r="D2558" s="5" t="str">
        <f>B2558^2+C2558^2</f>
      </c>
      <c r="E2558" s="5" t="str">
        <f>IF(D2558&lt;=1,1,0)</f>
      </c>
    </row>
    <row r="2559">
      <c r="A2559" s="6">
        <v>532</v>
      </c>
      <c r="B2559" s="6" t="str">
        <f>INDEX('Lineal Mixto'!$C$5:$C$2004,2*A2559-1)</f>
      </c>
      <c r="C2559" s="6" t="str">
        <f>INDEX('Lineal Mixto'!$C$5:$C$2004,2*A2559)</f>
      </c>
      <c r="D2559" s="6" t="str">
        <f>B2559^2+C2559^2</f>
      </c>
      <c r="E2559" s="6" t="str">
        <f>IF(D2559&lt;=1,1,0)</f>
      </c>
    </row>
    <row r="2560">
      <c r="A2560" s="5">
        <v>533</v>
      </c>
      <c r="B2560" s="5" t="str">
        <f>INDEX('Lineal Mixto'!$C$5:$C$2004,2*A2560-1)</f>
      </c>
      <c r="C2560" s="5" t="str">
        <f>INDEX('Lineal Mixto'!$C$5:$C$2004,2*A2560)</f>
      </c>
      <c r="D2560" s="5" t="str">
        <f>B2560^2+C2560^2</f>
      </c>
      <c r="E2560" s="5" t="str">
        <f>IF(D2560&lt;=1,1,0)</f>
      </c>
    </row>
    <row r="2561">
      <c r="A2561" s="6">
        <v>534</v>
      </c>
      <c r="B2561" s="6" t="str">
        <f>INDEX('Lineal Mixto'!$C$5:$C$2004,2*A2561-1)</f>
      </c>
      <c r="C2561" s="6" t="str">
        <f>INDEX('Lineal Mixto'!$C$5:$C$2004,2*A2561)</f>
      </c>
      <c r="D2561" s="6" t="str">
        <f>B2561^2+C2561^2</f>
      </c>
      <c r="E2561" s="6" t="str">
        <f>IF(D2561&lt;=1,1,0)</f>
      </c>
    </row>
    <row r="2562">
      <c r="A2562" s="5">
        <v>535</v>
      </c>
      <c r="B2562" s="5" t="str">
        <f>INDEX('Lineal Mixto'!$C$5:$C$2004,2*A2562-1)</f>
      </c>
      <c r="C2562" s="5" t="str">
        <f>INDEX('Lineal Mixto'!$C$5:$C$2004,2*A2562)</f>
      </c>
      <c r="D2562" s="5" t="str">
        <f>B2562^2+C2562^2</f>
      </c>
      <c r="E2562" s="5" t="str">
        <f>IF(D2562&lt;=1,1,0)</f>
      </c>
    </row>
    <row r="2563">
      <c r="A2563" s="6">
        <v>536</v>
      </c>
      <c r="B2563" s="6" t="str">
        <f>INDEX('Lineal Mixto'!$C$5:$C$2004,2*A2563-1)</f>
      </c>
      <c r="C2563" s="6" t="str">
        <f>INDEX('Lineal Mixto'!$C$5:$C$2004,2*A2563)</f>
      </c>
      <c r="D2563" s="6" t="str">
        <f>B2563^2+C2563^2</f>
      </c>
      <c r="E2563" s="6" t="str">
        <f>IF(D2563&lt;=1,1,0)</f>
      </c>
    </row>
    <row r="2564">
      <c r="A2564" s="5">
        <v>537</v>
      </c>
      <c r="B2564" s="5" t="str">
        <f>INDEX('Lineal Mixto'!$C$5:$C$2004,2*A2564-1)</f>
      </c>
      <c r="C2564" s="5" t="str">
        <f>INDEX('Lineal Mixto'!$C$5:$C$2004,2*A2564)</f>
      </c>
      <c r="D2564" s="5" t="str">
        <f>B2564^2+C2564^2</f>
      </c>
      <c r="E2564" s="5" t="str">
        <f>IF(D2564&lt;=1,1,0)</f>
      </c>
    </row>
    <row r="2565">
      <c r="A2565" s="6">
        <v>538</v>
      </c>
      <c r="B2565" s="6" t="str">
        <f>INDEX('Lineal Mixto'!$C$5:$C$2004,2*A2565-1)</f>
      </c>
      <c r="C2565" s="6" t="str">
        <f>INDEX('Lineal Mixto'!$C$5:$C$2004,2*A2565)</f>
      </c>
      <c r="D2565" s="6" t="str">
        <f>B2565^2+C2565^2</f>
      </c>
      <c r="E2565" s="6" t="str">
        <f>IF(D2565&lt;=1,1,0)</f>
      </c>
    </row>
    <row r="2566">
      <c r="A2566" s="5">
        <v>539</v>
      </c>
      <c r="B2566" s="5" t="str">
        <f>INDEX('Lineal Mixto'!$C$5:$C$2004,2*A2566-1)</f>
      </c>
      <c r="C2566" s="5" t="str">
        <f>INDEX('Lineal Mixto'!$C$5:$C$2004,2*A2566)</f>
      </c>
      <c r="D2566" s="5" t="str">
        <f>B2566^2+C2566^2</f>
      </c>
      <c r="E2566" s="5" t="str">
        <f>IF(D2566&lt;=1,1,0)</f>
      </c>
    </row>
    <row r="2567">
      <c r="A2567" s="6">
        <v>540</v>
      </c>
      <c r="B2567" s="6" t="str">
        <f>INDEX('Lineal Mixto'!$C$5:$C$2004,2*A2567-1)</f>
      </c>
      <c r="C2567" s="6" t="str">
        <f>INDEX('Lineal Mixto'!$C$5:$C$2004,2*A2567)</f>
      </c>
      <c r="D2567" s="6" t="str">
        <f>B2567^2+C2567^2</f>
      </c>
      <c r="E2567" s="6" t="str">
        <f>IF(D2567&lt;=1,1,0)</f>
      </c>
    </row>
    <row r="2568">
      <c r="A2568" s="5">
        <v>541</v>
      </c>
      <c r="B2568" s="5" t="str">
        <f>INDEX('Lineal Mixto'!$C$5:$C$2004,2*A2568-1)</f>
      </c>
      <c r="C2568" s="5" t="str">
        <f>INDEX('Lineal Mixto'!$C$5:$C$2004,2*A2568)</f>
      </c>
      <c r="D2568" s="5" t="str">
        <f>B2568^2+C2568^2</f>
      </c>
      <c r="E2568" s="5" t="str">
        <f>IF(D2568&lt;=1,1,0)</f>
      </c>
    </row>
    <row r="2569">
      <c r="A2569" s="6">
        <v>542</v>
      </c>
      <c r="B2569" s="6" t="str">
        <f>INDEX('Lineal Mixto'!$C$5:$C$2004,2*A2569-1)</f>
      </c>
      <c r="C2569" s="6" t="str">
        <f>INDEX('Lineal Mixto'!$C$5:$C$2004,2*A2569)</f>
      </c>
      <c r="D2569" s="6" t="str">
        <f>B2569^2+C2569^2</f>
      </c>
      <c r="E2569" s="6" t="str">
        <f>IF(D2569&lt;=1,1,0)</f>
      </c>
    </row>
    <row r="2570">
      <c r="A2570" s="5">
        <v>543</v>
      </c>
      <c r="B2570" s="5" t="str">
        <f>INDEX('Lineal Mixto'!$C$5:$C$2004,2*A2570-1)</f>
      </c>
      <c r="C2570" s="5" t="str">
        <f>INDEX('Lineal Mixto'!$C$5:$C$2004,2*A2570)</f>
      </c>
      <c r="D2570" s="5" t="str">
        <f>B2570^2+C2570^2</f>
      </c>
      <c r="E2570" s="5" t="str">
        <f>IF(D2570&lt;=1,1,0)</f>
      </c>
    </row>
    <row r="2571">
      <c r="A2571" s="6">
        <v>544</v>
      </c>
      <c r="B2571" s="6" t="str">
        <f>INDEX('Lineal Mixto'!$C$5:$C$2004,2*A2571-1)</f>
      </c>
      <c r="C2571" s="6" t="str">
        <f>INDEX('Lineal Mixto'!$C$5:$C$2004,2*A2571)</f>
      </c>
      <c r="D2571" s="6" t="str">
        <f>B2571^2+C2571^2</f>
      </c>
      <c r="E2571" s="6" t="str">
        <f>IF(D2571&lt;=1,1,0)</f>
      </c>
    </row>
    <row r="2572">
      <c r="A2572" s="5">
        <v>545</v>
      </c>
      <c r="B2572" s="5" t="str">
        <f>INDEX('Lineal Mixto'!$C$5:$C$2004,2*A2572-1)</f>
      </c>
      <c r="C2572" s="5" t="str">
        <f>INDEX('Lineal Mixto'!$C$5:$C$2004,2*A2572)</f>
      </c>
      <c r="D2572" s="5" t="str">
        <f>B2572^2+C2572^2</f>
      </c>
      <c r="E2572" s="5" t="str">
        <f>IF(D2572&lt;=1,1,0)</f>
      </c>
    </row>
    <row r="2573">
      <c r="A2573" s="6">
        <v>546</v>
      </c>
      <c r="B2573" s="6" t="str">
        <f>INDEX('Lineal Mixto'!$C$5:$C$2004,2*A2573-1)</f>
      </c>
      <c r="C2573" s="6" t="str">
        <f>INDEX('Lineal Mixto'!$C$5:$C$2004,2*A2573)</f>
      </c>
      <c r="D2573" s="6" t="str">
        <f>B2573^2+C2573^2</f>
      </c>
      <c r="E2573" s="6" t="str">
        <f>IF(D2573&lt;=1,1,0)</f>
      </c>
    </row>
    <row r="2574">
      <c r="A2574" s="5">
        <v>547</v>
      </c>
      <c r="B2574" s="5" t="str">
        <f>INDEX('Lineal Mixto'!$C$5:$C$2004,2*A2574-1)</f>
      </c>
      <c r="C2574" s="5" t="str">
        <f>INDEX('Lineal Mixto'!$C$5:$C$2004,2*A2574)</f>
      </c>
      <c r="D2574" s="5" t="str">
        <f>B2574^2+C2574^2</f>
      </c>
      <c r="E2574" s="5" t="str">
        <f>IF(D2574&lt;=1,1,0)</f>
      </c>
    </row>
    <row r="2575">
      <c r="A2575" s="6">
        <v>548</v>
      </c>
      <c r="B2575" s="6" t="str">
        <f>INDEX('Lineal Mixto'!$C$5:$C$2004,2*A2575-1)</f>
      </c>
      <c r="C2575" s="6" t="str">
        <f>INDEX('Lineal Mixto'!$C$5:$C$2004,2*A2575)</f>
      </c>
      <c r="D2575" s="6" t="str">
        <f>B2575^2+C2575^2</f>
      </c>
      <c r="E2575" s="6" t="str">
        <f>IF(D2575&lt;=1,1,0)</f>
      </c>
    </row>
    <row r="2576">
      <c r="A2576" s="5">
        <v>549</v>
      </c>
      <c r="B2576" s="5" t="str">
        <f>INDEX('Lineal Mixto'!$C$5:$C$2004,2*A2576-1)</f>
      </c>
      <c r="C2576" s="5" t="str">
        <f>INDEX('Lineal Mixto'!$C$5:$C$2004,2*A2576)</f>
      </c>
      <c r="D2576" s="5" t="str">
        <f>B2576^2+C2576^2</f>
      </c>
      <c r="E2576" s="5" t="str">
        <f>IF(D2576&lt;=1,1,0)</f>
      </c>
    </row>
    <row r="2577">
      <c r="A2577" s="6">
        <v>550</v>
      </c>
      <c r="B2577" s="6" t="str">
        <f>INDEX('Lineal Mixto'!$C$5:$C$2004,2*A2577-1)</f>
      </c>
      <c r="C2577" s="6" t="str">
        <f>INDEX('Lineal Mixto'!$C$5:$C$2004,2*A2577)</f>
      </c>
      <c r="D2577" s="6" t="str">
        <f>B2577^2+C2577^2</f>
      </c>
      <c r="E2577" s="6" t="str">
        <f>IF(D2577&lt;=1,1,0)</f>
      </c>
    </row>
    <row r="2578">
      <c r="A2578" s="5">
        <v>551</v>
      </c>
      <c r="B2578" s="5" t="str">
        <f>INDEX('Lineal Mixto'!$C$5:$C$2004,2*A2578-1)</f>
      </c>
      <c r="C2578" s="5" t="str">
        <f>INDEX('Lineal Mixto'!$C$5:$C$2004,2*A2578)</f>
      </c>
      <c r="D2578" s="5" t="str">
        <f>B2578^2+C2578^2</f>
      </c>
      <c r="E2578" s="5" t="str">
        <f>IF(D2578&lt;=1,1,0)</f>
      </c>
    </row>
    <row r="2579">
      <c r="A2579" s="6">
        <v>552</v>
      </c>
      <c r="B2579" s="6" t="str">
        <f>INDEX('Lineal Mixto'!$C$5:$C$2004,2*A2579-1)</f>
      </c>
      <c r="C2579" s="6" t="str">
        <f>INDEX('Lineal Mixto'!$C$5:$C$2004,2*A2579)</f>
      </c>
      <c r="D2579" s="6" t="str">
        <f>B2579^2+C2579^2</f>
      </c>
      <c r="E2579" s="6" t="str">
        <f>IF(D2579&lt;=1,1,0)</f>
      </c>
    </row>
    <row r="2580">
      <c r="A2580" s="5">
        <v>553</v>
      </c>
      <c r="B2580" s="5" t="str">
        <f>INDEX('Lineal Mixto'!$C$5:$C$2004,2*A2580-1)</f>
      </c>
      <c r="C2580" s="5" t="str">
        <f>INDEX('Lineal Mixto'!$C$5:$C$2004,2*A2580)</f>
      </c>
      <c r="D2580" s="5" t="str">
        <f>B2580^2+C2580^2</f>
      </c>
      <c r="E2580" s="5" t="str">
        <f>IF(D2580&lt;=1,1,0)</f>
      </c>
    </row>
    <row r="2581">
      <c r="A2581" s="6">
        <v>554</v>
      </c>
      <c r="B2581" s="6" t="str">
        <f>INDEX('Lineal Mixto'!$C$5:$C$2004,2*A2581-1)</f>
      </c>
      <c r="C2581" s="6" t="str">
        <f>INDEX('Lineal Mixto'!$C$5:$C$2004,2*A2581)</f>
      </c>
      <c r="D2581" s="6" t="str">
        <f>B2581^2+C2581^2</f>
      </c>
      <c r="E2581" s="6" t="str">
        <f>IF(D2581&lt;=1,1,0)</f>
      </c>
    </row>
    <row r="2582">
      <c r="A2582" s="5">
        <v>555</v>
      </c>
      <c r="B2582" s="5" t="str">
        <f>INDEX('Lineal Mixto'!$C$5:$C$2004,2*A2582-1)</f>
      </c>
      <c r="C2582" s="5" t="str">
        <f>INDEX('Lineal Mixto'!$C$5:$C$2004,2*A2582)</f>
      </c>
      <c r="D2582" s="5" t="str">
        <f>B2582^2+C2582^2</f>
      </c>
      <c r="E2582" s="5" t="str">
        <f>IF(D2582&lt;=1,1,0)</f>
      </c>
    </row>
    <row r="2583">
      <c r="A2583" s="6">
        <v>556</v>
      </c>
      <c r="B2583" s="6" t="str">
        <f>INDEX('Lineal Mixto'!$C$5:$C$2004,2*A2583-1)</f>
      </c>
      <c r="C2583" s="6" t="str">
        <f>INDEX('Lineal Mixto'!$C$5:$C$2004,2*A2583)</f>
      </c>
      <c r="D2583" s="6" t="str">
        <f>B2583^2+C2583^2</f>
      </c>
      <c r="E2583" s="6" t="str">
        <f>IF(D2583&lt;=1,1,0)</f>
      </c>
    </row>
    <row r="2584">
      <c r="A2584" s="5">
        <v>557</v>
      </c>
      <c r="B2584" s="5" t="str">
        <f>INDEX('Lineal Mixto'!$C$5:$C$2004,2*A2584-1)</f>
      </c>
      <c r="C2584" s="5" t="str">
        <f>INDEX('Lineal Mixto'!$C$5:$C$2004,2*A2584)</f>
      </c>
      <c r="D2584" s="5" t="str">
        <f>B2584^2+C2584^2</f>
      </c>
      <c r="E2584" s="5" t="str">
        <f>IF(D2584&lt;=1,1,0)</f>
      </c>
    </row>
    <row r="2585">
      <c r="A2585" s="6">
        <v>558</v>
      </c>
      <c r="B2585" s="6" t="str">
        <f>INDEX('Lineal Mixto'!$C$5:$C$2004,2*A2585-1)</f>
      </c>
      <c r="C2585" s="6" t="str">
        <f>INDEX('Lineal Mixto'!$C$5:$C$2004,2*A2585)</f>
      </c>
      <c r="D2585" s="6" t="str">
        <f>B2585^2+C2585^2</f>
      </c>
      <c r="E2585" s="6" t="str">
        <f>IF(D2585&lt;=1,1,0)</f>
      </c>
    </row>
    <row r="2586">
      <c r="A2586" s="5">
        <v>559</v>
      </c>
      <c r="B2586" s="5" t="str">
        <f>INDEX('Lineal Mixto'!$C$5:$C$2004,2*A2586-1)</f>
      </c>
      <c r="C2586" s="5" t="str">
        <f>INDEX('Lineal Mixto'!$C$5:$C$2004,2*A2586)</f>
      </c>
      <c r="D2586" s="5" t="str">
        <f>B2586^2+C2586^2</f>
      </c>
      <c r="E2586" s="5" t="str">
        <f>IF(D2586&lt;=1,1,0)</f>
      </c>
    </row>
    <row r="2587">
      <c r="A2587" s="6">
        <v>560</v>
      </c>
      <c r="B2587" s="6" t="str">
        <f>INDEX('Lineal Mixto'!$C$5:$C$2004,2*A2587-1)</f>
      </c>
      <c r="C2587" s="6" t="str">
        <f>INDEX('Lineal Mixto'!$C$5:$C$2004,2*A2587)</f>
      </c>
      <c r="D2587" s="6" t="str">
        <f>B2587^2+C2587^2</f>
      </c>
      <c r="E2587" s="6" t="str">
        <f>IF(D2587&lt;=1,1,0)</f>
      </c>
    </row>
    <row r="2588">
      <c r="A2588" s="5">
        <v>561</v>
      </c>
      <c r="B2588" s="5" t="str">
        <f>INDEX('Lineal Mixto'!$C$5:$C$2004,2*A2588-1)</f>
      </c>
      <c r="C2588" s="5" t="str">
        <f>INDEX('Lineal Mixto'!$C$5:$C$2004,2*A2588)</f>
      </c>
      <c r="D2588" s="5" t="str">
        <f>B2588^2+C2588^2</f>
      </c>
      <c r="E2588" s="5" t="str">
        <f>IF(D2588&lt;=1,1,0)</f>
      </c>
    </row>
    <row r="2589">
      <c r="A2589" s="6">
        <v>562</v>
      </c>
      <c r="B2589" s="6" t="str">
        <f>INDEX('Lineal Mixto'!$C$5:$C$2004,2*A2589-1)</f>
      </c>
      <c r="C2589" s="6" t="str">
        <f>INDEX('Lineal Mixto'!$C$5:$C$2004,2*A2589)</f>
      </c>
      <c r="D2589" s="6" t="str">
        <f>B2589^2+C2589^2</f>
      </c>
      <c r="E2589" s="6" t="str">
        <f>IF(D2589&lt;=1,1,0)</f>
      </c>
    </row>
    <row r="2590">
      <c r="A2590" s="5">
        <v>563</v>
      </c>
      <c r="B2590" s="5" t="str">
        <f>INDEX('Lineal Mixto'!$C$5:$C$2004,2*A2590-1)</f>
      </c>
      <c r="C2590" s="5" t="str">
        <f>INDEX('Lineal Mixto'!$C$5:$C$2004,2*A2590)</f>
      </c>
      <c r="D2590" s="5" t="str">
        <f>B2590^2+C2590^2</f>
      </c>
      <c r="E2590" s="5" t="str">
        <f>IF(D2590&lt;=1,1,0)</f>
      </c>
    </row>
    <row r="2591">
      <c r="A2591" s="6">
        <v>564</v>
      </c>
      <c r="B2591" s="6" t="str">
        <f>INDEX('Lineal Mixto'!$C$5:$C$2004,2*A2591-1)</f>
      </c>
      <c r="C2591" s="6" t="str">
        <f>INDEX('Lineal Mixto'!$C$5:$C$2004,2*A2591)</f>
      </c>
      <c r="D2591" s="6" t="str">
        <f>B2591^2+C2591^2</f>
      </c>
      <c r="E2591" s="6" t="str">
        <f>IF(D2591&lt;=1,1,0)</f>
      </c>
    </row>
    <row r="2592">
      <c r="A2592" s="5">
        <v>565</v>
      </c>
      <c r="B2592" s="5" t="str">
        <f>INDEX('Lineal Mixto'!$C$5:$C$2004,2*A2592-1)</f>
      </c>
      <c r="C2592" s="5" t="str">
        <f>INDEX('Lineal Mixto'!$C$5:$C$2004,2*A2592)</f>
      </c>
      <c r="D2592" s="5" t="str">
        <f>B2592^2+C2592^2</f>
      </c>
      <c r="E2592" s="5" t="str">
        <f>IF(D2592&lt;=1,1,0)</f>
      </c>
    </row>
    <row r="2593">
      <c r="A2593" s="6">
        <v>566</v>
      </c>
      <c r="B2593" s="6" t="str">
        <f>INDEX('Lineal Mixto'!$C$5:$C$2004,2*A2593-1)</f>
      </c>
      <c r="C2593" s="6" t="str">
        <f>INDEX('Lineal Mixto'!$C$5:$C$2004,2*A2593)</f>
      </c>
      <c r="D2593" s="6" t="str">
        <f>B2593^2+C2593^2</f>
      </c>
      <c r="E2593" s="6" t="str">
        <f>IF(D2593&lt;=1,1,0)</f>
      </c>
    </row>
    <row r="2594">
      <c r="A2594" s="5">
        <v>567</v>
      </c>
      <c r="B2594" s="5" t="str">
        <f>INDEX('Lineal Mixto'!$C$5:$C$2004,2*A2594-1)</f>
      </c>
      <c r="C2594" s="5" t="str">
        <f>INDEX('Lineal Mixto'!$C$5:$C$2004,2*A2594)</f>
      </c>
      <c r="D2594" s="5" t="str">
        <f>B2594^2+C2594^2</f>
      </c>
      <c r="E2594" s="5" t="str">
        <f>IF(D2594&lt;=1,1,0)</f>
      </c>
    </row>
    <row r="2595">
      <c r="A2595" s="6">
        <v>568</v>
      </c>
      <c r="B2595" s="6" t="str">
        <f>INDEX('Lineal Mixto'!$C$5:$C$2004,2*A2595-1)</f>
      </c>
      <c r="C2595" s="6" t="str">
        <f>INDEX('Lineal Mixto'!$C$5:$C$2004,2*A2595)</f>
      </c>
      <c r="D2595" s="6" t="str">
        <f>B2595^2+C2595^2</f>
      </c>
      <c r="E2595" s="6" t="str">
        <f>IF(D2595&lt;=1,1,0)</f>
      </c>
    </row>
    <row r="2596">
      <c r="A2596" s="5">
        <v>569</v>
      </c>
      <c r="B2596" s="5" t="str">
        <f>INDEX('Lineal Mixto'!$C$5:$C$2004,2*A2596-1)</f>
      </c>
      <c r="C2596" s="5" t="str">
        <f>INDEX('Lineal Mixto'!$C$5:$C$2004,2*A2596)</f>
      </c>
      <c r="D2596" s="5" t="str">
        <f>B2596^2+C2596^2</f>
      </c>
      <c r="E2596" s="5" t="str">
        <f>IF(D2596&lt;=1,1,0)</f>
      </c>
    </row>
    <row r="2597">
      <c r="A2597" s="6">
        <v>570</v>
      </c>
      <c r="B2597" s="6" t="str">
        <f>INDEX('Lineal Mixto'!$C$5:$C$2004,2*A2597-1)</f>
      </c>
      <c r="C2597" s="6" t="str">
        <f>INDEX('Lineal Mixto'!$C$5:$C$2004,2*A2597)</f>
      </c>
      <c r="D2597" s="6" t="str">
        <f>B2597^2+C2597^2</f>
      </c>
      <c r="E2597" s="6" t="str">
        <f>IF(D2597&lt;=1,1,0)</f>
      </c>
    </row>
    <row r="2598">
      <c r="A2598" s="5">
        <v>571</v>
      </c>
      <c r="B2598" s="5" t="str">
        <f>INDEX('Lineal Mixto'!$C$5:$C$2004,2*A2598-1)</f>
      </c>
      <c r="C2598" s="5" t="str">
        <f>INDEX('Lineal Mixto'!$C$5:$C$2004,2*A2598)</f>
      </c>
      <c r="D2598" s="5" t="str">
        <f>B2598^2+C2598^2</f>
      </c>
      <c r="E2598" s="5" t="str">
        <f>IF(D2598&lt;=1,1,0)</f>
      </c>
    </row>
    <row r="2599">
      <c r="A2599" s="6">
        <v>572</v>
      </c>
      <c r="B2599" s="6" t="str">
        <f>INDEX('Lineal Mixto'!$C$5:$C$2004,2*A2599-1)</f>
      </c>
      <c r="C2599" s="6" t="str">
        <f>INDEX('Lineal Mixto'!$C$5:$C$2004,2*A2599)</f>
      </c>
      <c r="D2599" s="6" t="str">
        <f>B2599^2+C2599^2</f>
      </c>
      <c r="E2599" s="6" t="str">
        <f>IF(D2599&lt;=1,1,0)</f>
      </c>
    </row>
    <row r="2600">
      <c r="A2600" s="5">
        <v>573</v>
      </c>
      <c r="B2600" s="5" t="str">
        <f>INDEX('Lineal Mixto'!$C$5:$C$2004,2*A2600-1)</f>
      </c>
      <c r="C2600" s="5" t="str">
        <f>INDEX('Lineal Mixto'!$C$5:$C$2004,2*A2600)</f>
      </c>
      <c r="D2600" s="5" t="str">
        <f>B2600^2+C2600^2</f>
      </c>
      <c r="E2600" s="5" t="str">
        <f>IF(D2600&lt;=1,1,0)</f>
      </c>
    </row>
    <row r="2601">
      <c r="A2601" s="6">
        <v>574</v>
      </c>
      <c r="B2601" s="6" t="str">
        <f>INDEX('Lineal Mixto'!$C$5:$C$2004,2*A2601-1)</f>
      </c>
      <c r="C2601" s="6" t="str">
        <f>INDEX('Lineal Mixto'!$C$5:$C$2004,2*A2601)</f>
      </c>
      <c r="D2601" s="6" t="str">
        <f>B2601^2+C2601^2</f>
      </c>
      <c r="E2601" s="6" t="str">
        <f>IF(D2601&lt;=1,1,0)</f>
      </c>
    </row>
    <row r="2602">
      <c r="A2602" s="5">
        <v>575</v>
      </c>
      <c r="B2602" s="5" t="str">
        <f>INDEX('Lineal Mixto'!$C$5:$C$2004,2*A2602-1)</f>
      </c>
      <c r="C2602" s="5" t="str">
        <f>INDEX('Lineal Mixto'!$C$5:$C$2004,2*A2602)</f>
      </c>
      <c r="D2602" s="5" t="str">
        <f>B2602^2+C2602^2</f>
      </c>
      <c r="E2602" s="5" t="str">
        <f>IF(D2602&lt;=1,1,0)</f>
      </c>
    </row>
    <row r="2603">
      <c r="A2603" s="6">
        <v>576</v>
      </c>
      <c r="B2603" s="6" t="str">
        <f>INDEX('Lineal Mixto'!$C$5:$C$2004,2*A2603-1)</f>
      </c>
      <c r="C2603" s="6" t="str">
        <f>INDEX('Lineal Mixto'!$C$5:$C$2004,2*A2603)</f>
      </c>
      <c r="D2603" s="6" t="str">
        <f>B2603^2+C2603^2</f>
      </c>
      <c r="E2603" s="6" t="str">
        <f>IF(D2603&lt;=1,1,0)</f>
      </c>
    </row>
    <row r="2604">
      <c r="A2604" s="5">
        <v>577</v>
      </c>
      <c r="B2604" s="5" t="str">
        <f>INDEX('Lineal Mixto'!$C$5:$C$2004,2*A2604-1)</f>
      </c>
      <c r="C2604" s="5" t="str">
        <f>INDEX('Lineal Mixto'!$C$5:$C$2004,2*A2604)</f>
      </c>
      <c r="D2604" s="5" t="str">
        <f>B2604^2+C2604^2</f>
      </c>
      <c r="E2604" s="5" t="str">
        <f>IF(D2604&lt;=1,1,0)</f>
      </c>
    </row>
    <row r="2605">
      <c r="A2605" s="6">
        <v>578</v>
      </c>
      <c r="B2605" s="6" t="str">
        <f>INDEX('Lineal Mixto'!$C$5:$C$2004,2*A2605-1)</f>
      </c>
      <c r="C2605" s="6" t="str">
        <f>INDEX('Lineal Mixto'!$C$5:$C$2004,2*A2605)</f>
      </c>
      <c r="D2605" s="6" t="str">
        <f>B2605^2+C2605^2</f>
      </c>
      <c r="E2605" s="6" t="str">
        <f>IF(D2605&lt;=1,1,0)</f>
      </c>
    </row>
    <row r="2606">
      <c r="A2606" s="5">
        <v>579</v>
      </c>
      <c r="B2606" s="5" t="str">
        <f>INDEX('Lineal Mixto'!$C$5:$C$2004,2*A2606-1)</f>
      </c>
      <c r="C2606" s="5" t="str">
        <f>INDEX('Lineal Mixto'!$C$5:$C$2004,2*A2606)</f>
      </c>
      <c r="D2606" s="5" t="str">
        <f>B2606^2+C2606^2</f>
      </c>
      <c r="E2606" s="5" t="str">
        <f>IF(D2606&lt;=1,1,0)</f>
      </c>
    </row>
    <row r="2607">
      <c r="A2607" s="6">
        <v>580</v>
      </c>
      <c r="B2607" s="6" t="str">
        <f>INDEX('Lineal Mixto'!$C$5:$C$2004,2*A2607-1)</f>
      </c>
      <c r="C2607" s="6" t="str">
        <f>INDEX('Lineal Mixto'!$C$5:$C$2004,2*A2607)</f>
      </c>
      <c r="D2607" s="6" t="str">
        <f>B2607^2+C2607^2</f>
      </c>
      <c r="E2607" s="6" t="str">
        <f>IF(D2607&lt;=1,1,0)</f>
      </c>
    </row>
    <row r="2608">
      <c r="A2608" s="5">
        <v>581</v>
      </c>
      <c r="B2608" s="5" t="str">
        <f>INDEX('Lineal Mixto'!$C$5:$C$2004,2*A2608-1)</f>
      </c>
      <c r="C2608" s="5" t="str">
        <f>INDEX('Lineal Mixto'!$C$5:$C$2004,2*A2608)</f>
      </c>
      <c r="D2608" s="5" t="str">
        <f>B2608^2+C2608^2</f>
      </c>
      <c r="E2608" s="5" t="str">
        <f>IF(D2608&lt;=1,1,0)</f>
      </c>
    </row>
    <row r="2609">
      <c r="A2609" s="6">
        <v>582</v>
      </c>
      <c r="B2609" s="6" t="str">
        <f>INDEX('Lineal Mixto'!$C$5:$C$2004,2*A2609-1)</f>
      </c>
      <c r="C2609" s="6" t="str">
        <f>INDEX('Lineal Mixto'!$C$5:$C$2004,2*A2609)</f>
      </c>
      <c r="D2609" s="6" t="str">
        <f>B2609^2+C2609^2</f>
      </c>
      <c r="E2609" s="6" t="str">
        <f>IF(D2609&lt;=1,1,0)</f>
      </c>
    </row>
    <row r="2610">
      <c r="A2610" s="5">
        <v>583</v>
      </c>
      <c r="B2610" s="5" t="str">
        <f>INDEX('Lineal Mixto'!$C$5:$C$2004,2*A2610-1)</f>
      </c>
      <c r="C2610" s="5" t="str">
        <f>INDEX('Lineal Mixto'!$C$5:$C$2004,2*A2610)</f>
      </c>
      <c r="D2610" s="5" t="str">
        <f>B2610^2+C2610^2</f>
      </c>
      <c r="E2610" s="5" t="str">
        <f>IF(D2610&lt;=1,1,0)</f>
      </c>
    </row>
    <row r="2611">
      <c r="A2611" s="6">
        <v>584</v>
      </c>
      <c r="B2611" s="6" t="str">
        <f>INDEX('Lineal Mixto'!$C$5:$C$2004,2*A2611-1)</f>
      </c>
      <c r="C2611" s="6" t="str">
        <f>INDEX('Lineal Mixto'!$C$5:$C$2004,2*A2611)</f>
      </c>
      <c r="D2611" s="6" t="str">
        <f>B2611^2+C2611^2</f>
      </c>
      <c r="E2611" s="6" t="str">
        <f>IF(D2611&lt;=1,1,0)</f>
      </c>
    </row>
    <row r="2612">
      <c r="A2612" s="5">
        <v>585</v>
      </c>
      <c r="B2612" s="5" t="str">
        <f>INDEX('Lineal Mixto'!$C$5:$C$2004,2*A2612-1)</f>
      </c>
      <c r="C2612" s="5" t="str">
        <f>INDEX('Lineal Mixto'!$C$5:$C$2004,2*A2612)</f>
      </c>
      <c r="D2612" s="5" t="str">
        <f>B2612^2+C2612^2</f>
      </c>
      <c r="E2612" s="5" t="str">
        <f>IF(D2612&lt;=1,1,0)</f>
      </c>
    </row>
    <row r="2613">
      <c r="A2613" s="6">
        <v>586</v>
      </c>
      <c r="B2613" s="6" t="str">
        <f>INDEX('Lineal Mixto'!$C$5:$C$2004,2*A2613-1)</f>
      </c>
      <c r="C2613" s="6" t="str">
        <f>INDEX('Lineal Mixto'!$C$5:$C$2004,2*A2613)</f>
      </c>
      <c r="D2613" s="6" t="str">
        <f>B2613^2+C2613^2</f>
      </c>
      <c r="E2613" s="6" t="str">
        <f>IF(D2613&lt;=1,1,0)</f>
      </c>
    </row>
    <row r="2614">
      <c r="A2614" s="5">
        <v>587</v>
      </c>
      <c r="B2614" s="5" t="str">
        <f>INDEX('Lineal Mixto'!$C$5:$C$2004,2*A2614-1)</f>
      </c>
      <c r="C2614" s="5" t="str">
        <f>INDEX('Lineal Mixto'!$C$5:$C$2004,2*A2614)</f>
      </c>
      <c r="D2614" s="5" t="str">
        <f>B2614^2+C2614^2</f>
      </c>
      <c r="E2614" s="5" t="str">
        <f>IF(D2614&lt;=1,1,0)</f>
      </c>
    </row>
    <row r="2615">
      <c r="A2615" s="6">
        <v>588</v>
      </c>
      <c r="B2615" s="6" t="str">
        <f>INDEX('Lineal Mixto'!$C$5:$C$2004,2*A2615-1)</f>
      </c>
      <c r="C2615" s="6" t="str">
        <f>INDEX('Lineal Mixto'!$C$5:$C$2004,2*A2615)</f>
      </c>
      <c r="D2615" s="6" t="str">
        <f>B2615^2+C2615^2</f>
      </c>
      <c r="E2615" s="6" t="str">
        <f>IF(D2615&lt;=1,1,0)</f>
      </c>
    </row>
    <row r="2616">
      <c r="A2616" s="5">
        <v>589</v>
      </c>
      <c r="B2616" s="5" t="str">
        <f>INDEX('Lineal Mixto'!$C$5:$C$2004,2*A2616-1)</f>
      </c>
      <c r="C2616" s="5" t="str">
        <f>INDEX('Lineal Mixto'!$C$5:$C$2004,2*A2616)</f>
      </c>
      <c r="D2616" s="5" t="str">
        <f>B2616^2+C2616^2</f>
      </c>
      <c r="E2616" s="5" t="str">
        <f>IF(D2616&lt;=1,1,0)</f>
      </c>
    </row>
    <row r="2617">
      <c r="A2617" s="6">
        <v>590</v>
      </c>
      <c r="B2617" s="6" t="str">
        <f>INDEX('Lineal Mixto'!$C$5:$C$2004,2*A2617-1)</f>
      </c>
      <c r="C2617" s="6" t="str">
        <f>INDEX('Lineal Mixto'!$C$5:$C$2004,2*A2617)</f>
      </c>
      <c r="D2617" s="6" t="str">
        <f>B2617^2+C2617^2</f>
      </c>
      <c r="E2617" s="6" t="str">
        <f>IF(D2617&lt;=1,1,0)</f>
      </c>
    </row>
    <row r="2618">
      <c r="A2618" s="5">
        <v>591</v>
      </c>
      <c r="B2618" s="5" t="str">
        <f>INDEX('Lineal Mixto'!$C$5:$C$2004,2*A2618-1)</f>
      </c>
      <c r="C2618" s="5" t="str">
        <f>INDEX('Lineal Mixto'!$C$5:$C$2004,2*A2618)</f>
      </c>
      <c r="D2618" s="5" t="str">
        <f>B2618^2+C2618^2</f>
      </c>
      <c r="E2618" s="5" t="str">
        <f>IF(D2618&lt;=1,1,0)</f>
      </c>
    </row>
    <row r="2619">
      <c r="A2619" s="6">
        <v>592</v>
      </c>
      <c r="B2619" s="6" t="str">
        <f>INDEX('Lineal Mixto'!$C$5:$C$2004,2*A2619-1)</f>
      </c>
      <c r="C2619" s="6" t="str">
        <f>INDEX('Lineal Mixto'!$C$5:$C$2004,2*A2619)</f>
      </c>
      <c r="D2619" s="6" t="str">
        <f>B2619^2+C2619^2</f>
      </c>
      <c r="E2619" s="6" t="str">
        <f>IF(D2619&lt;=1,1,0)</f>
      </c>
    </row>
    <row r="2620">
      <c r="A2620" s="5">
        <v>593</v>
      </c>
      <c r="B2620" s="5" t="str">
        <f>INDEX('Lineal Mixto'!$C$5:$C$2004,2*A2620-1)</f>
      </c>
      <c r="C2620" s="5" t="str">
        <f>INDEX('Lineal Mixto'!$C$5:$C$2004,2*A2620)</f>
      </c>
      <c r="D2620" s="5" t="str">
        <f>B2620^2+C2620^2</f>
      </c>
      <c r="E2620" s="5" t="str">
        <f>IF(D2620&lt;=1,1,0)</f>
      </c>
    </row>
    <row r="2621">
      <c r="A2621" s="6">
        <v>594</v>
      </c>
      <c r="B2621" s="6" t="str">
        <f>INDEX('Lineal Mixto'!$C$5:$C$2004,2*A2621-1)</f>
      </c>
      <c r="C2621" s="6" t="str">
        <f>INDEX('Lineal Mixto'!$C$5:$C$2004,2*A2621)</f>
      </c>
      <c r="D2621" s="6" t="str">
        <f>B2621^2+C2621^2</f>
      </c>
      <c r="E2621" s="6" t="str">
        <f>IF(D2621&lt;=1,1,0)</f>
      </c>
    </row>
    <row r="2622">
      <c r="A2622" s="5">
        <v>595</v>
      </c>
      <c r="B2622" s="5" t="str">
        <f>INDEX('Lineal Mixto'!$C$5:$C$2004,2*A2622-1)</f>
      </c>
      <c r="C2622" s="5" t="str">
        <f>INDEX('Lineal Mixto'!$C$5:$C$2004,2*A2622)</f>
      </c>
      <c r="D2622" s="5" t="str">
        <f>B2622^2+C2622^2</f>
      </c>
      <c r="E2622" s="5" t="str">
        <f>IF(D2622&lt;=1,1,0)</f>
      </c>
    </row>
    <row r="2623">
      <c r="A2623" s="6">
        <v>596</v>
      </c>
      <c r="B2623" s="6" t="str">
        <f>INDEX('Lineal Mixto'!$C$5:$C$2004,2*A2623-1)</f>
      </c>
      <c r="C2623" s="6" t="str">
        <f>INDEX('Lineal Mixto'!$C$5:$C$2004,2*A2623)</f>
      </c>
      <c r="D2623" s="6" t="str">
        <f>B2623^2+C2623^2</f>
      </c>
      <c r="E2623" s="6" t="str">
        <f>IF(D2623&lt;=1,1,0)</f>
      </c>
    </row>
    <row r="2624">
      <c r="A2624" s="5">
        <v>597</v>
      </c>
      <c r="B2624" s="5" t="str">
        <f>INDEX('Lineal Mixto'!$C$5:$C$2004,2*A2624-1)</f>
      </c>
      <c r="C2624" s="5" t="str">
        <f>INDEX('Lineal Mixto'!$C$5:$C$2004,2*A2624)</f>
      </c>
      <c r="D2624" s="5" t="str">
        <f>B2624^2+C2624^2</f>
      </c>
      <c r="E2624" s="5" t="str">
        <f>IF(D2624&lt;=1,1,0)</f>
      </c>
    </row>
    <row r="2625">
      <c r="A2625" s="6">
        <v>598</v>
      </c>
      <c r="B2625" s="6" t="str">
        <f>INDEX('Lineal Mixto'!$C$5:$C$2004,2*A2625-1)</f>
      </c>
      <c r="C2625" s="6" t="str">
        <f>INDEX('Lineal Mixto'!$C$5:$C$2004,2*A2625)</f>
      </c>
      <c r="D2625" s="6" t="str">
        <f>B2625^2+C2625^2</f>
      </c>
      <c r="E2625" s="6" t="str">
        <f>IF(D2625&lt;=1,1,0)</f>
      </c>
    </row>
    <row r="2626">
      <c r="A2626" s="5">
        <v>599</v>
      </c>
      <c r="B2626" s="5" t="str">
        <f>INDEX('Lineal Mixto'!$C$5:$C$2004,2*A2626-1)</f>
      </c>
      <c r="C2626" s="5" t="str">
        <f>INDEX('Lineal Mixto'!$C$5:$C$2004,2*A2626)</f>
      </c>
      <c r="D2626" s="5" t="str">
        <f>B2626^2+C2626^2</f>
      </c>
      <c r="E2626" s="5" t="str">
        <f>IF(D2626&lt;=1,1,0)</f>
      </c>
    </row>
    <row r="2627">
      <c r="A2627" s="6">
        <v>600</v>
      </c>
      <c r="B2627" s="6" t="str">
        <f>INDEX('Lineal Mixto'!$C$5:$C$2004,2*A2627-1)</f>
      </c>
      <c r="C2627" s="6" t="str">
        <f>INDEX('Lineal Mixto'!$C$5:$C$2004,2*A2627)</f>
      </c>
      <c r="D2627" s="6" t="str">
        <f>B2627^2+C2627^2</f>
      </c>
      <c r="E2627" s="6" t="str">
        <f>IF(D2627&lt;=1,1,0)</f>
      </c>
    </row>
    <row r="2628">
      <c r="A2628" s="5">
        <v>601</v>
      </c>
      <c r="B2628" s="5" t="str">
        <f>INDEX('Lineal Mixto'!$C$5:$C$2004,2*A2628-1)</f>
      </c>
      <c r="C2628" s="5" t="str">
        <f>INDEX('Lineal Mixto'!$C$5:$C$2004,2*A2628)</f>
      </c>
      <c r="D2628" s="5" t="str">
        <f>B2628^2+C2628^2</f>
      </c>
      <c r="E2628" s="5" t="str">
        <f>IF(D2628&lt;=1,1,0)</f>
      </c>
    </row>
    <row r="2629">
      <c r="A2629" s="6">
        <v>602</v>
      </c>
      <c r="B2629" s="6" t="str">
        <f>INDEX('Lineal Mixto'!$C$5:$C$2004,2*A2629-1)</f>
      </c>
      <c r="C2629" s="6" t="str">
        <f>INDEX('Lineal Mixto'!$C$5:$C$2004,2*A2629)</f>
      </c>
      <c r="D2629" s="6" t="str">
        <f>B2629^2+C2629^2</f>
      </c>
      <c r="E2629" s="6" t="str">
        <f>IF(D2629&lt;=1,1,0)</f>
      </c>
    </row>
    <row r="2630">
      <c r="A2630" s="5">
        <v>603</v>
      </c>
      <c r="B2630" s="5" t="str">
        <f>INDEX('Lineal Mixto'!$C$5:$C$2004,2*A2630-1)</f>
      </c>
      <c r="C2630" s="5" t="str">
        <f>INDEX('Lineal Mixto'!$C$5:$C$2004,2*A2630)</f>
      </c>
      <c r="D2630" s="5" t="str">
        <f>B2630^2+C2630^2</f>
      </c>
      <c r="E2630" s="5" t="str">
        <f>IF(D2630&lt;=1,1,0)</f>
      </c>
    </row>
    <row r="2631">
      <c r="A2631" s="6">
        <v>604</v>
      </c>
      <c r="B2631" s="6" t="str">
        <f>INDEX('Lineal Mixto'!$C$5:$C$2004,2*A2631-1)</f>
      </c>
      <c r="C2631" s="6" t="str">
        <f>INDEX('Lineal Mixto'!$C$5:$C$2004,2*A2631)</f>
      </c>
      <c r="D2631" s="6" t="str">
        <f>B2631^2+C2631^2</f>
      </c>
      <c r="E2631" s="6" t="str">
        <f>IF(D2631&lt;=1,1,0)</f>
      </c>
    </row>
    <row r="2632">
      <c r="A2632" s="5">
        <v>605</v>
      </c>
      <c r="B2632" s="5" t="str">
        <f>INDEX('Lineal Mixto'!$C$5:$C$2004,2*A2632-1)</f>
      </c>
      <c r="C2632" s="5" t="str">
        <f>INDEX('Lineal Mixto'!$C$5:$C$2004,2*A2632)</f>
      </c>
      <c r="D2632" s="5" t="str">
        <f>B2632^2+C2632^2</f>
      </c>
      <c r="E2632" s="5" t="str">
        <f>IF(D2632&lt;=1,1,0)</f>
      </c>
    </row>
    <row r="2633">
      <c r="A2633" s="6">
        <v>606</v>
      </c>
      <c r="B2633" s="6" t="str">
        <f>INDEX('Lineal Mixto'!$C$5:$C$2004,2*A2633-1)</f>
      </c>
      <c r="C2633" s="6" t="str">
        <f>INDEX('Lineal Mixto'!$C$5:$C$2004,2*A2633)</f>
      </c>
      <c r="D2633" s="6" t="str">
        <f>B2633^2+C2633^2</f>
      </c>
      <c r="E2633" s="6" t="str">
        <f>IF(D2633&lt;=1,1,0)</f>
      </c>
    </row>
    <row r="2634">
      <c r="A2634" s="5">
        <v>607</v>
      </c>
      <c r="B2634" s="5" t="str">
        <f>INDEX('Lineal Mixto'!$C$5:$C$2004,2*A2634-1)</f>
      </c>
      <c r="C2634" s="5" t="str">
        <f>INDEX('Lineal Mixto'!$C$5:$C$2004,2*A2634)</f>
      </c>
      <c r="D2634" s="5" t="str">
        <f>B2634^2+C2634^2</f>
      </c>
      <c r="E2634" s="5" t="str">
        <f>IF(D2634&lt;=1,1,0)</f>
      </c>
    </row>
    <row r="2635">
      <c r="A2635" s="6">
        <v>608</v>
      </c>
      <c r="B2635" s="6" t="str">
        <f>INDEX('Lineal Mixto'!$C$5:$C$2004,2*A2635-1)</f>
      </c>
      <c r="C2635" s="6" t="str">
        <f>INDEX('Lineal Mixto'!$C$5:$C$2004,2*A2635)</f>
      </c>
      <c r="D2635" s="6" t="str">
        <f>B2635^2+C2635^2</f>
      </c>
      <c r="E2635" s="6" t="str">
        <f>IF(D2635&lt;=1,1,0)</f>
      </c>
    </row>
    <row r="2636">
      <c r="A2636" s="5">
        <v>609</v>
      </c>
      <c r="B2636" s="5" t="str">
        <f>INDEX('Lineal Mixto'!$C$5:$C$2004,2*A2636-1)</f>
      </c>
      <c r="C2636" s="5" t="str">
        <f>INDEX('Lineal Mixto'!$C$5:$C$2004,2*A2636)</f>
      </c>
      <c r="D2636" s="5" t="str">
        <f>B2636^2+C2636^2</f>
      </c>
      <c r="E2636" s="5" t="str">
        <f>IF(D2636&lt;=1,1,0)</f>
      </c>
    </row>
    <row r="2637">
      <c r="A2637" s="6">
        <v>610</v>
      </c>
      <c r="B2637" s="6" t="str">
        <f>INDEX('Lineal Mixto'!$C$5:$C$2004,2*A2637-1)</f>
      </c>
      <c r="C2637" s="6" t="str">
        <f>INDEX('Lineal Mixto'!$C$5:$C$2004,2*A2637)</f>
      </c>
      <c r="D2637" s="6" t="str">
        <f>B2637^2+C2637^2</f>
      </c>
      <c r="E2637" s="6" t="str">
        <f>IF(D2637&lt;=1,1,0)</f>
      </c>
    </row>
    <row r="2638">
      <c r="A2638" s="5">
        <v>611</v>
      </c>
      <c r="B2638" s="5" t="str">
        <f>INDEX('Lineal Mixto'!$C$5:$C$2004,2*A2638-1)</f>
      </c>
      <c r="C2638" s="5" t="str">
        <f>INDEX('Lineal Mixto'!$C$5:$C$2004,2*A2638)</f>
      </c>
      <c r="D2638" s="5" t="str">
        <f>B2638^2+C2638^2</f>
      </c>
      <c r="E2638" s="5" t="str">
        <f>IF(D2638&lt;=1,1,0)</f>
      </c>
    </row>
    <row r="2639">
      <c r="A2639" s="6">
        <v>612</v>
      </c>
      <c r="B2639" s="6" t="str">
        <f>INDEX('Lineal Mixto'!$C$5:$C$2004,2*A2639-1)</f>
      </c>
      <c r="C2639" s="6" t="str">
        <f>INDEX('Lineal Mixto'!$C$5:$C$2004,2*A2639)</f>
      </c>
      <c r="D2639" s="6" t="str">
        <f>B2639^2+C2639^2</f>
      </c>
      <c r="E2639" s="6" t="str">
        <f>IF(D2639&lt;=1,1,0)</f>
      </c>
    </row>
    <row r="2640">
      <c r="A2640" s="5">
        <v>613</v>
      </c>
      <c r="B2640" s="5" t="str">
        <f>INDEX('Lineal Mixto'!$C$5:$C$2004,2*A2640-1)</f>
      </c>
      <c r="C2640" s="5" t="str">
        <f>INDEX('Lineal Mixto'!$C$5:$C$2004,2*A2640)</f>
      </c>
      <c r="D2640" s="5" t="str">
        <f>B2640^2+C2640^2</f>
      </c>
      <c r="E2640" s="5" t="str">
        <f>IF(D2640&lt;=1,1,0)</f>
      </c>
    </row>
    <row r="2641">
      <c r="A2641" s="6">
        <v>614</v>
      </c>
      <c r="B2641" s="6" t="str">
        <f>INDEX('Lineal Mixto'!$C$5:$C$2004,2*A2641-1)</f>
      </c>
      <c r="C2641" s="6" t="str">
        <f>INDEX('Lineal Mixto'!$C$5:$C$2004,2*A2641)</f>
      </c>
      <c r="D2641" s="6" t="str">
        <f>B2641^2+C2641^2</f>
      </c>
      <c r="E2641" s="6" t="str">
        <f>IF(D2641&lt;=1,1,0)</f>
      </c>
    </row>
    <row r="2642">
      <c r="A2642" s="5">
        <v>615</v>
      </c>
      <c r="B2642" s="5" t="str">
        <f>INDEX('Lineal Mixto'!$C$5:$C$2004,2*A2642-1)</f>
      </c>
      <c r="C2642" s="5" t="str">
        <f>INDEX('Lineal Mixto'!$C$5:$C$2004,2*A2642)</f>
      </c>
      <c r="D2642" s="5" t="str">
        <f>B2642^2+C2642^2</f>
      </c>
      <c r="E2642" s="5" t="str">
        <f>IF(D2642&lt;=1,1,0)</f>
      </c>
    </row>
    <row r="2643">
      <c r="A2643" s="6">
        <v>616</v>
      </c>
      <c r="B2643" s="6" t="str">
        <f>INDEX('Lineal Mixto'!$C$5:$C$2004,2*A2643-1)</f>
      </c>
      <c r="C2643" s="6" t="str">
        <f>INDEX('Lineal Mixto'!$C$5:$C$2004,2*A2643)</f>
      </c>
      <c r="D2643" s="6" t="str">
        <f>B2643^2+C2643^2</f>
      </c>
      <c r="E2643" s="6" t="str">
        <f>IF(D2643&lt;=1,1,0)</f>
      </c>
    </row>
    <row r="2644">
      <c r="A2644" s="5">
        <v>617</v>
      </c>
      <c r="B2644" s="5" t="str">
        <f>INDEX('Lineal Mixto'!$C$5:$C$2004,2*A2644-1)</f>
      </c>
      <c r="C2644" s="5" t="str">
        <f>INDEX('Lineal Mixto'!$C$5:$C$2004,2*A2644)</f>
      </c>
      <c r="D2644" s="5" t="str">
        <f>B2644^2+C2644^2</f>
      </c>
      <c r="E2644" s="5" t="str">
        <f>IF(D2644&lt;=1,1,0)</f>
      </c>
    </row>
    <row r="2645">
      <c r="A2645" s="6">
        <v>618</v>
      </c>
      <c r="B2645" s="6" t="str">
        <f>INDEX('Lineal Mixto'!$C$5:$C$2004,2*A2645-1)</f>
      </c>
      <c r="C2645" s="6" t="str">
        <f>INDEX('Lineal Mixto'!$C$5:$C$2004,2*A2645)</f>
      </c>
      <c r="D2645" s="6" t="str">
        <f>B2645^2+C2645^2</f>
      </c>
      <c r="E2645" s="6" t="str">
        <f>IF(D2645&lt;=1,1,0)</f>
      </c>
    </row>
    <row r="2646">
      <c r="A2646" s="5">
        <v>619</v>
      </c>
      <c r="B2646" s="5" t="str">
        <f>INDEX('Lineal Mixto'!$C$5:$C$2004,2*A2646-1)</f>
      </c>
      <c r="C2646" s="5" t="str">
        <f>INDEX('Lineal Mixto'!$C$5:$C$2004,2*A2646)</f>
      </c>
      <c r="D2646" s="5" t="str">
        <f>B2646^2+C2646^2</f>
      </c>
      <c r="E2646" s="5" t="str">
        <f>IF(D2646&lt;=1,1,0)</f>
      </c>
    </row>
    <row r="2647">
      <c r="A2647" s="6">
        <v>620</v>
      </c>
      <c r="B2647" s="6" t="str">
        <f>INDEX('Lineal Mixto'!$C$5:$C$2004,2*A2647-1)</f>
      </c>
      <c r="C2647" s="6" t="str">
        <f>INDEX('Lineal Mixto'!$C$5:$C$2004,2*A2647)</f>
      </c>
      <c r="D2647" s="6" t="str">
        <f>B2647^2+C2647^2</f>
      </c>
      <c r="E2647" s="6" t="str">
        <f>IF(D2647&lt;=1,1,0)</f>
      </c>
    </row>
    <row r="2648">
      <c r="A2648" s="5">
        <v>621</v>
      </c>
      <c r="B2648" s="5" t="str">
        <f>INDEX('Lineal Mixto'!$C$5:$C$2004,2*A2648-1)</f>
      </c>
      <c r="C2648" s="5" t="str">
        <f>INDEX('Lineal Mixto'!$C$5:$C$2004,2*A2648)</f>
      </c>
      <c r="D2648" s="5" t="str">
        <f>B2648^2+C2648^2</f>
      </c>
      <c r="E2648" s="5" t="str">
        <f>IF(D2648&lt;=1,1,0)</f>
      </c>
    </row>
    <row r="2649">
      <c r="A2649" s="6">
        <v>622</v>
      </c>
      <c r="B2649" s="6" t="str">
        <f>INDEX('Lineal Mixto'!$C$5:$C$2004,2*A2649-1)</f>
      </c>
      <c r="C2649" s="6" t="str">
        <f>INDEX('Lineal Mixto'!$C$5:$C$2004,2*A2649)</f>
      </c>
      <c r="D2649" s="6" t="str">
        <f>B2649^2+C2649^2</f>
      </c>
      <c r="E2649" s="6" t="str">
        <f>IF(D2649&lt;=1,1,0)</f>
      </c>
    </row>
    <row r="2650">
      <c r="A2650" s="5">
        <v>623</v>
      </c>
      <c r="B2650" s="5" t="str">
        <f>INDEX('Lineal Mixto'!$C$5:$C$2004,2*A2650-1)</f>
      </c>
      <c r="C2650" s="5" t="str">
        <f>INDEX('Lineal Mixto'!$C$5:$C$2004,2*A2650)</f>
      </c>
      <c r="D2650" s="5" t="str">
        <f>B2650^2+C2650^2</f>
      </c>
      <c r="E2650" s="5" t="str">
        <f>IF(D2650&lt;=1,1,0)</f>
      </c>
    </row>
    <row r="2651">
      <c r="A2651" s="6">
        <v>624</v>
      </c>
      <c r="B2651" s="6" t="str">
        <f>INDEX('Lineal Mixto'!$C$5:$C$2004,2*A2651-1)</f>
      </c>
      <c r="C2651" s="6" t="str">
        <f>INDEX('Lineal Mixto'!$C$5:$C$2004,2*A2651)</f>
      </c>
      <c r="D2651" s="6" t="str">
        <f>B2651^2+C2651^2</f>
      </c>
      <c r="E2651" s="6" t="str">
        <f>IF(D2651&lt;=1,1,0)</f>
      </c>
    </row>
    <row r="2652">
      <c r="A2652" s="5">
        <v>625</v>
      </c>
      <c r="B2652" s="5" t="str">
        <f>INDEX('Lineal Mixto'!$C$5:$C$2004,2*A2652-1)</f>
      </c>
      <c r="C2652" s="5" t="str">
        <f>INDEX('Lineal Mixto'!$C$5:$C$2004,2*A2652)</f>
      </c>
      <c r="D2652" s="5" t="str">
        <f>B2652^2+C2652^2</f>
      </c>
      <c r="E2652" s="5" t="str">
        <f>IF(D2652&lt;=1,1,0)</f>
      </c>
    </row>
    <row r="2653">
      <c r="A2653" s="6">
        <v>626</v>
      </c>
      <c r="B2653" s="6" t="str">
        <f>INDEX('Lineal Mixto'!$C$5:$C$2004,2*A2653-1)</f>
      </c>
      <c r="C2653" s="6" t="str">
        <f>INDEX('Lineal Mixto'!$C$5:$C$2004,2*A2653)</f>
      </c>
      <c r="D2653" s="6" t="str">
        <f>B2653^2+C2653^2</f>
      </c>
      <c r="E2653" s="6" t="str">
        <f>IF(D2653&lt;=1,1,0)</f>
      </c>
    </row>
    <row r="2654">
      <c r="A2654" s="5">
        <v>627</v>
      </c>
      <c r="B2654" s="5" t="str">
        <f>INDEX('Lineal Mixto'!$C$5:$C$2004,2*A2654-1)</f>
      </c>
      <c r="C2654" s="5" t="str">
        <f>INDEX('Lineal Mixto'!$C$5:$C$2004,2*A2654)</f>
      </c>
      <c r="D2654" s="5" t="str">
        <f>B2654^2+C2654^2</f>
      </c>
      <c r="E2654" s="5" t="str">
        <f>IF(D2654&lt;=1,1,0)</f>
      </c>
    </row>
    <row r="2655">
      <c r="A2655" s="6">
        <v>628</v>
      </c>
      <c r="B2655" s="6" t="str">
        <f>INDEX('Lineal Mixto'!$C$5:$C$2004,2*A2655-1)</f>
      </c>
      <c r="C2655" s="6" t="str">
        <f>INDEX('Lineal Mixto'!$C$5:$C$2004,2*A2655)</f>
      </c>
      <c r="D2655" s="6" t="str">
        <f>B2655^2+C2655^2</f>
      </c>
      <c r="E2655" s="6" t="str">
        <f>IF(D2655&lt;=1,1,0)</f>
      </c>
    </row>
    <row r="2656">
      <c r="A2656" s="5">
        <v>629</v>
      </c>
      <c r="B2656" s="5" t="str">
        <f>INDEX('Lineal Mixto'!$C$5:$C$2004,2*A2656-1)</f>
      </c>
      <c r="C2656" s="5" t="str">
        <f>INDEX('Lineal Mixto'!$C$5:$C$2004,2*A2656)</f>
      </c>
      <c r="D2656" s="5" t="str">
        <f>B2656^2+C2656^2</f>
      </c>
      <c r="E2656" s="5" t="str">
        <f>IF(D2656&lt;=1,1,0)</f>
      </c>
    </row>
    <row r="2657">
      <c r="A2657" s="6">
        <v>630</v>
      </c>
      <c r="B2657" s="6" t="str">
        <f>INDEX('Lineal Mixto'!$C$5:$C$2004,2*A2657-1)</f>
      </c>
      <c r="C2657" s="6" t="str">
        <f>INDEX('Lineal Mixto'!$C$5:$C$2004,2*A2657)</f>
      </c>
      <c r="D2657" s="6" t="str">
        <f>B2657^2+C2657^2</f>
      </c>
      <c r="E2657" s="6" t="str">
        <f>IF(D2657&lt;=1,1,0)</f>
      </c>
    </row>
    <row r="2658">
      <c r="A2658" s="5">
        <v>631</v>
      </c>
      <c r="B2658" s="5" t="str">
        <f>INDEX('Lineal Mixto'!$C$5:$C$2004,2*A2658-1)</f>
      </c>
      <c r="C2658" s="5" t="str">
        <f>INDEX('Lineal Mixto'!$C$5:$C$2004,2*A2658)</f>
      </c>
      <c r="D2658" s="5" t="str">
        <f>B2658^2+C2658^2</f>
      </c>
      <c r="E2658" s="5" t="str">
        <f>IF(D2658&lt;=1,1,0)</f>
      </c>
    </row>
    <row r="2659">
      <c r="A2659" s="6">
        <v>632</v>
      </c>
      <c r="B2659" s="6" t="str">
        <f>INDEX('Lineal Mixto'!$C$5:$C$2004,2*A2659-1)</f>
      </c>
      <c r="C2659" s="6" t="str">
        <f>INDEX('Lineal Mixto'!$C$5:$C$2004,2*A2659)</f>
      </c>
      <c r="D2659" s="6" t="str">
        <f>B2659^2+C2659^2</f>
      </c>
      <c r="E2659" s="6" t="str">
        <f>IF(D2659&lt;=1,1,0)</f>
      </c>
    </row>
    <row r="2660">
      <c r="A2660" s="5">
        <v>633</v>
      </c>
      <c r="B2660" s="5" t="str">
        <f>INDEX('Lineal Mixto'!$C$5:$C$2004,2*A2660-1)</f>
      </c>
      <c r="C2660" s="5" t="str">
        <f>INDEX('Lineal Mixto'!$C$5:$C$2004,2*A2660)</f>
      </c>
      <c r="D2660" s="5" t="str">
        <f>B2660^2+C2660^2</f>
      </c>
      <c r="E2660" s="5" t="str">
        <f>IF(D2660&lt;=1,1,0)</f>
      </c>
    </row>
    <row r="2661">
      <c r="A2661" s="6">
        <v>634</v>
      </c>
      <c r="B2661" s="6" t="str">
        <f>INDEX('Lineal Mixto'!$C$5:$C$2004,2*A2661-1)</f>
      </c>
      <c r="C2661" s="6" t="str">
        <f>INDEX('Lineal Mixto'!$C$5:$C$2004,2*A2661)</f>
      </c>
      <c r="D2661" s="6" t="str">
        <f>B2661^2+C2661^2</f>
      </c>
      <c r="E2661" s="6" t="str">
        <f>IF(D2661&lt;=1,1,0)</f>
      </c>
    </row>
    <row r="2662">
      <c r="A2662" s="5">
        <v>635</v>
      </c>
      <c r="B2662" s="5" t="str">
        <f>INDEX('Lineal Mixto'!$C$5:$C$2004,2*A2662-1)</f>
      </c>
      <c r="C2662" s="5" t="str">
        <f>INDEX('Lineal Mixto'!$C$5:$C$2004,2*A2662)</f>
      </c>
      <c r="D2662" s="5" t="str">
        <f>B2662^2+C2662^2</f>
      </c>
      <c r="E2662" s="5" t="str">
        <f>IF(D2662&lt;=1,1,0)</f>
      </c>
    </row>
    <row r="2663">
      <c r="A2663" s="6">
        <v>636</v>
      </c>
      <c r="B2663" s="6" t="str">
        <f>INDEX('Lineal Mixto'!$C$5:$C$2004,2*A2663-1)</f>
      </c>
      <c r="C2663" s="6" t="str">
        <f>INDEX('Lineal Mixto'!$C$5:$C$2004,2*A2663)</f>
      </c>
      <c r="D2663" s="6" t="str">
        <f>B2663^2+C2663^2</f>
      </c>
      <c r="E2663" s="6" t="str">
        <f>IF(D2663&lt;=1,1,0)</f>
      </c>
    </row>
    <row r="2664">
      <c r="A2664" s="5">
        <v>637</v>
      </c>
      <c r="B2664" s="5" t="str">
        <f>INDEX('Lineal Mixto'!$C$5:$C$2004,2*A2664-1)</f>
      </c>
      <c r="C2664" s="5" t="str">
        <f>INDEX('Lineal Mixto'!$C$5:$C$2004,2*A2664)</f>
      </c>
      <c r="D2664" s="5" t="str">
        <f>B2664^2+C2664^2</f>
      </c>
      <c r="E2664" s="5" t="str">
        <f>IF(D2664&lt;=1,1,0)</f>
      </c>
    </row>
    <row r="2665">
      <c r="A2665" s="6">
        <v>638</v>
      </c>
      <c r="B2665" s="6" t="str">
        <f>INDEX('Lineal Mixto'!$C$5:$C$2004,2*A2665-1)</f>
      </c>
      <c r="C2665" s="6" t="str">
        <f>INDEX('Lineal Mixto'!$C$5:$C$2004,2*A2665)</f>
      </c>
      <c r="D2665" s="6" t="str">
        <f>B2665^2+C2665^2</f>
      </c>
      <c r="E2665" s="6" t="str">
        <f>IF(D2665&lt;=1,1,0)</f>
      </c>
    </row>
    <row r="2666">
      <c r="A2666" s="5">
        <v>639</v>
      </c>
      <c r="B2666" s="5" t="str">
        <f>INDEX('Lineal Mixto'!$C$5:$C$2004,2*A2666-1)</f>
      </c>
      <c r="C2666" s="5" t="str">
        <f>INDEX('Lineal Mixto'!$C$5:$C$2004,2*A2666)</f>
      </c>
      <c r="D2666" s="5" t="str">
        <f>B2666^2+C2666^2</f>
      </c>
      <c r="E2666" s="5" t="str">
        <f>IF(D2666&lt;=1,1,0)</f>
      </c>
    </row>
    <row r="2667">
      <c r="A2667" s="6">
        <v>640</v>
      </c>
      <c r="B2667" s="6" t="str">
        <f>INDEX('Lineal Mixto'!$C$5:$C$2004,2*A2667-1)</f>
      </c>
      <c r="C2667" s="6" t="str">
        <f>INDEX('Lineal Mixto'!$C$5:$C$2004,2*A2667)</f>
      </c>
      <c r="D2667" s="6" t="str">
        <f>B2667^2+C2667^2</f>
      </c>
      <c r="E2667" s="6" t="str">
        <f>IF(D2667&lt;=1,1,0)</f>
      </c>
    </row>
    <row r="2668">
      <c r="A2668" s="5">
        <v>641</v>
      </c>
      <c r="B2668" s="5" t="str">
        <f>INDEX('Lineal Mixto'!$C$5:$C$2004,2*A2668-1)</f>
      </c>
      <c r="C2668" s="5" t="str">
        <f>INDEX('Lineal Mixto'!$C$5:$C$2004,2*A2668)</f>
      </c>
      <c r="D2668" s="5" t="str">
        <f>B2668^2+C2668^2</f>
      </c>
      <c r="E2668" s="5" t="str">
        <f>IF(D2668&lt;=1,1,0)</f>
      </c>
    </row>
    <row r="2669">
      <c r="A2669" s="6">
        <v>642</v>
      </c>
      <c r="B2669" s="6" t="str">
        <f>INDEX('Lineal Mixto'!$C$5:$C$2004,2*A2669-1)</f>
      </c>
      <c r="C2669" s="6" t="str">
        <f>INDEX('Lineal Mixto'!$C$5:$C$2004,2*A2669)</f>
      </c>
      <c r="D2669" s="6" t="str">
        <f>B2669^2+C2669^2</f>
      </c>
      <c r="E2669" s="6" t="str">
        <f>IF(D2669&lt;=1,1,0)</f>
      </c>
    </row>
    <row r="2670">
      <c r="A2670" s="5">
        <v>643</v>
      </c>
      <c r="B2670" s="5" t="str">
        <f>INDEX('Lineal Mixto'!$C$5:$C$2004,2*A2670-1)</f>
      </c>
      <c r="C2670" s="5" t="str">
        <f>INDEX('Lineal Mixto'!$C$5:$C$2004,2*A2670)</f>
      </c>
      <c r="D2670" s="5" t="str">
        <f>B2670^2+C2670^2</f>
      </c>
      <c r="E2670" s="5" t="str">
        <f>IF(D2670&lt;=1,1,0)</f>
      </c>
    </row>
    <row r="2671">
      <c r="A2671" s="6">
        <v>644</v>
      </c>
      <c r="B2671" s="6" t="str">
        <f>INDEX('Lineal Mixto'!$C$5:$C$2004,2*A2671-1)</f>
      </c>
      <c r="C2671" s="6" t="str">
        <f>INDEX('Lineal Mixto'!$C$5:$C$2004,2*A2671)</f>
      </c>
      <c r="D2671" s="6" t="str">
        <f>B2671^2+C2671^2</f>
      </c>
      <c r="E2671" s="6" t="str">
        <f>IF(D2671&lt;=1,1,0)</f>
      </c>
    </row>
    <row r="2672">
      <c r="A2672" s="5">
        <v>645</v>
      </c>
      <c r="B2672" s="5" t="str">
        <f>INDEX('Lineal Mixto'!$C$5:$C$2004,2*A2672-1)</f>
      </c>
      <c r="C2672" s="5" t="str">
        <f>INDEX('Lineal Mixto'!$C$5:$C$2004,2*A2672)</f>
      </c>
      <c r="D2672" s="5" t="str">
        <f>B2672^2+C2672^2</f>
      </c>
      <c r="E2672" s="5" t="str">
        <f>IF(D2672&lt;=1,1,0)</f>
      </c>
    </row>
    <row r="2673">
      <c r="A2673" s="6">
        <v>646</v>
      </c>
      <c r="B2673" s="6" t="str">
        <f>INDEX('Lineal Mixto'!$C$5:$C$2004,2*A2673-1)</f>
      </c>
      <c r="C2673" s="6" t="str">
        <f>INDEX('Lineal Mixto'!$C$5:$C$2004,2*A2673)</f>
      </c>
      <c r="D2673" s="6" t="str">
        <f>B2673^2+C2673^2</f>
      </c>
      <c r="E2673" s="6" t="str">
        <f>IF(D2673&lt;=1,1,0)</f>
      </c>
    </row>
    <row r="2674">
      <c r="A2674" s="5">
        <v>647</v>
      </c>
      <c r="B2674" s="5" t="str">
        <f>INDEX('Lineal Mixto'!$C$5:$C$2004,2*A2674-1)</f>
      </c>
      <c r="C2674" s="5" t="str">
        <f>INDEX('Lineal Mixto'!$C$5:$C$2004,2*A2674)</f>
      </c>
      <c r="D2674" s="5" t="str">
        <f>B2674^2+C2674^2</f>
      </c>
      <c r="E2674" s="5" t="str">
        <f>IF(D2674&lt;=1,1,0)</f>
      </c>
    </row>
    <row r="2675">
      <c r="A2675" s="6">
        <v>648</v>
      </c>
      <c r="B2675" s="6" t="str">
        <f>INDEX('Lineal Mixto'!$C$5:$C$2004,2*A2675-1)</f>
      </c>
      <c r="C2675" s="6" t="str">
        <f>INDEX('Lineal Mixto'!$C$5:$C$2004,2*A2675)</f>
      </c>
      <c r="D2675" s="6" t="str">
        <f>B2675^2+C2675^2</f>
      </c>
      <c r="E2675" s="6" t="str">
        <f>IF(D2675&lt;=1,1,0)</f>
      </c>
    </row>
    <row r="2676">
      <c r="A2676" s="5">
        <v>649</v>
      </c>
      <c r="B2676" s="5" t="str">
        <f>INDEX('Lineal Mixto'!$C$5:$C$2004,2*A2676-1)</f>
      </c>
      <c r="C2676" s="5" t="str">
        <f>INDEX('Lineal Mixto'!$C$5:$C$2004,2*A2676)</f>
      </c>
      <c r="D2676" s="5" t="str">
        <f>B2676^2+C2676^2</f>
      </c>
      <c r="E2676" s="5" t="str">
        <f>IF(D2676&lt;=1,1,0)</f>
      </c>
    </row>
    <row r="2677">
      <c r="A2677" s="6">
        <v>650</v>
      </c>
      <c r="B2677" s="6" t="str">
        <f>INDEX('Lineal Mixto'!$C$5:$C$2004,2*A2677-1)</f>
      </c>
      <c r="C2677" s="6" t="str">
        <f>INDEX('Lineal Mixto'!$C$5:$C$2004,2*A2677)</f>
      </c>
      <c r="D2677" s="6" t="str">
        <f>B2677^2+C2677^2</f>
      </c>
      <c r="E2677" s="6" t="str">
        <f>IF(D2677&lt;=1,1,0)</f>
      </c>
    </row>
    <row r="2678">
      <c r="A2678" s="5">
        <v>651</v>
      </c>
      <c r="B2678" s="5" t="str">
        <f>INDEX('Lineal Mixto'!$C$5:$C$2004,2*A2678-1)</f>
      </c>
      <c r="C2678" s="5" t="str">
        <f>INDEX('Lineal Mixto'!$C$5:$C$2004,2*A2678)</f>
      </c>
      <c r="D2678" s="5" t="str">
        <f>B2678^2+C2678^2</f>
      </c>
      <c r="E2678" s="5" t="str">
        <f>IF(D2678&lt;=1,1,0)</f>
      </c>
    </row>
    <row r="2679">
      <c r="A2679" s="6">
        <v>652</v>
      </c>
      <c r="B2679" s="6" t="str">
        <f>INDEX('Lineal Mixto'!$C$5:$C$2004,2*A2679-1)</f>
      </c>
      <c r="C2679" s="6" t="str">
        <f>INDEX('Lineal Mixto'!$C$5:$C$2004,2*A2679)</f>
      </c>
      <c r="D2679" s="6" t="str">
        <f>B2679^2+C2679^2</f>
      </c>
      <c r="E2679" s="6" t="str">
        <f>IF(D2679&lt;=1,1,0)</f>
      </c>
    </row>
    <row r="2680">
      <c r="A2680" s="5">
        <v>653</v>
      </c>
      <c r="B2680" s="5" t="str">
        <f>INDEX('Lineal Mixto'!$C$5:$C$2004,2*A2680-1)</f>
      </c>
      <c r="C2680" s="5" t="str">
        <f>INDEX('Lineal Mixto'!$C$5:$C$2004,2*A2680)</f>
      </c>
      <c r="D2680" s="5" t="str">
        <f>B2680^2+C2680^2</f>
      </c>
      <c r="E2680" s="5" t="str">
        <f>IF(D2680&lt;=1,1,0)</f>
      </c>
    </row>
    <row r="2681">
      <c r="A2681" s="6">
        <v>654</v>
      </c>
      <c r="B2681" s="6" t="str">
        <f>INDEX('Lineal Mixto'!$C$5:$C$2004,2*A2681-1)</f>
      </c>
      <c r="C2681" s="6" t="str">
        <f>INDEX('Lineal Mixto'!$C$5:$C$2004,2*A2681)</f>
      </c>
      <c r="D2681" s="6" t="str">
        <f>B2681^2+C2681^2</f>
      </c>
      <c r="E2681" s="6" t="str">
        <f>IF(D2681&lt;=1,1,0)</f>
      </c>
    </row>
    <row r="2682">
      <c r="A2682" s="5">
        <v>655</v>
      </c>
      <c r="B2682" s="5" t="str">
        <f>INDEX('Lineal Mixto'!$C$5:$C$2004,2*A2682-1)</f>
      </c>
      <c r="C2682" s="5" t="str">
        <f>INDEX('Lineal Mixto'!$C$5:$C$2004,2*A2682)</f>
      </c>
      <c r="D2682" s="5" t="str">
        <f>B2682^2+C2682^2</f>
      </c>
      <c r="E2682" s="5" t="str">
        <f>IF(D2682&lt;=1,1,0)</f>
      </c>
    </row>
    <row r="2683">
      <c r="A2683" s="6">
        <v>656</v>
      </c>
      <c r="B2683" s="6" t="str">
        <f>INDEX('Lineal Mixto'!$C$5:$C$2004,2*A2683-1)</f>
      </c>
      <c r="C2683" s="6" t="str">
        <f>INDEX('Lineal Mixto'!$C$5:$C$2004,2*A2683)</f>
      </c>
      <c r="D2683" s="6" t="str">
        <f>B2683^2+C2683^2</f>
      </c>
      <c r="E2683" s="6" t="str">
        <f>IF(D2683&lt;=1,1,0)</f>
      </c>
    </row>
    <row r="2684">
      <c r="A2684" s="5">
        <v>657</v>
      </c>
      <c r="B2684" s="5" t="str">
        <f>INDEX('Lineal Mixto'!$C$5:$C$2004,2*A2684-1)</f>
      </c>
      <c r="C2684" s="5" t="str">
        <f>INDEX('Lineal Mixto'!$C$5:$C$2004,2*A2684)</f>
      </c>
      <c r="D2684" s="5" t="str">
        <f>B2684^2+C2684^2</f>
      </c>
      <c r="E2684" s="5" t="str">
        <f>IF(D2684&lt;=1,1,0)</f>
      </c>
    </row>
    <row r="2685">
      <c r="A2685" s="6">
        <v>658</v>
      </c>
      <c r="B2685" s="6" t="str">
        <f>INDEX('Lineal Mixto'!$C$5:$C$2004,2*A2685-1)</f>
      </c>
      <c r="C2685" s="6" t="str">
        <f>INDEX('Lineal Mixto'!$C$5:$C$2004,2*A2685)</f>
      </c>
      <c r="D2685" s="6" t="str">
        <f>B2685^2+C2685^2</f>
      </c>
      <c r="E2685" s="6" t="str">
        <f>IF(D2685&lt;=1,1,0)</f>
      </c>
    </row>
    <row r="2686">
      <c r="A2686" s="5">
        <v>659</v>
      </c>
      <c r="B2686" s="5" t="str">
        <f>INDEX('Lineal Mixto'!$C$5:$C$2004,2*A2686-1)</f>
      </c>
      <c r="C2686" s="5" t="str">
        <f>INDEX('Lineal Mixto'!$C$5:$C$2004,2*A2686)</f>
      </c>
      <c r="D2686" s="5" t="str">
        <f>B2686^2+C2686^2</f>
      </c>
      <c r="E2686" s="5" t="str">
        <f>IF(D2686&lt;=1,1,0)</f>
      </c>
    </row>
    <row r="2687">
      <c r="A2687" s="6">
        <v>660</v>
      </c>
      <c r="B2687" s="6" t="str">
        <f>INDEX('Lineal Mixto'!$C$5:$C$2004,2*A2687-1)</f>
      </c>
      <c r="C2687" s="6" t="str">
        <f>INDEX('Lineal Mixto'!$C$5:$C$2004,2*A2687)</f>
      </c>
      <c r="D2687" s="6" t="str">
        <f>B2687^2+C2687^2</f>
      </c>
      <c r="E2687" s="6" t="str">
        <f>IF(D2687&lt;=1,1,0)</f>
      </c>
    </row>
    <row r="2688">
      <c r="A2688" s="5">
        <v>661</v>
      </c>
      <c r="B2688" s="5" t="str">
        <f>INDEX('Lineal Mixto'!$C$5:$C$2004,2*A2688-1)</f>
      </c>
      <c r="C2688" s="5" t="str">
        <f>INDEX('Lineal Mixto'!$C$5:$C$2004,2*A2688)</f>
      </c>
      <c r="D2688" s="5" t="str">
        <f>B2688^2+C2688^2</f>
      </c>
      <c r="E2688" s="5" t="str">
        <f>IF(D2688&lt;=1,1,0)</f>
      </c>
    </row>
    <row r="2689">
      <c r="A2689" s="6">
        <v>662</v>
      </c>
      <c r="B2689" s="6" t="str">
        <f>INDEX('Lineal Mixto'!$C$5:$C$2004,2*A2689-1)</f>
      </c>
      <c r="C2689" s="6" t="str">
        <f>INDEX('Lineal Mixto'!$C$5:$C$2004,2*A2689)</f>
      </c>
      <c r="D2689" s="6" t="str">
        <f>B2689^2+C2689^2</f>
      </c>
      <c r="E2689" s="6" t="str">
        <f>IF(D2689&lt;=1,1,0)</f>
      </c>
    </row>
    <row r="2690">
      <c r="A2690" s="5">
        <v>663</v>
      </c>
      <c r="B2690" s="5" t="str">
        <f>INDEX('Lineal Mixto'!$C$5:$C$2004,2*A2690-1)</f>
      </c>
      <c r="C2690" s="5" t="str">
        <f>INDEX('Lineal Mixto'!$C$5:$C$2004,2*A2690)</f>
      </c>
      <c r="D2690" s="5" t="str">
        <f>B2690^2+C2690^2</f>
      </c>
      <c r="E2690" s="5" t="str">
        <f>IF(D2690&lt;=1,1,0)</f>
      </c>
    </row>
    <row r="2691">
      <c r="A2691" s="6">
        <v>664</v>
      </c>
      <c r="B2691" s="6" t="str">
        <f>INDEX('Lineal Mixto'!$C$5:$C$2004,2*A2691-1)</f>
      </c>
      <c r="C2691" s="6" t="str">
        <f>INDEX('Lineal Mixto'!$C$5:$C$2004,2*A2691)</f>
      </c>
      <c r="D2691" s="6" t="str">
        <f>B2691^2+C2691^2</f>
      </c>
      <c r="E2691" s="6" t="str">
        <f>IF(D2691&lt;=1,1,0)</f>
      </c>
    </row>
    <row r="2692">
      <c r="A2692" s="5">
        <v>665</v>
      </c>
      <c r="B2692" s="5" t="str">
        <f>INDEX('Lineal Mixto'!$C$5:$C$2004,2*A2692-1)</f>
      </c>
      <c r="C2692" s="5" t="str">
        <f>INDEX('Lineal Mixto'!$C$5:$C$2004,2*A2692)</f>
      </c>
      <c r="D2692" s="5" t="str">
        <f>B2692^2+C2692^2</f>
      </c>
      <c r="E2692" s="5" t="str">
        <f>IF(D2692&lt;=1,1,0)</f>
      </c>
    </row>
    <row r="2693">
      <c r="A2693" s="6">
        <v>666</v>
      </c>
      <c r="B2693" s="6" t="str">
        <f>INDEX('Lineal Mixto'!$C$5:$C$2004,2*A2693-1)</f>
      </c>
      <c r="C2693" s="6" t="str">
        <f>INDEX('Lineal Mixto'!$C$5:$C$2004,2*A2693)</f>
      </c>
      <c r="D2693" s="6" t="str">
        <f>B2693^2+C2693^2</f>
      </c>
      <c r="E2693" s="6" t="str">
        <f>IF(D2693&lt;=1,1,0)</f>
      </c>
    </row>
    <row r="2694">
      <c r="A2694" s="5">
        <v>667</v>
      </c>
      <c r="B2694" s="5" t="str">
        <f>INDEX('Lineal Mixto'!$C$5:$C$2004,2*A2694-1)</f>
      </c>
      <c r="C2694" s="5" t="str">
        <f>INDEX('Lineal Mixto'!$C$5:$C$2004,2*A2694)</f>
      </c>
      <c r="D2694" s="5" t="str">
        <f>B2694^2+C2694^2</f>
      </c>
      <c r="E2694" s="5" t="str">
        <f>IF(D2694&lt;=1,1,0)</f>
      </c>
    </row>
    <row r="2695">
      <c r="A2695" s="6">
        <v>668</v>
      </c>
      <c r="B2695" s="6" t="str">
        <f>INDEX('Lineal Mixto'!$C$5:$C$2004,2*A2695-1)</f>
      </c>
      <c r="C2695" s="6" t="str">
        <f>INDEX('Lineal Mixto'!$C$5:$C$2004,2*A2695)</f>
      </c>
      <c r="D2695" s="6" t="str">
        <f>B2695^2+C2695^2</f>
      </c>
      <c r="E2695" s="6" t="str">
        <f>IF(D2695&lt;=1,1,0)</f>
      </c>
    </row>
    <row r="2696">
      <c r="A2696" s="5">
        <v>669</v>
      </c>
      <c r="B2696" s="5" t="str">
        <f>INDEX('Lineal Mixto'!$C$5:$C$2004,2*A2696-1)</f>
      </c>
      <c r="C2696" s="5" t="str">
        <f>INDEX('Lineal Mixto'!$C$5:$C$2004,2*A2696)</f>
      </c>
      <c r="D2696" s="5" t="str">
        <f>B2696^2+C2696^2</f>
      </c>
      <c r="E2696" s="5" t="str">
        <f>IF(D2696&lt;=1,1,0)</f>
      </c>
    </row>
    <row r="2697">
      <c r="A2697" s="6">
        <v>670</v>
      </c>
      <c r="B2697" s="6" t="str">
        <f>INDEX('Lineal Mixto'!$C$5:$C$2004,2*A2697-1)</f>
      </c>
      <c r="C2697" s="6" t="str">
        <f>INDEX('Lineal Mixto'!$C$5:$C$2004,2*A2697)</f>
      </c>
      <c r="D2697" s="6" t="str">
        <f>B2697^2+C2697^2</f>
      </c>
      <c r="E2697" s="6" t="str">
        <f>IF(D2697&lt;=1,1,0)</f>
      </c>
    </row>
    <row r="2698">
      <c r="A2698" s="5">
        <v>671</v>
      </c>
      <c r="B2698" s="5" t="str">
        <f>INDEX('Lineal Mixto'!$C$5:$C$2004,2*A2698-1)</f>
      </c>
      <c r="C2698" s="5" t="str">
        <f>INDEX('Lineal Mixto'!$C$5:$C$2004,2*A2698)</f>
      </c>
      <c r="D2698" s="5" t="str">
        <f>B2698^2+C2698^2</f>
      </c>
      <c r="E2698" s="5" t="str">
        <f>IF(D2698&lt;=1,1,0)</f>
      </c>
    </row>
    <row r="2699">
      <c r="A2699" s="6">
        <v>672</v>
      </c>
      <c r="B2699" s="6" t="str">
        <f>INDEX('Lineal Mixto'!$C$5:$C$2004,2*A2699-1)</f>
      </c>
      <c r="C2699" s="6" t="str">
        <f>INDEX('Lineal Mixto'!$C$5:$C$2004,2*A2699)</f>
      </c>
      <c r="D2699" s="6" t="str">
        <f>B2699^2+C2699^2</f>
      </c>
      <c r="E2699" s="6" t="str">
        <f>IF(D2699&lt;=1,1,0)</f>
      </c>
    </row>
    <row r="2700">
      <c r="A2700" s="5">
        <v>673</v>
      </c>
      <c r="B2700" s="5" t="str">
        <f>INDEX('Lineal Mixto'!$C$5:$C$2004,2*A2700-1)</f>
      </c>
      <c r="C2700" s="5" t="str">
        <f>INDEX('Lineal Mixto'!$C$5:$C$2004,2*A2700)</f>
      </c>
      <c r="D2700" s="5" t="str">
        <f>B2700^2+C2700^2</f>
      </c>
      <c r="E2700" s="5" t="str">
        <f>IF(D2700&lt;=1,1,0)</f>
      </c>
    </row>
    <row r="2701">
      <c r="A2701" s="6">
        <v>674</v>
      </c>
      <c r="B2701" s="6" t="str">
        <f>INDEX('Lineal Mixto'!$C$5:$C$2004,2*A2701-1)</f>
      </c>
      <c r="C2701" s="6" t="str">
        <f>INDEX('Lineal Mixto'!$C$5:$C$2004,2*A2701)</f>
      </c>
      <c r="D2701" s="6" t="str">
        <f>B2701^2+C2701^2</f>
      </c>
      <c r="E2701" s="6" t="str">
        <f>IF(D2701&lt;=1,1,0)</f>
      </c>
    </row>
    <row r="2702">
      <c r="A2702" s="5">
        <v>675</v>
      </c>
      <c r="B2702" s="5" t="str">
        <f>INDEX('Lineal Mixto'!$C$5:$C$2004,2*A2702-1)</f>
      </c>
      <c r="C2702" s="5" t="str">
        <f>INDEX('Lineal Mixto'!$C$5:$C$2004,2*A2702)</f>
      </c>
      <c r="D2702" s="5" t="str">
        <f>B2702^2+C2702^2</f>
      </c>
      <c r="E2702" s="5" t="str">
        <f>IF(D2702&lt;=1,1,0)</f>
      </c>
    </row>
    <row r="2703">
      <c r="A2703" s="6">
        <v>676</v>
      </c>
      <c r="B2703" s="6" t="str">
        <f>INDEX('Lineal Mixto'!$C$5:$C$2004,2*A2703-1)</f>
      </c>
      <c r="C2703" s="6" t="str">
        <f>INDEX('Lineal Mixto'!$C$5:$C$2004,2*A2703)</f>
      </c>
      <c r="D2703" s="6" t="str">
        <f>B2703^2+C2703^2</f>
      </c>
      <c r="E2703" s="6" t="str">
        <f>IF(D2703&lt;=1,1,0)</f>
      </c>
    </row>
    <row r="2704">
      <c r="A2704" s="5">
        <v>677</v>
      </c>
      <c r="B2704" s="5" t="str">
        <f>INDEX('Lineal Mixto'!$C$5:$C$2004,2*A2704-1)</f>
      </c>
      <c r="C2704" s="5" t="str">
        <f>INDEX('Lineal Mixto'!$C$5:$C$2004,2*A2704)</f>
      </c>
      <c r="D2704" s="5" t="str">
        <f>B2704^2+C2704^2</f>
      </c>
      <c r="E2704" s="5" t="str">
        <f>IF(D2704&lt;=1,1,0)</f>
      </c>
    </row>
    <row r="2705">
      <c r="A2705" s="6">
        <v>678</v>
      </c>
      <c r="B2705" s="6" t="str">
        <f>INDEX('Lineal Mixto'!$C$5:$C$2004,2*A2705-1)</f>
      </c>
      <c r="C2705" s="6" t="str">
        <f>INDEX('Lineal Mixto'!$C$5:$C$2004,2*A2705)</f>
      </c>
      <c r="D2705" s="6" t="str">
        <f>B2705^2+C2705^2</f>
      </c>
      <c r="E2705" s="6" t="str">
        <f>IF(D2705&lt;=1,1,0)</f>
      </c>
    </row>
    <row r="2706">
      <c r="A2706" s="5">
        <v>679</v>
      </c>
      <c r="B2706" s="5" t="str">
        <f>INDEX('Lineal Mixto'!$C$5:$C$2004,2*A2706-1)</f>
      </c>
      <c r="C2706" s="5" t="str">
        <f>INDEX('Lineal Mixto'!$C$5:$C$2004,2*A2706)</f>
      </c>
      <c r="D2706" s="5" t="str">
        <f>B2706^2+C2706^2</f>
      </c>
      <c r="E2706" s="5" t="str">
        <f>IF(D2706&lt;=1,1,0)</f>
      </c>
    </row>
    <row r="2707">
      <c r="A2707" s="6">
        <v>680</v>
      </c>
      <c r="B2707" s="6" t="str">
        <f>INDEX('Lineal Mixto'!$C$5:$C$2004,2*A2707-1)</f>
      </c>
      <c r="C2707" s="6" t="str">
        <f>INDEX('Lineal Mixto'!$C$5:$C$2004,2*A2707)</f>
      </c>
      <c r="D2707" s="6" t="str">
        <f>B2707^2+C2707^2</f>
      </c>
      <c r="E2707" s="6" t="str">
        <f>IF(D2707&lt;=1,1,0)</f>
      </c>
    </row>
    <row r="2708">
      <c r="A2708" s="5">
        <v>681</v>
      </c>
      <c r="B2708" s="5" t="str">
        <f>INDEX('Lineal Mixto'!$C$5:$C$2004,2*A2708-1)</f>
      </c>
      <c r="C2708" s="5" t="str">
        <f>INDEX('Lineal Mixto'!$C$5:$C$2004,2*A2708)</f>
      </c>
      <c r="D2708" s="5" t="str">
        <f>B2708^2+C2708^2</f>
      </c>
      <c r="E2708" s="5" t="str">
        <f>IF(D2708&lt;=1,1,0)</f>
      </c>
    </row>
    <row r="2709">
      <c r="A2709" s="6">
        <v>682</v>
      </c>
      <c r="B2709" s="6" t="str">
        <f>INDEX('Lineal Mixto'!$C$5:$C$2004,2*A2709-1)</f>
      </c>
      <c r="C2709" s="6" t="str">
        <f>INDEX('Lineal Mixto'!$C$5:$C$2004,2*A2709)</f>
      </c>
      <c r="D2709" s="6" t="str">
        <f>B2709^2+C2709^2</f>
      </c>
      <c r="E2709" s="6" t="str">
        <f>IF(D2709&lt;=1,1,0)</f>
      </c>
    </row>
    <row r="2710">
      <c r="A2710" s="5">
        <v>683</v>
      </c>
      <c r="B2710" s="5" t="str">
        <f>INDEX('Lineal Mixto'!$C$5:$C$2004,2*A2710-1)</f>
      </c>
      <c r="C2710" s="5" t="str">
        <f>INDEX('Lineal Mixto'!$C$5:$C$2004,2*A2710)</f>
      </c>
      <c r="D2710" s="5" t="str">
        <f>B2710^2+C2710^2</f>
      </c>
      <c r="E2710" s="5" t="str">
        <f>IF(D2710&lt;=1,1,0)</f>
      </c>
    </row>
    <row r="2711">
      <c r="A2711" s="6">
        <v>684</v>
      </c>
      <c r="B2711" s="6" t="str">
        <f>INDEX('Lineal Mixto'!$C$5:$C$2004,2*A2711-1)</f>
      </c>
      <c r="C2711" s="6" t="str">
        <f>INDEX('Lineal Mixto'!$C$5:$C$2004,2*A2711)</f>
      </c>
      <c r="D2711" s="6" t="str">
        <f>B2711^2+C2711^2</f>
      </c>
      <c r="E2711" s="6" t="str">
        <f>IF(D2711&lt;=1,1,0)</f>
      </c>
    </row>
    <row r="2712">
      <c r="A2712" s="5">
        <v>685</v>
      </c>
      <c r="B2712" s="5" t="str">
        <f>INDEX('Lineal Mixto'!$C$5:$C$2004,2*A2712-1)</f>
      </c>
      <c r="C2712" s="5" t="str">
        <f>INDEX('Lineal Mixto'!$C$5:$C$2004,2*A2712)</f>
      </c>
      <c r="D2712" s="5" t="str">
        <f>B2712^2+C2712^2</f>
      </c>
      <c r="E2712" s="5" t="str">
        <f>IF(D2712&lt;=1,1,0)</f>
      </c>
    </row>
    <row r="2713">
      <c r="A2713" s="6">
        <v>686</v>
      </c>
      <c r="B2713" s="6" t="str">
        <f>INDEX('Lineal Mixto'!$C$5:$C$2004,2*A2713-1)</f>
      </c>
      <c r="C2713" s="6" t="str">
        <f>INDEX('Lineal Mixto'!$C$5:$C$2004,2*A2713)</f>
      </c>
      <c r="D2713" s="6" t="str">
        <f>B2713^2+C2713^2</f>
      </c>
      <c r="E2713" s="6" t="str">
        <f>IF(D2713&lt;=1,1,0)</f>
      </c>
    </row>
    <row r="2714">
      <c r="A2714" s="5">
        <v>687</v>
      </c>
      <c r="B2714" s="5" t="str">
        <f>INDEX('Lineal Mixto'!$C$5:$C$2004,2*A2714-1)</f>
      </c>
      <c r="C2714" s="5" t="str">
        <f>INDEX('Lineal Mixto'!$C$5:$C$2004,2*A2714)</f>
      </c>
      <c r="D2714" s="5" t="str">
        <f>B2714^2+C2714^2</f>
      </c>
      <c r="E2714" s="5" t="str">
        <f>IF(D2714&lt;=1,1,0)</f>
      </c>
    </row>
    <row r="2715">
      <c r="A2715" s="6">
        <v>688</v>
      </c>
      <c r="B2715" s="6" t="str">
        <f>INDEX('Lineal Mixto'!$C$5:$C$2004,2*A2715-1)</f>
      </c>
      <c r="C2715" s="6" t="str">
        <f>INDEX('Lineal Mixto'!$C$5:$C$2004,2*A2715)</f>
      </c>
      <c r="D2715" s="6" t="str">
        <f>B2715^2+C2715^2</f>
      </c>
      <c r="E2715" s="6" t="str">
        <f>IF(D2715&lt;=1,1,0)</f>
      </c>
    </row>
    <row r="2716">
      <c r="A2716" s="5">
        <v>689</v>
      </c>
      <c r="B2716" s="5" t="str">
        <f>INDEX('Lineal Mixto'!$C$5:$C$2004,2*A2716-1)</f>
      </c>
      <c r="C2716" s="5" t="str">
        <f>INDEX('Lineal Mixto'!$C$5:$C$2004,2*A2716)</f>
      </c>
      <c r="D2716" s="5" t="str">
        <f>B2716^2+C2716^2</f>
      </c>
      <c r="E2716" s="5" t="str">
        <f>IF(D2716&lt;=1,1,0)</f>
      </c>
    </row>
    <row r="2717">
      <c r="A2717" s="6">
        <v>690</v>
      </c>
      <c r="B2717" s="6" t="str">
        <f>INDEX('Lineal Mixto'!$C$5:$C$2004,2*A2717-1)</f>
      </c>
      <c r="C2717" s="6" t="str">
        <f>INDEX('Lineal Mixto'!$C$5:$C$2004,2*A2717)</f>
      </c>
      <c r="D2717" s="6" t="str">
        <f>B2717^2+C2717^2</f>
      </c>
      <c r="E2717" s="6" t="str">
        <f>IF(D2717&lt;=1,1,0)</f>
      </c>
    </row>
    <row r="2718">
      <c r="A2718" s="5">
        <v>691</v>
      </c>
      <c r="B2718" s="5" t="str">
        <f>INDEX('Lineal Mixto'!$C$5:$C$2004,2*A2718-1)</f>
      </c>
      <c r="C2718" s="5" t="str">
        <f>INDEX('Lineal Mixto'!$C$5:$C$2004,2*A2718)</f>
      </c>
      <c r="D2718" s="5" t="str">
        <f>B2718^2+C2718^2</f>
      </c>
      <c r="E2718" s="5" t="str">
        <f>IF(D2718&lt;=1,1,0)</f>
      </c>
    </row>
    <row r="2719">
      <c r="A2719" s="6">
        <v>692</v>
      </c>
      <c r="B2719" s="6" t="str">
        <f>INDEX('Lineal Mixto'!$C$5:$C$2004,2*A2719-1)</f>
      </c>
      <c r="C2719" s="6" t="str">
        <f>INDEX('Lineal Mixto'!$C$5:$C$2004,2*A2719)</f>
      </c>
      <c r="D2719" s="6" t="str">
        <f>B2719^2+C2719^2</f>
      </c>
      <c r="E2719" s="6" t="str">
        <f>IF(D2719&lt;=1,1,0)</f>
      </c>
    </row>
    <row r="2720">
      <c r="A2720" s="5">
        <v>693</v>
      </c>
      <c r="B2720" s="5" t="str">
        <f>INDEX('Lineal Mixto'!$C$5:$C$2004,2*A2720-1)</f>
      </c>
      <c r="C2720" s="5" t="str">
        <f>INDEX('Lineal Mixto'!$C$5:$C$2004,2*A2720)</f>
      </c>
      <c r="D2720" s="5" t="str">
        <f>B2720^2+C2720^2</f>
      </c>
      <c r="E2720" s="5" t="str">
        <f>IF(D2720&lt;=1,1,0)</f>
      </c>
    </row>
    <row r="2721">
      <c r="A2721" s="6">
        <v>694</v>
      </c>
      <c r="B2721" s="6" t="str">
        <f>INDEX('Lineal Mixto'!$C$5:$C$2004,2*A2721-1)</f>
      </c>
      <c r="C2721" s="6" t="str">
        <f>INDEX('Lineal Mixto'!$C$5:$C$2004,2*A2721)</f>
      </c>
      <c r="D2721" s="6" t="str">
        <f>B2721^2+C2721^2</f>
      </c>
      <c r="E2721" s="6" t="str">
        <f>IF(D2721&lt;=1,1,0)</f>
      </c>
    </row>
    <row r="2722">
      <c r="A2722" s="5">
        <v>695</v>
      </c>
      <c r="B2722" s="5" t="str">
        <f>INDEX('Lineal Mixto'!$C$5:$C$2004,2*A2722-1)</f>
      </c>
      <c r="C2722" s="5" t="str">
        <f>INDEX('Lineal Mixto'!$C$5:$C$2004,2*A2722)</f>
      </c>
      <c r="D2722" s="5" t="str">
        <f>B2722^2+C2722^2</f>
      </c>
      <c r="E2722" s="5" t="str">
        <f>IF(D2722&lt;=1,1,0)</f>
      </c>
    </row>
    <row r="2723">
      <c r="A2723" s="6">
        <v>696</v>
      </c>
      <c r="B2723" s="6" t="str">
        <f>INDEX('Lineal Mixto'!$C$5:$C$2004,2*A2723-1)</f>
      </c>
      <c r="C2723" s="6" t="str">
        <f>INDEX('Lineal Mixto'!$C$5:$C$2004,2*A2723)</f>
      </c>
      <c r="D2723" s="6" t="str">
        <f>B2723^2+C2723^2</f>
      </c>
      <c r="E2723" s="6" t="str">
        <f>IF(D2723&lt;=1,1,0)</f>
      </c>
    </row>
    <row r="2724">
      <c r="A2724" s="5">
        <v>697</v>
      </c>
      <c r="B2724" s="5" t="str">
        <f>INDEX('Lineal Mixto'!$C$5:$C$2004,2*A2724-1)</f>
      </c>
      <c r="C2724" s="5" t="str">
        <f>INDEX('Lineal Mixto'!$C$5:$C$2004,2*A2724)</f>
      </c>
      <c r="D2724" s="5" t="str">
        <f>B2724^2+C2724^2</f>
      </c>
      <c r="E2724" s="5" t="str">
        <f>IF(D2724&lt;=1,1,0)</f>
      </c>
    </row>
    <row r="2725">
      <c r="A2725" s="6">
        <v>698</v>
      </c>
      <c r="B2725" s="6" t="str">
        <f>INDEX('Lineal Mixto'!$C$5:$C$2004,2*A2725-1)</f>
      </c>
      <c r="C2725" s="6" t="str">
        <f>INDEX('Lineal Mixto'!$C$5:$C$2004,2*A2725)</f>
      </c>
      <c r="D2725" s="6" t="str">
        <f>B2725^2+C2725^2</f>
      </c>
      <c r="E2725" s="6" t="str">
        <f>IF(D2725&lt;=1,1,0)</f>
      </c>
    </row>
    <row r="2726">
      <c r="A2726" s="5">
        <v>699</v>
      </c>
      <c r="B2726" s="5" t="str">
        <f>INDEX('Lineal Mixto'!$C$5:$C$2004,2*A2726-1)</f>
      </c>
      <c r="C2726" s="5" t="str">
        <f>INDEX('Lineal Mixto'!$C$5:$C$2004,2*A2726)</f>
      </c>
      <c r="D2726" s="5" t="str">
        <f>B2726^2+C2726^2</f>
      </c>
      <c r="E2726" s="5" t="str">
        <f>IF(D2726&lt;=1,1,0)</f>
      </c>
    </row>
    <row r="2727">
      <c r="A2727" s="6">
        <v>700</v>
      </c>
      <c r="B2727" s="6" t="str">
        <f>INDEX('Lineal Mixto'!$C$5:$C$2004,2*A2727-1)</f>
      </c>
      <c r="C2727" s="6" t="str">
        <f>INDEX('Lineal Mixto'!$C$5:$C$2004,2*A2727)</f>
      </c>
      <c r="D2727" s="6" t="str">
        <f>B2727^2+C2727^2</f>
      </c>
      <c r="E2727" s="6" t="str">
        <f>IF(D2727&lt;=1,1,0)</f>
      </c>
    </row>
    <row r="2728">
      <c r="A2728" s="5">
        <v>701</v>
      </c>
      <c r="B2728" s="5" t="str">
        <f>INDEX('Lineal Mixto'!$C$5:$C$2004,2*A2728-1)</f>
      </c>
      <c r="C2728" s="5" t="str">
        <f>INDEX('Lineal Mixto'!$C$5:$C$2004,2*A2728)</f>
      </c>
      <c r="D2728" s="5" t="str">
        <f>B2728^2+C2728^2</f>
      </c>
      <c r="E2728" s="5" t="str">
        <f>IF(D2728&lt;=1,1,0)</f>
      </c>
    </row>
    <row r="2729">
      <c r="A2729" s="6">
        <v>702</v>
      </c>
      <c r="B2729" s="6" t="str">
        <f>INDEX('Lineal Mixto'!$C$5:$C$2004,2*A2729-1)</f>
      </c>
      <c r="C2729" s="6" t="str">
        <f>INDEX('Lineal Mixto'!$C$5:$C$2004,2*A2729)</f>
      </c>
      <c r="D2729" s="6" t="str">
        <f>B2729^2+C2729^2</f>
      </c>
      <c r="E2729" s="6" t="str">
        <f>IF(D2729&lt;=1,1,0)</f>
      </c>
    </row>
    <row r="2730">
      <c r="A2730" s="5">
        <v>703</v>
      </c>
      <c r="B2730" s="5" t="str">
        <f>INDEX('Lineal Mixto'!$C$5:$C$2004,2*A2730-1)</f>
      </c>
      <c r="C2730" s="5" t="str">
        <f>INDEX('Lineal Mixto'!$C$5:$C$2004,2*A2730)</f>
      </c>
      <c r="D2730" s="5" t="str">
        <f>B2730^2+C2730^2</f>
      </c>
      <c r="E2730" s="5" t="str">
        <f>IF(D2730&lt;=1,1,0)</f>
      </c>
    </row>
    <row r="2731">
      <c r="A2731" s="6">
        <v>704</v>
      </c>
      <c r="B2731" s="6" t="str">
        <f>INDEX('Lineal Mixto'!$C$5:$C$2004,2*A2731-1)</f>
      </c>
      <c r="C2731" s="6" t="str">
        <f>INDEX('Lineal Mixto'!$C$5:$C$2004,2*A2731)</f>
      </c>
      <c r="D2731" s="6" t="str">
        <f>B2731^2+C2731^2</f>
      </c>
      <c r="E2731" s="6" t="str">
        <f>IF(D2731&lt;=1,1,0)</f>
      </c>
    </row>
    <row r="2732">
      <c r="A2732" s="5">
        <v>705</v>
      </c>
      <c r="B2732" s="5" t="str">
        <f>INDEX('Lineal Mixto'!$C$5:$C$2004,2*A2732-1)</f>
      </c>
      <c r="C2732" s="5" t="str">
        <f>INDEX('Lineal Mixto'!$C$5:$C$2004,2*A2732)</f>
      </c>
      <c r="D2732" s="5" t="str">
        <f>B2732^2+C2732^2</f>
      </c>
      <c r="E2732" s="5" t="str">
        <f>IF(D2732&lt;=1,1,0)</f>
      </c>
    </row>
    <row r="2733">
      <c r="A2733" s="6">
        <v>706</v>
      </c>
      <c r="B2733" s="6" t="str">
        <f>INDEX('Lineal Mixto'!$C$5:$C$2004,2*A2733-1)</f>
      </c>
      <c r="C2733" s="6" t="str">
        <f>INDEX('Lineal Mixto'!$C$5:$C$2004,2*A2733)</f>
      </c>
      <c r="D2733" s="6" t="str">
        <f>B2733^2+C2733^2</f>
      </c>
      <c r="E2733" s="6" t="str">
        <f>IF(D2733&lt;=1,1,0)</f>
      </c>
    </row>
    <row r="2734">
      <c r="A2734" s="5">
        <v>707</v>
      </c>
      <c r="B2734" s="5" t="str">
        <f>INDEX('Lineal Mixto'!$C$5:$C$2004,2*A2734-1)</f>
      </c>
      <c r="C2734" s="5" t="str">
        <f>INDEX('Lineal Mixto'!$C$5:$C$2004,2*A2734)</f>
      </c>
      <c r="D2734" s="5" t="str">
        <f>B2734^2+C2734^2</f>
      </c>
      <c r="E2734" s="5" t="str">
        <f>IF(D2734&lt;=1,1,0)</f>
      </c>
    </row>
    <row r="2735">
      <c r="A2735" s="6">
        <v>708</v>
      </c>
      <c r="B2735" s="6" t="str">
        <f>INDEX('Lineal Mixto'!$C$5:$C$2004,2*A2735-1)</f>
      </c>
      <c r="C2735" s="6" t="str">
        <f>INDEX('Lineal Mixto'!$C$5:$C$2004,2*A2735)</f>
      </c>
      <c r="D2735" s="6" t="str">
        <f>B2735^2+C2735^2</f>
      </c>
      <c r="E2735" s="6" t="str">
        <f>IF(D2735&lt;=1,1,0)</f>
      </c>
    </row>
    <row r="2736">
      <c r="A2736" s="5">
        <v>709</v>
      </c>
      <c r="B2736" s="5" t="str">
        <f>INDEX('Lineal Mixto'!$C$5:$C$2004,2*A2736-1)</f>
      </c>
      <c r="C2736" s="5" t="str">
        <f>INDEX('Lineal Mixto'!$C$5:$C$2004,2*A2736)</f>
      </c>
      <c r="D2736" s="5" t="str">
        <f>B2736^2+C2736^2</f>
      </c>
      <c r="E2736" s="5" t="str">
        <f>IF(D2736&lt;=1,1,0)</f>
      </c>
    </row>
    <row r="2737">
      <c r="A2737" s="6">
        <v>710</v>
      </c>
      <c r="B2737" s="6" t="str">
        <f>INDEX('Lineal Mixto'!$C$5:$C$2004,2*A2737-1)</f>
      </c>
      <c r="C2737" s="6" t="str">
        <f>INDEX('Lineal Mixto'!$C$5:$C$2004,2*A2737)</f>
      </c>
      <c r="D2737" s="6" t="str">
        <f>B2737^2+C2737^2</f>
      </c>
      <c r="E2737" s="6" t="str">
        <f>IF(D2737&lt;=1,1,0)</f>
      </c>
    </row>
    <row r="2738">
      <c r="A2738" s="5">
        <v>711</v>
      </c>
      <c r="B2738" s="5" t="str">
        <f>INDEX('Lineal Mixto'!$C$5:$C$2004,2*A2738-1)</f>
      </c>
      <c r="C2738" s="5" t="str">
        <f>INDEX('Lineal Mixto'!$C$5:$C$2004,2*A2738)</f>
      </c>
      <c r="D2738" s="5" t="str">
        <f>B2738^2+C2738^2</f>
      </c>
      <c r="E2738" s="5" t="str">
        <f>IF(D2738&lt;=1,1,0)</f>
      </c>
    </row>
    <row r="2739">
      <c r="A2739" s="6">
        <v>712</v>
      </c>
      <c r="B2739" s="6" t="str">
        <f>INDEX('Lineal Mixto'!$C$5:$C$2004,2*A2739-1)</f>
      </c>
      <c r="C2739" s="6" t="str">
        <f>INDEX('Lineal Mixto'!$C$5:$C$2004,2*A2739)</f>
      </c>
      <c r="D2739" s="6" t="str">
        <f>B2739^2+C2739^2</f>
      </c>
      <c r="E2739" s="6" t="str">
        <f>IF(D2739&lt;=1,1,0)</f>
      </c>
    </row>
    <row r="2740">
      <c r="A2740" s="5">
        <v>713</v>
      </c>
      <c r="B2740" s="5" t="str">
        <f>INDEX('Lineal Mixto'!$C$5:$C$2004,2*A2740-1)</f>
      </c>
      <c r="C2740" s="5" t="str">
        <f>INDEX('Lineal Mixto'!$C$5:$C$2004,2*A2740)</f>
      </c>
      <c r="D2740" s="5" t="str">
        <f>B2740^2+C2740^2</f>
      </c>
      <c r="E2740" s="5" t="str">
        <f>IF(D2740&lt;=1,1,0)</f>
      </c>
    </row>
    <row r="2741">
      <c r="A2741" s="6">
        <v>714</v>
      </c>
      <c r="B2741" s="6" t="str">
        <f>INDEX('Lineal Mixto'!$C$5:$C$2004,2*A2741-1)</f>
      </c>
      <c r="C2741" s="6" t="str">
        <f>INDEX('Lineal Mixto'!$C$5:$C$2004,2*A2741)</f>
      </c>
      <c r="D2741" s="6" t="str">
        <f>B2741^2+C2741^2</f>
      </c>
      <c r="E2741" s="6" t="str">
        <f>IF(D2741&lt;=1,1,0)</f>
      </c>
    </row>
    <row r="2742">
      <c r="A2742" s="5">
        <v>715</v>
      </c>
      <c r="B2742" s="5" t="str">
        <f>INDEX('Lineal Mixto'!$C$5:$C$2004,2*A2742-1)</f>
      </c>
      <c r="C2742" s="5" t="str">
        <f>INDEX('Lineal Mixto'!$C$5:$C$2004,2*A2742)</f>
      </c>
      <c r="D2742" s="5" t="str">
        <f>B2742^2+C2742^2</f>
      </c>
      <c r="E2742" s="5" t="str">
        <f>IF(D2742&lt;=1,1,0)</f>
      </c>
    </row>
    <row r="2743">
      <c r="A2743" s="6">
        <v>716</v>
      </c>
      <c r="B2743" s="6" t="str">
        <f>INDEX('Lineal Mixto'!$C$5:$C$2004,2*A2743-1)</f>
      </c>
      <c r="C2743" s="6" t="str">
        <f>INDEX('Lineal Mixto'!$C$5:$C$2004,2*A2743)</f>
      </c>
      <c r="D2743" s="6" t="str">
        <f>B2743^2+C2743^2</f>
      </c>
      <c r="E2743" s="6" t="str">
        <f>IF(D2743&lt;=1,1,0)</f>
      </c>
    </row>
    <row r="2744">
      <c r="A2744" s="5">
        <v>717</v>
      </c>
      <c r="B2744" s="5" t="str">
        <f>INDEX('Lineal Mixto'!$C$5:$C$2004,2*A2744-1)</f>
      </c>
      <c r="C2744" s="5" t="str">
        <f>INDEX('Lineal Mixto'!$C$5:$C$2004,2*A2744)</f>
      </c>
      <c r="D2744" s="5" t="str">
        <f>B2744^2+C2744^2</f>
      </c>
      <c r="E2744" s="5" t="str">
        <f>IF(D2744&lt;=1,1,0)</f>
      </c>
    </row>
    <row r="2745">
      <c r="A2745" s="6">
        <v>718</v>
      </c>
      <c r="B2745" s="6" t="str">
        <f>INDEX('Lineal Mixto'!$C$5:$C$2004,2*A2745-1)</f>
      </c>
      <c r="C2745" s="6" t="str">
        <f>INDEX('Lineal Mixto'!$C$5:$C$2004,2*A2745)</f>
      </c>
      <c r="D2745" s="6" t="str">
        <f>B2745^2+C2745^2</f>
      </c>
      <c r="E2745" s="6" t="str">
        <f>IF(D2745&lt;=1,1,0)</f>
      </c>
    </row>
    <row r="2746">
      <c r="A2746" s="5">
        <v>719</v>
      </c>
      <c r="B2746" s="5" t="str">
        <f>INDEX('Lineal Mixto'!$C$5:$C$2004,2*A2746-1)</f>
      </c>
      <c r="C2746" s="5" t="str">
        <f>INDEX('Lineal Mixto'!$C$5:$C$2004,2*A2746)</f>
      </c>
      <c r="D2746" s="5" t="str">
        <f>B2746^2+C2746^2</f>
      </c>
      <c r="E2746" s="5" t="str">
        <f>IF(D2746&lt;=1,1,0)</f>
      </c>
    </row>
    <row r="2747">
      <c r="A2747" s="6">
        <v>720</v>
      </c>
      <c r="B2747" s="6" t="str">
        <f>INDEX('Lineal Mixto'!$C$5:$C$2004,2*A2747-1)</f>
      </c>
      <c r="C2747" s="6" t="str">
        <f>INDEX('Lineal Mixto'!$C$5:$C$2004,2*A2747)</f>
      </c>
      <c r="D2747" s="6" t="str">
        <f>B2747^2+C2747^2</f>
      </c>
      <c r="E2747" s="6" t="str">
        <f>IF(D2747&lt;=1,1,0)</f>
      </c>
    </row>
    <row r="2748">
      <c r="A2748" s="5">
        <v>721</v>
      </c>
      <c r="B2748" s="5" t="str">
        <f>INDEX('Lineal Mixto'!$C$5:$C$2004,2*A2748-1)</f>
      </c>
      <c r="C2748" s="5" t="str">
        <f>INDEX('Lineal Mixto'!$C$5:$C$2004,2*A2748)</f>
      </c>
      <c r="D2748" s="5" t="str">
        <f>B2748^2+C2748^2</f>
      </c>
      <c r="E2748" s="5" t="str">
        <f>IF(D2748&lt;=1,1,0)</f>
      </c>
    </row>
    <row r="2749">
      <c r="A2749" s="6">
        <v>722</v>
      </c>
      <c r="B2749" s="6" t="str">
        <f>INDEX('Lineal Mixto'!$C$5:$C$2004,2*A2749-1)</f>
      </c>
      <c r="C2749" s="6" t="str">
        <f>INDEX('Lineal Mixto'!$C$5:$C$2004,2*A2749)</f>
      </c>
      <c r="D2749" s="6" t="str">
        <f>B2749^2+C2749^2</f>
      </c>
      <c r="E2749" s="6" t="str">
        <f>IF(D2749&lt;=1,1,0)</f>
      </c>
    </row>
    <row r="2750">
      <c r="A2750" s="5">
        <v>723</v>
      </c>
      <c r="B2750" s="5" t="str">
        <f>INDEX('Lineal Mixto'!$C$5:$C$2004,2*A2750-1)</f>
      </c>
      <c r="C2750" s="5" t="str">
        <f>INDEX('Lineal Mixto'!$C$5:$C$2004,2*A2750)</f>
      </c>
      <c r="D2750" s="5" t="str">
        <f>B2750^2+C2750^2</f>
      </c>
      <c r="E2750" s="5" t="str">
        <f>IF(D2750&lt;=1,1,0)</f>
      </c>
    </row>
    <row r="2751">
      <c r="A2751" s="6">
        <v>724</v>
      </c>
      <c r="B2751" s="6" t="str">
        <f>INDEX('Lineal Mixto'!$C$5:$C$2004,2*A2751-1)</f>
      </c>
      <c r="C2751" s="6" t="str">
        <f>INDEX('Lineal Mixto'!$C$5:$C$2004,2*A2751)</f>
      </c>
      <c r="D2751" s="6" t="str">
        <f>B2751^2+C2751^2</f>
      </c>
      <c r="E2751" s="6" t="str">
        <f>IF(D2751&lt;=1,1,0)</f>
      </c>
    </row>
    <row r="2752">
      <c r="A2752" s="5">
        <v>725</v>
      </c>
      <c r="B2752" s="5" t="str">
        <f>INDEX('Lineal Mixto'!$C$5:$C$2004,2*A2752-1)</f>
      </c>
      <c r="C2752" s="5" t="str">
        <f>INDEX('Lineal Mixto'!$C$5:$C$2004,2*A2752)</f>
      </c>
      <c r="D2752" s="5" t="str">
        <f>B2752^2+C2752^2</f>
      </c>
      <c r="E2752" s="5" t="str">
        <f>IF(D2752&lt;=1,1,0)</f>
      </c>
    </row>
    <row r="2753">
      <c r="A2753" s="6">
        <v>726</v>
      </c>
      <c r="B2753" s="6" t="str">
        <f>INDEX('Lineal Mixto'!$C$5:$C$2004,2*A2753-1)</f>
      </c>
      <c r="C2753" s="6" t="str">
        <f>INDEX('Lineal Mixto'!$C$5:$C$2004,2*A2753)</f>
      </c>
      <c r="D2753" s="6" t="str">
        <f>B2753^2+C2753^2</f>
      </c>
      <c r="E2753" s="6" t="str">
        <f>IF(D2753&lt;=1,1,0)</f>
      </c>
    </row>
    <row r="2754">
      <c r="A2754" s="5">
        <v>727</v>
      </c>
      <c r="B2754" s="5" t="str">
        <f>INDEX('Lineal Mixto'!$C$5:$C$2004,2*A2754-1)</f>
      </c>
      <c r="C2754" s="5" t="str">
        <f>INDEX('Lineal Mixto'!$C$5:$C$2004,2*A2754)</f>
      </c>
      <c r="D2754" s="5" t="str">
        <f>B2754^2+C2754^2</f>
      </c>
      <c r="E2754" s="5" t="str">
        <f>IF(D2754&lt;=1,1,0)</f>
      </c>
    </row>
    <row r="2755">
      <c r="A2755" s="6">
        <v>728</v>
      </c>
      <c r="B2755" s="6" t="str">
        <f>INDEX('Lineal Mixto'!$C$5:$C$2004,2*A2755-1)</f>
      </c>
      <c r="C2755" s="6" t="str">
        <f>INDEX('Lineal Mixto'!$C$5:$C$2004,2*A2755)</f>
      </c>
      <c r="D2755" s="6" t="str">
        <f>B2755^2+C2755^2</f>
      </c>
      <c r="E2755" s="6" t="str">
        <f>IF(D2755&lt;=1,1,0)</f>
      </c>
    </row>
    <row r="2756">
      <c r="A2756" s="5">
        <v>729</v>
      </c>
      <c r="B2756" s="5" t="str">
        <f>INDEX('Lineal Mixto'!$C$5:$C$2004,2*A2756-1)</f>
      </c>
      <c r="C2756" s="5" t="str">
        <f>INDEX('Lineal Mixto'!$C$5:$C$2004,2*A2756)</f>
      </c>
      <c r="D2756" s="5" t="str">
        <f>B2756^2+C2756^2</f>
      </c>
      <c r="E2756" s="5" t="str">
        <f>IF(D2756&lt;=1,1,0)</f>
      </c>
    </row>
    <row r="2757">
      <c r="A2757" s="6">
        <v>730</v>
      </c>
      <c r="B2757" s="6" t="str">
        <f>INDEX('Lineal Mixto'!$C$5:$C$2004,2*A2757-1)</f>
      </c>
      <c r="C2757" s="6" t="str">
        <f>INDEX('Lineal Mixto'!$C$5:$C$2004,2*A2757)</f>
      </c>
      <c r="D2757" s="6" t="str">
        <f>B2757^2+C2757^2</f>
      </c>
      <c r="E2757" s="6" t="str">
        <f>IF(D2757&lt;=1,1,0)</f>
      </c>
    </row>
    <row r="2758">
      <c r="A2758" s="5">
        <v>731</v>
      </c>
      <c r="B2758" s="5" t="str">
        <f>INDEX('Lineal Mixto'!$C$5:$C$2004,2*A2758-1)</f>
      </c>
      <c r="C2758" s="5" t="str">
        <f>INDEX('Lineal Mixto'!$C$5:$C$2004,2*A2758)</f>
      </c>
      <c r="D2758" s="5" t="str">
        <f>B2758^2+C2758^2</f>
      </c>
      <c r="E2758" s="5" t="str">
        <f>IF(D2758&lt;=1,1,0)</f>
      </c>
    </row>
    <row r="2759">
      <c r="A2759" s="6">
        <v>732</v>
      </c>
      <c r="B2759" s="6" t="str">
        <f>INDEX('Lineal Mixto'!$C$5:$C$2004,2*A2759-1)</f>
      </c>
      <c r="C2759" s="6" t="str">
        <f>INDEX('Lineal Mixto'!$C$5:$C$2004,2*A2759)</f>
      </c>
      <c r="D2759" s="6" t="str">
        <f>B2759^2+C2759^2</f>
      </c>
      <c r="E2759" s="6" t="str">
        <f>IF(D2759&lt;=1,1,0)</f>
      </c>
    </row>
    <row r="2760">
      <c r="A2760" s="5">
        <v>733</v>
      </c>
      <c r="B2760" s="5" t="str">
        <f>INDEX('Lineal Mixto'!$C$5:$C$2004,2*A2760-1)</f>
      </c>
      <c r="C2760" s="5" t="str">
        <f>INDEX('Lineal Mixto'!$C$5:$C$2004,2*A2760)</f>
      </c>
      <c r="D2760" s="5" t="str">
        <f>B2760^2+C2760^2</f>
      </c>
      <c r="E2760" s="5" t="str">
        <f>IF(D2760&lt;=1,1,0)</f>
      </c>
    </row>
    <row r="2761">
      <c r="A2761" s="6">
        <v>734</v>
      </c>
      <c r="B2761" s="6" t="str">
        <f>INDEX('Lineal Mixto'!$C$5:$C$2004,2*A2761-1)</f>
      </c>
      <c r="C2761" s="6" t="str">
        <f>INDEX('Lineal Mixto'!$C$5:$C$2004,2*A2761)</f>
      </c>
      <c r="D2761" s="6" t="str">
        <f>B2761^2+C2761^2</f>
      </c>
      <c r="E2761" s="6" t="str">
        <f>IF(D2761&lt;=1,1,0)</f>
      </c>
    </row>
    <row r="2762">
      <c r="A2762" s="5">
        <v>735</v>
      </c>
      <c r="B2762" s="5" t="str">
        <f>INDEX('Lineal Mixto'!$C$5:$C$2004,2*A2762-1)</f>
      </c>
      <c r="C2762" s="5" t="str">
        <f>INDEX('Lineal Mixto'!$C$5:$C$2004,2*A2762)</f>
      </c>
      <c r="D2762" s="5" t="str">
        <f>B2762^2+C2762^2</f>
      </c>
      <c r="E2762" s="5" t="str">
        <f>IF(D2762&lt;=1,1,0)</f>
      </c>
    </row>
    <row r="2763">
      <c r="A2763" s="6">
        <v>736</v>
      </c>
      <c r="B2763" s="6" t="str">
        <f>INDEX('Lineal Mixto'!$C$5:$C$2004,2*A2763-1)</f>
      </c>
      <c r="C2763" s="6" t="str">
        <f>INDEX('Lineal Mixto'!$C$5:$C$2004,2*A2763)</f>
      </c>
      <c r="D2763" s="6" t="str">
        <f>B2763^2+C2763^2</f>
      </c>
      <c r="E2763" s="6" t="str">
        <f>IF(D2763&lt;=1,1,0)</f>
      </c>
    </row>
    <row r="2764">
      <c r="A2764" s="5">
        <v>737</v>
      </c>
      <c r="B2764" s="5" t="str">
        <f>INDEX('Lineal Mixto'!$C$5:$C$2004,2*A2764-1)</f>
      </c>
      <c r="C2764" s="5" t="str">
        <f>INDEX('Lineal Mixto'!$C$5:$C$2004,2*A2764)</f>
      </c>
      <c r="D2764" s="5" t="str">
        <f>B2764^2+C2764^2</f>
      </c>
      <c r="E2764" s="5" t="str">
        <f>IF(D2764&lt;=1,1,0)</f>
      </c>
    </row>
    <row r="2765">
      <c r="A2765" s="6">
        <v>738</v>
      </c>
      <c r="B2765" s="6" t="str">
        <f>INDEX('Lineal Mixto'!$C$5:$C$2004,2*A2765-1)</f>
      </c>
      <c r="C2765" s="6" t="str">
        <f>INDEX('Lineal Mixto'!$C$5:$C$2004,2*A2765)</f>
      </c>
      <c r="D2765" s="6" t="str">
        <f>B2765^2+C2765^2</f>
      </c>
      <c r="E2765" s="6" t="str">
        <f>IF(D2765&lt;=1,1,0)</f>
      </c>
    </row>
    <row r="2766">
      <c r="A2766" s="5">
        <v>739</v>
      </c>
      <c r="B2766" s="5" t="str">
        <f>INDEX('Lineal Mixto'!$C$5:$C$2004,2*A2766-1)</f>
      </c>
      <c r="C2766" s="5" t="str">
        <f>INDEX('Lineal Mixto'!$C$5:$C$2004,2*A2766)</f>
      </c>
      <c r="D2766" s="5" t="str">
        <f>B2766^2+C2766^2</f>
      </c>
      <c r="E2766" s="5" t="str">
        <f>IF(D2766&lt;=1,1,0)</f>
      </c>
    </row>
    <row r="2767">
      <c r="A2767" s="6">
        <v>740</v>
      </c>
      <c r="B2767" s="6" t="str">
        <f>INDEX('Lineal Mixto'!$C$5:$C$2004,2*A2767-1)</f>
      </c>
      <c r="C2767" s="6" t="str">
        <f>INDEX('Lineal Mixto'!$C$5:$C$2004,2*A2767)</f>
      </c>
      <c r="D2767" s="6" t="str">
        <f>B2767^2+C2767^2</f>
      </c>
      <c r="E2767" s="6" t="str">
        <f>IF(D2767&lt;=1,1,0)</f>
      </c>
    </row>
    <row r="2768">
      <c r="A2768" s="5">
        <v>741</v>
      </c>
      <c r="B2768" s="5" t="str">
        <f>INDEX('Lineal Mixto'!$C$5:$C$2004,2*A2768-1)</f>
      </c>
      <c r="C2768" s="5" t="str">
        <f>INDEX('Lineal Mixto'!$C$5:$C$2004,2*A2768)</f>
      </c>
      <c r="D2768" s="5" t="str">
        <f>B2768^2+C2768^2</f>
      </c>
      <c r="E2768" s="5" t="str">
        <f>IF(D2768&lt;=1,1,0)</f>
      </c>
    </row>
    <row r="2769">
      <c r="A2769" s="6">
        <v>742</v>
      </c>
      <c r="B2769" s="6" t="str">
        <f>INDEX('Lineal Mixto'!$C$5:$C$2004,2*A2769-1)</f>
      </c>
      <c r="C2769" s="6" t="str">
        <f>INDEX('Lineal Mixto'!$C$5:$C$2004,2*A2769)</f>
      </c>
      <c r="D2769" s="6" t="str">
        <f>B2769^2+C2769^2</f>
      </c>
      <c r="E2769" s="6" t="str">
        <f>IF(D2769&lt;=1,1,0)</f>
      </c>
    </row>
    <row r="2770">
      <c r="A2770" s="5">
        <v>743</v>
      </c>
      <c r="B2770" s="5" t="str">
        <f>INDEX('Lineal Mixto'!$C$5:$C$2004,2*A2770-1)</f>
      </c>
      <c r="C2770" s="5" t="str">
        <f>INDEX('Lineal Mixto'!$C$5:$C$2004,2*A2770)</f>
      </c>
      <c r="D2770" s="5" t="str">
        <f>B2770^2+C2770^2</f>
      </c>
      <c r="E2770" s="5" t="str">
        <f>IF(D2770&lt;=1,1,0)</f>
      </c>
    </row>
    <row r="2771">
      <c r="A2771" s="6">
        <v>744</v>
      </c>
      <c r="B2771" s="6" t="str">
        <f>INDEX('Lineal Mixto'!$C$5:$C$2004,2*A2771-1)</f>
      </c>
      <c r="C2771" s="6" t="str">
        <f>INDEX('Lineal Mixto'!$C$5:$C$2004,2*A2771)</f>
      </c>
      <c r="D2771" s="6" t="str">
        <f>B2771^2+C2771^2</f>
      </c>
      <c r="E2771" s="6" t="str">
        <f>IF(D2771&lt;=1,1,0)</f>
      </c>
    </row>
    <row r="2772">
      <c r="A2772" s="5">
        <v>745</v>
      </c>
      <c r="B2772" s="5" t="str">
        <f>INDEX('Lineal Mixto'!$C$5:$C$2004,2*A2772-1)</f>
      </c>
      <c r="C2772" s="5" t="str">
        <f>INDEX('Lineal Mixto'!$C$5:$C$2004,2*A2772)</f>
      </c>
      <c r="D2772" s="5" t="str">
        <f>B2772^2+C2772^2</f>
      </c>
      <c r="E2772" s="5" t="str">
        <f>IF(D2772&lt;=1,1,0)</f>
      </c>
    </row>
    <row r="2773">
      <c r="A2773" s="6">
        <v>746</v>
      </c>
      <c r="B2773" s="6" t="str">
        <f>INDEX('Lineal Mixto'!$C$5:$C$2004,2*A2773-1)</f>
      </c>
      <c r="C2773" s="6" t="str">
        <f>INDEX('Lineal Mixto'!$C$5:$C$2004,2*A2773)</f>
      </c>
      <c r="D2773" s="6" t="str">
        <f>B2773^2+C2773^2</f>
      </c>
      <c r="E2773" s="6" t="str">
        <f>IF(D2773&lt;=1,1,0)</f>
      </c>
    </row>
    <row r="2774">
      <c r="A2774" s="5">
        <v>747</v>
      </c>
      <c r="B2774" s="5" t="str">
        <f>INDEX('Lineal Mixto'!$C$5:$C$2004,2*A2774-1)</f>
      </c>
      <c r="C2774" s="5" t="str">
        <f>INDEX('Lineal Mixto'!$C$5:$C$2004,2*A2774)</f>
      </c>
      <c r="D2774" s="5" t="str">
        <f>B2774^2+C2774^2</f>
      </c>
      <c r="E2774" s="5" t="str">
        <f>IF(D2774&lt;=1,1,0)</f>
      </c>
    </row>
    <row r="2775">
      <c r="A2775" s="6">
        <v>748</v>
      </c>
      <c r="B2775" s="6" t="str">
        <f>INDEX('Lineal Mixto'!$C$5:$C$2004,2*A2775-1)</f>
      </c>
      <c r="C2775" s="6" t="str">
        <f>INDEX('Lineal Mixto'!$C$5:$C$2004,2*A2775)</f>
      </c>
      <c r="D2775" s="6" t="str">
        <f>B2775^2+C2775^2</f>
      </c>
      <c r="E2775" s="6" t="str">
        <f>IF(D2775&lt;=1,1,0)</f>
      </c>
    </row>
    <row r="2776">
      <c r="A2776" s="5">
        <v>749</v>
      </c>
      <c r="B2776" s="5" t="str">
        <f>INDEX('Lineal Mixto'!$C$5:$C$2004,2*A2776-1)</f>
      </c>
      <c r="C2776" s="5" t="str">
        <f>INDEX('Lineal Mixto'!$C$5:$C$2004,2*A2776)</f>
      </c>
      <c r="D2776" s="5" t="str">
        <f>B2776^2+C2776^2</f>
      </c>
      <c r="E2776" s="5" t="str">
        <f>IF(D2776&lt;=1,1,0)</f>
      </c>
    </row>
    <row r="2777">
      <c r="A2777" s="6">
        <v>750</v>
      </c>
      <c r="B2777" s="6" t="str">
        <f>INDEX('Lineal Mixto'!$C$5:$C$2004,2*A2777-1)</f>
      </c>
      <c r="C2777" s="6" t="str">
        <f>INDEX('Lineal Mixto'!$C$5:$C$2004,2*A2777)</f>
      </c>
      <c r="D2777" s="6" t="str">
        <f>B2777^2+C2777^2</f>
      </c>
      <c r="E2777" s="6" t="str">
        <f>IF(D2777&lt;=1,1,0)</f>
      </c>
    </row>
    <row r="2778">
      <c r="A2778" s="5">
        <v>751</v>
      </c>
      <c r="B2778" s="5" t="str">
        <f>INDEX('Lineal Mixto'!$C$5:$C$2004,2*A2778-1)</f>
      </c>
      <c r="C2778" s="5" t="str">
        <f>INDEX('Lineal Mixto'!$C$5:$C$2004,2*A2778)</f>
      </c>
      <c r="D2778" s="5" t="str">
        <f>B2778^2+C2778^2</f>
      </c>
      <c r="E2778" s="5" t="str">
        <f>IF(D2778&lt;=1,1,0)</f>
      </c>
    </row>
    <row r="2779">
      <c r="A2779" s="6">
        <v>752</v>
      </c>
      <c r="B2779" s="6" t="str">
        <f>INDEX('Lineal Mixto'!$C$5:$C$2004,2*A2779-1)</f>
      </c>
      <c r="C2779" s="6" t="str">
        <f>INDEX('Lineal Mixto'!$C$5:$C$2004,2*A2779)</f>
      </c>
      <c r="D2779" s="6" t="str">
        <f>B2779^2+C2779^2</f>
      </c>
      <c r="E2779" s="6" t="str">
        <f>IF(D2779&lt;=1,1,0)</f>
      </c>
    </row>
    <row r="2780">
      <c r="A2780" s="5">
        <v>753</v>
      </c>
      <c r="B2780" s="5" t="str">
        <f>INDEX('Lineal Mixto'!$C$5:$C$2004,2*A2780-1)</f>
      </c>
      <c r="C2780" s="5" t="str">
        <f>INDEX('Lineal Mixto'!$C$5:$C$2004,2*A2780)</f>
      </c>
      <c r="D2780" s="5" t="str">
        <f>B2780^2+C2780^2</f>
      </c>
      <c r="E2780" s="5" t="str">
        <f>IF(D2780&lt;=1,1,0)</f>
      </c>
    </row>
    <row r="2781">
      <c r="A2781" s="6">
        <v>754</v>
      </c>
      <c r="B2781" s="6" t="str">
        <f>INDEX('Lineal Mixto'!$C$5:$C$2004,2*A2781-1)</f>
      </c>
      <c r="C2781" s="6" t="str">
        <f>INDEX('Lineal Mixto'!$C$5:$C$2004,2*A2781)</f>
      </c>
      <c r="D2781" s="6" t="str">
        <f>B2781^2+C2781^2</f>
      </c>
      <c r="E2781" s="6" t="str">
        <f>IF(D2781&lt;=1,1,0)</f>
      </c>
    </row>
    <row r="2782">
      <c r="A2782" s="5">
        <v>755</v>
      </c>
      <c r="B2782" s="5" t="str">
        <f>INDEX('Lineal Mixto'!$C$5:$C$2004,2*A2782-1)</f>
      </c>
      <c r="C2782" s="5" t="str">
        <f>INDEX('Lineal Mixto'!$C$5:$C$2004,2*A2782)</f>
      </c>
      <c r="D2782" s="5" t="str">
        <f>B2782^2+C2782^2</f>
      </c>
      <c r="E2782" s="5" t="str">
        <f>IF(D2782&lt;=1,1,0)</f>
      </c>
    </row>
    <row r="2783">
      <c r="A2783" s="6">
        <v>756</v>
      </c>
      <c r="B2783" s="6" t="str">
        <f>INDEX('Lineal Mixto'!$C$5:$C$2004,2*A2783-1)</f>
      </c>
      <c r="C2783" s="6" t="str">
        <f>INDEX('Lineal Mixto'!$C$5:$C$2004,2*A2783)</f>
      </c>
      <c r="D2783" s="6" t="str">
        <f>B2783^2+C2783^2</f>
      </c>
      <c r="E2783" s="6" t="str">
        <f>IF(D2783&lt;=1,1,0)</f>
      </c>
    </row>
    <row r="2784">
      <c r="A2784" s="5">
        <v>757</v>
      </c>
      <c r="B2784" s="5" t="str">
        <f>INDEX('Lineal Mixto'!$C$5:$C$2004,2*A2784-1)</f>
      </c>
      <c r="C2784" s="5" t="str">
        <f>INDEX('Lineal Mixto'!$C$5:$C$2004,2*A2784)</f>
      </c>
      <c r="D2784" s="5" t="str">
        <f>B2784^2+C2784^2</f>
      </c>
      <c r="E2784" s="5" t="str">
        <f>IF(D2784&lt;=1,1,0)</f>
      </c>
    </row>
    <row r="2785">
      <c r="A2785" s="6">
        <v>758</v>
      </c>
      <c r="B2785" s="6" t="str">
        <f>INDEX('Lineal Mixto'!$C$5:$C$2004,2*A2785-1)</f>
      </c>
      <c r="C2785" s="6" t="str">
        <f>INDEX('Lineal Mixto'!$C$5:$C$2004,2*A2785)</f>
      </c>
      <c r="D2785" s="6" t="str">
        <f>B2785^2+C2785^2</f>
      </c>
      <c r="E2785" s="6" t="str">
        <f>IF(D2785&lt;=1,1,0)</f>
      </c>
    </row>
    <row r="2786">
      <c r="A2786" s="5">
        <v>759</v>
      </c>
      <c r="B2786" s="5" t="str">
        <f>INDEX('Lineal Mixto'!$C$5:$C$2004,2*A2786-1)</f>
      </c>
      <c r="C2786" s="5" t="str">
        <f>INDEX('Lineal Mixto'!$C$5:$C$2004,2*A2786)</f>
      </c>
      <c r="D2786" s="5" t="str">
        <f>B2786^2+C2786^2</f>
      </c>
      <c r="E2786" s="5" t="str">
        <f>IF(D2786&lt;=1,1,0)</f>
      </c>
    </row>
    <row r="2787">
      <c r="A2787" s="6">
        <v>760</v>
      </c>
      <c r="B2787" s="6" t="str">
        <f>INDEX('Lineal Mixto'!$C$5:$C$2004,2*A2787-1)</f>
      </c>
      <c r="C2787" s="6" t="str">
        <f>INDEX('Lineal Mixto'!$C$5:$C$2004,2*A2787)</f>
      </c>
      <c r="D2787" s="6" t="str">
        <f>B2787^2+C2787^2</f>
      </c>
      <c r="E2787" s="6" t="str">
        <f>IF(D2787&lt;=1,1,0)</f>
      </c>
    </row>
    <row r="2788">
      <c r="A2788" s="5">
        <v>761</v>
      </c>
      <c r="B2788" s="5" t="str">
        <f>INDEX('Lineal Mixto'!$C$5:$C$2004,2*A2788-1)</f>
      </c>
      <c r="C2788" s="5" t="str">
        <f>INDEX('Lineal Mixto'!$C$5:$C$2004,2*A2788)</f>
      </c>
      <c r="D2788" s="5" t="str">
        <f>B2788^2+C2788^2</f>
      </c>
      <c r="E2788" s="5" t="str">
        <f>IF(D2788&lt;=1,1,0)</f>
      </c>
    </row>
    <row r="2789">
      <c r="A2789" s="6">
        <v>762</v>
      </c>
      <c r="B2789" s="6" t="str">
        <f>INDEX('Lineal Mixto'!$C$5:$C$2004,2*A2789-1)</f>
      </c>
      <c r="C2789" s="6" t="str">
        <f>INDEX('Lineal Mixto'!$C$5:$C$2004,2*A2789)</f>
      </c>
      <c r="D2789" s="6" t="str">
        <f>B2789^2+C2789^2</f>
      </c>
      <c r="E2789" s="6" t="str">
        <f>IF(D2789&lt;=1,1,0)</f>
      </c>
    </row>
    <row r="2790">
      <c r="A2790" s="5">
        <v>763</v>
      </c>
      <c r="B2790" s="5" t="str">
        <f>INDEX('Lineal Mixto'!$C$5:$C$2004,2*A2790-1)</f>
      </c>
      <c r="C2790" s="5" t="str">
        <f>INDEX('Lineal Mixto'!$C$5:$C$2004,2*A2790)</f>
      </c>
      <c r="D2790" s="5" t="str">
        <f>B2790^2+C2790^2</f>
      </c>
      <c r="E2790" s="5" t="str">
        <f>IF(D2790&lt;=1,1,0)</f>
      </c>
    </row>
    <row r="2791">
      <c r="A2791" s="6">
        <v>764</v>
      </c>
      <c r="B2791" s="6" t="str">
        <f>INDEX('Lineal Mixto'!$C$5:$C$2004,2*A2791-1)</f>
      </c>
      <c r="C2791" s="6" t="str">
        <f>INDEX('Lineal Mixto'!$C$5:$C$2004,2*A2791)</f>
      </c>
      <c r="D2791" s="6" t="str">
        <f>B2791^2+C2791^2</f>
      </c>
      <c r="E2791" s="6" t="str">
        <f>IF(D2791&lt;=1,1,0)</f>
      </c>
    </row>
    <row r="2792">
      <c r="A2792" s="5">
        <v>765</v>
      </c>
      <c r="B2792" s="5" t="str">
        <f>INDEX('Lineal Mixto'!$C$5:$C$2004,2*A2792-1)</f>
      </c>
      <c r="C2792" s="5" t="str">
        <f>INDEX('Lineal Mixto'!$C$5:$C$2004,2*A2792)</f>
      </c>
      <c r="D2792" s="5" t="str">
        <f>B2792^2+C2792^2</f>
      </c>
      <c r="E2792" s="5" t="str">
        <f>IF(D2792&lt;=1,1,0)</f>
      </c>
    </row>
    <row r="2793">
      <c r="A2793" s="6">
        <v>766</v>
      </c>
      <c r="B2793" s="6" t="str">
        <f>INDEX('Lineal Mixto'!$C$5:$C$2004,2*A2793-1)</f>
      </c>
      <c r="C2793" s="6" t="str">
        <f>INDEX('Lineal Mixto'!$C$5:$C$2004,2*A2793)</f>
      </c>
      <c r="D2793" s="6" t="str">
        <f>B2793^2+C2793^2</f>
      </c>
      <c r="E2793" s="6" t="str">
        <f>IF(D2793&lt;=1,1,0)</f>
      </c>
    </row>
    <row r="2794">
      <c r="A2794" s="5">
        <v>767</v>
      </c>
      <c r="B2794" s="5" t="str">
        <f>INDEX('Lineal Mixto'!$C$5:$C$2004,2*A2794-1)</f>
      </c>
      <c r="C2794" s="5" t="str">
        <f>INDEX('Lineal Mixto'!$C$5:$C$2004,2*A2794)</f>
      </c>
      <c r="D2794" s="5" t="str">
        <f>B2794^2+C2794^2</f>
      </c>
      <c r="E2794" s="5" t="str">
        <f>IF(D2794&lt;=1,1,0)</f>
      </c>
    </row>
    <row r="2795">
      <c r="A2795" s="6">
        <v>768</v>
      </c>
      <c r="B2795" s="6" t="str">
        <f>INDEX('Lineal Mixto'!$C$5:$C$2004,2*A2795-1)</f>
      </c>
      <c r="C2795" s="6" t="str">
        <f>INDEX('Lineal Mixto'!$C$5:$C$2004,2*A2795)</f>
      </c>
      <c r="D2795" s="6" t="str">
        <f>B2795^2+C2795^2</f>
      </c>
      <c r="E2795" s="6" t="str">
        <f>IF(D2795&lt;=1,1,0)</f>
      </c>
    </row>
    <row r="2796">
      <c r="A2796" s="5">
        <v>769</v>
      </c>
      <c r="B2796" s="5" t="str">
        <f>INDEX('Lineal Mixto'!$C$5:$C$2004,2*A2796-1)</f>
      </c>
      <c r="C2796" s="5" t="str">
        <f>INDEX('Lineal Mixto'!$C$5:$C$2004,2*A2796)</f>
      </c>
      <c r="D2796" s="5" t="str">
        <f>B2796^2+C2796^2</f>
      </c>
      <c r="E2796" s="5" t="str">
        <f>IF(D2796&lt;=1,1,0)</f>
      </c>
    </row>
    <row r="2797">
      <c r="A2797" s="6">
        <v>770</v>
      </c>
      <c r="B2797" s="6" t="str">
        <f>INDEX('Lineal Mixto'!$C$5:$C$2004,2*A2797-1)</f>
      </c>
      <c r="C2797" s="6" t="str">
        <f>INDEX('Lineal Mixto'!$C$5:$C$2004,2*A2797)</f>
      </c>
      <c r="D2797" s="6" t="str">
        <f>B2797^2+C2797^2</f>
      </c>
      <c r="E2797" s="6" t="str">
        <f>IF(D2797&lt;=1,1,0)</f>
      </c>
    </row>
    <row r="2798">
      <c r="A2798" s="5">
        <v>771</v>
      </c>
      <c r="B2798" s="5" t="str">
        <f>INDEX('Lineal Mixto'!$C$5:$C$2004,2*A2798-1)</f>
      </c>
      <c r="C2798" s="5" t="str">
        <f>INDEX('Lineal Mixto'!$C$5:$C$2004,2*A2798)</f>
      </c>
      <c r="D2798" s="5" t="str">
        <f>B2798^2+C2798^2</f>
      </c>
      <c r="E2798" s="5" t="str">
        <f>IF(D2798&lt;=1,1,0)</f>
      </c>
    </row>
    <row r="2799">
      <c r="A2799" s="6">
        <v>772</v>
      </c>
      <c r="B2799" s="6" t="str">
        <f>INDEX('Lineal Mixto'!$C$5:$C$2004,2*A2799-1)</f>
      </c>
      <c r="C2799" s="6" t="str">
        <f>INDEX('Lineal Mixto'!$C$5:$C$2004,2*A2799)</f>
      </c>
      <c r="D2799" s="6" t="str">
        <f>B2799^2+C2799^2</f>
      </c>
      <c r="E2799" s="6" t="str">
        <f>IF(D2799&lt;=1,1,0)</f>
      </c>
    </row>
    <row r="2800">
      <c r="A2800" s="5">
        <v>773</v>
      </c>
      <c r="B2800" s="5" t="str">
        <f>INDEX('Lineal Mixto'!$C$5:$C$2004,2*A2800-1)</f>
      </c>
      <c r="C2800" s="5" t="str">
        <f>INDEX('Lineal Mixto'!$C$5:$C$2004,2*A2800)</f>
      </c>
      <c r="D2800" s="5" t="str">
        <f>B2800^2+C2800^2</f>
      </c>
      <c r="E2800" s="5" t="str">
        <f>IF(D2800&lt;=1,1,0)</f>
      </c>
    </row>
    <row r="2801">
      <c r="A2801" s="6">
        <v>774</v>
      </c>
      <c r="B2801" s="6" t="str">
        <f>INDEX('Lineal Mixto'!$C$5:$C$2004,2*A2801-1)</f>
      </c>
      <c r="C2801" s="6" t="str">
        <f>INDEX('Lineal Mixto'!$C$5:$C$2004,2*A2801)</f>
      </c>
      <c r="D2801" s="6" t="str">
        <f>B2801^2+C2801^2</f>
      </c>
      <c r="E2801" s="6" t="str">
        <f>IF(D2801&lt;=1,1,0)</f>
      </c>
    </row>
    <row r="2802">
      <c r="A2802" s="5">
        <v>775</v>
      </c>
      <c r="B2802" s="5" t="str">
        <f>INDEX('Lineal Mixto'!$C$5:$C$2004,2*A2802-1)</f>
      </c>
      <c r="C2802" s="5" t="str">
        <f>INDEX('Lineal Mixto'!$C$5:$C$2004,2*A2802)</f>
      </c>
      <c r="D2802" s="5" t="str">
        <f>B2802^2+C2802^2</f>
      </c>
      <c r="E2802" s="5" t="str">
        <f>IF(D2802&lt;=1,1,0)</f>
      </c>
    </row>
    <row r="2803">
      <c r="A2803" s="6">
        <v>776</v>
      </c>
      <c r="B2803" s="6" t="str">
        <f>INDEX('Lineal Mixto'!$C$5:$C$2004,2*A2803-1)</f>
      </c>
      <c r="C2803" s="6" t="str">
        <f>INDEX('Lineal Mixto'!$C$5:$C$2004,2*A2803)</f>
      </c>
      <c r="D2803" s="6" t="str">
        <f>B2803^2+C2803^2</f>
      </c>
      <c r="E2803" s="6" t="str">
        <f>IF(D2803&lt;=1,1,0)</f>
      </c>
    </row>
    <row r="2804">
      <c r="A2804" s="5">
        <v>777</v>
      </c>
      <c r="B2804" s="5" t="str">
        <f>INDEX('Lineal Mixto'!$C$5:$C$2004,2*A2804-1)</f>
      </c>
      <c r="C2804" s="5" t="str">
        <f>INDEX('Lineal Mixto'!$C$5:$C$2004,2*A2804)</f>
      </c>
      <c r="D2804" s="5" t="str">
        <f>B2804^2+C2804^2</f>
      </c>
      <c r="E2804" s="5" t="str">
        <f>IF(D2804&lt;=1,1,0)</f>
      </c>
    </row>
    <row r="2805">
      <c r="A2805" s="6">
        <v>778</v>
      </c>
      <c r="B2805" s="6" t="str">
        <f>INDEX('Lineal Mixto'!$C$5:$C$2004,2*A2805-1)</f>
      </c>
      <c r="C2805" s="6" t="str">
        <f>INDEX('Lineal Mixto'!$C$5:$C$2004,2*A2805)</f>
      </c>
      <c r="D2805" s="6" t="str">
        <f>B2805^2+C2805^2</f>
      </c>
      <c r="E2805" s="6" t="str">
        <f>IF(D2805&lt;=1,1,0)</f>
      </c>
    </row>
    <row r="2806">
      <c r="A2806" s="5">
        <v>779</v>
      </c>
      <c r="B2806" s="5" t="str">
        <f>INDEX('Lineal Mixto'!$C$5:$C$2004,2*A2806-1)</f>
      </c>
      <c r="C2806" s="5" t="str">
        <f>INDEX('Lineal Mixto'!$C$5:$C$2004,2*A2806)</f>
      </c>
      <c r="D2806" s="5" t="str">
        <f>B2806^2+C2806^2</f>
      </c>
      <c r="E2806" s="5" t="str">
        <f>IF(D2806&lt;=1,1,0)</f>
      </c>
    </row>
    <row r="2807">
      <c r="A2807" s="6">
        <v>780</v>
      </c>
      <c r="B2807" s="6" t="str">
        <f>INDEX('Lineal Mixto'!$C$5:$C$2004,2*A2807-1)</f>
      </c>
      <c r="C2807" s="6" t="str">
        <f>INDEX('Lineal Mixto'!$C$5:$C$2004,2*A2807)</f>
      </c>
      <c r="D2807" s="6" t="str">
        <f>B2807^2+C2807^2</f>
      </c>
      <c r="E2807" s="6" t="str">
        <f>IF(D2807&lt;=1,1,0)</f>
      </c>
    </row>
    <row r="2808">
      <c r="A2808" s="5">
        <v>781</v>
      </c>
      <c r="B2808" s="5" t="str">
        <f>INDEX('Lineal Mixto'!$C$5:$C$2004,2*A2808-1)</f>
      </c>
      <c r="C2808" s="5" t="str">
        <f>INDEX('Lineal Mixto'!$C$5:$C$2004,2*A2808)</f>
      </c>
      <c r="D2808" s="5" t="str">
        <f>B2808^2+C2808^2</f>
      </c>
      <c r="E2808" s="5" t="str">
        <f>IF(D2808&lt;=1,1,0)</f>
      </c>
    </row>
    <row r="2809">
      <c r="A2809" s="6">
        <v>782</v>
      </c>
      <c r="B2809" s="6" t="str">
        <f>INDEX('Lineal Mixto'!$C$5:$C$2004,2*A2809-1)</f>
      </c>
      <c r="C2809" s="6" t="str">
        <f>INDEX('Lineal Mixto'!$C$5:$C$2004,2*A2809)</f>
      </c>
      <c r="D2809" s="6" t="str">
        <f>B2809^2+C2809^2</f>
      </c>
      <c r="E2809" s="6" t="str">
        <f>IF(D2809&lt;=1,1,0)</f>
      </c>
    </row>
    <row r="2810">
      <c r="A2810" s="5">
        <v>783</v>
      </c>
      <c r="B2810" s="5" t="str">
        <f>INDEX('Lineal Mixto'!$C$5:$C$2004,2*A2810-1)</f>
      </c>
      <c r="C2810" s="5" t="str">
        <f>INDEX('Lineal Mixto'!$C$5:$C$2004,2*A2810)</f>
      </c>
      <c r="D2810" s="5" t="str">
        <f>B2810^2+C2810^2</f>
      </c>
      <c r="E2810" s="5" t="str">
        <f>IF(D2810&lt;=1,1,0)</f>
      </c>
    </row>
    <row r="2811">
      <c r="A2811" s="6">
        <v>784</v>
      </c>
      <c r="B2811" s="6" t="str">
        <f>INDEX('Lineal Mixto'!$C$5:$C$2004,2*A2811-1)</f>
      </c>
      <c r="C2811" s="6" t="str">
        <f>INDEX('Lineal Mixto'!$C$5:$C$2004,2*A2811)</f>
      </c>
      <c r="D2811" s="6" t="str">
        <f>B2811^2+C2811^2</f>
      </c>
      <c r="E2811" s="6" t="str">
        <f>IF(D2811&lt;=1,1,0)</f>
      </c>
    </row>
    <row r="2812">
      <c r="A2812" s="5">
        <v>785</v>
      </c>
      <c r="B2812" s="5" t="str">
        <f>INDEX('Lineal Mixto'!$C$5:$C$2004,2*A2812-1)</f>
      </c>
      <c r="C2812" s="5" t="str">
        <f>INDEX('Lineal Mixto'!$C$5:$C$2004,2*A2812)</f>
      </c>
      <c r="D2812" s="5" t="str">
        <f>B2812^2+C2812^2</f>
      </c>
      <c r="E2812" s="5" t="str">
        <f>IF(D2812&lt;=1,1,0)</f>
      </c>
    </row>
    <row r="2813">
      <c r="A2813" s="6">
        <v>786</v>
      </c>
      <c r="B2813" s="6" t="str">
        <f>INDEX('Lineal Mixto'!$C$5:$C$2004,2*A2813-1)</f>
      </c>
      <c r="C2813" s="6" t="str">
        <f>INDEX('Lineal Mixto'!$C$5:$C$2004,2*A2813)</f>
      </c>
      <c r="D2813" s="6" t="str">
        <f>B2813^2+C2813^2</f>
      </c>
      <c r="E2813" s="6" t="str">
        <f>IF(D2813&lt;=1,1,0)</f>
      </c>
    </row>
    <row r="2814">
      <c r="A2814" s="5">
        <v>787</v>
      </c>
      <c r="B2814" s="5" t="str">
        <f>INDEX('Lineal Mixto'!$C$5:$C$2004,2*A2814-1)</f>
      </c>
      <c r="C2814" s="5" t="str">
        <f>INDEX('Lineal Mixto'!$C$5:$C$2004,2*A2814)</f>
      </c>
      <c r="D2814" s="5" t="str">
        <f>B2814^2+C2814^2</f>
      </c>
      <c r="E2814" s="5" t="str">
        <f>IF(D2814&lt;=1,1,0)</f>
      </c>
    </row>
    <row r="2815">
      <c r="A2815" s="6">
        <v>788</v>
      </c>
      <c r="B2815" s="6" t="str">
        <f>INDEX('Lineal Mixto'!$C$5:$C$2004,2*A2815-1)</f>
      </c>
      <c r="C2815" s="6" t="str">
        <f>INDEX('Lineal Mixto'!$C$5:$C$2004,2*A2815)</f>
      </c>
      <c r="D2815" s="6" t="str">
        <f>B2815^2+C2815^2</f>
      </c>
      <c r="E2815" s="6" t="str">
        <f>IF(D2815&lt;=1,1,0)</f>
      </c>
    </row>
    <row r="2816">
      <c r="A2816" s="5">
        <v>789</v>
      </c>
      <c r="B2816" s="5" t="str">
        <f>INDEX('Lineal Mixto'!$C$5:$C$2004,2*A2816-1)</f>
      </c>
      <c r="C2816" s="5" t="str">
        <f>INDEX('Lineal Mixto'!$C$5:$C$2004,2*A2816)</f>
      </c>
      <c r="D2816" s="5" t="str">
        <f>B2816^2+C2816^2</f>
      </c>
      <c r="E2816" s="5" t="str">
        <f>IF(D2816&lt;=1,1,0)</f>
      </c>
    </row>
    <row r="2817">
      <c r="A2817" s="6">
        <v>790</v>
      </c>
      <c r="B2817" s="6" t="str">
        <f>INDEX('Lineal Mixto'!$C$5:$C$2004,2*A2817-1)</f>
      </c>
      <c r="C2817" s="6" t="str">
        <f>INDEX('Lineal Mixto'!$C$5:$C$2004,2*A2817)</f>
      </c>
      <c r="D2817" s="6" t="str">
        <f>B2817^2+C2817^2</f>
      </c>
      <c r="E2817" s="6" t="str">
        <f>IF(D2817&lt;=1,1,0)</f>
      </c>
    </row>
    <row r="2818">
      <c r="A2818" s="5">
        <v>791</v>
      </c>
      <c r="B2818" s="5" t="str">
        <f>INDEX('Lineal Mixto'!$C$5:$C$2004,2*A2818-1)</f>
      </c>
      <c r="C2818" s="5" t="str">
        <f>INDEX('Lineal Mixto'!$C$5:$C$2004,2*A2818)</f>
      </c>
      <c r="D2818" s="5" t="str">
        <f>B2818^2+C2818^2</f>
      </c>
      <c r="E2818" s="5" t="str">
        <f>IF(D2818&lt;=1,1,0)</f>
      </c>
    </row>
    <row r="2819">
      <c r="A2819" s="6">
        <v>792</v>
      </c>
      <c r="B2819" s="6" t="str">
        <f>INDEX('Lineal Mixto'!$C$5:$C$2004,2*A2819-1)</f>
      </c>
      <c r="C2819" s="6" t="str">
        <f>INDEX('Lineal Mixto'!$C$5:$C$2004,2*A2819)</f>
      </c>
      <c r="D2819" s="6" t="str">
        <f>B2819^2+C2819^2</f>
      </c>
      <c r="E2819" s="6" t="str">
        <f>IF(D2819&lt;=1,1,0)</f>
      </c>
    </row>
    <row r="2820">
      <c r="A2820" s="5">
        <v>793</v>
      </c>
      <c r="B2820" s="5" t="str">
        <f>INDEX('Lineal Mixto'!$C$5:$C$2004,2*A2820-1)</f>
      </c>
      <c r="C2820" s="5" t="str">
        <f>INDEX('Lineal Mixto'!$C$5:$C$2004,2*A2820)</f>
      </c>
      <c r="D2820" s="5" t="str">
        <f>B2820^2+C2820^2</f>
      </c>
      <c r="E2820" s="5" t="str">
        <f>IF(D2820&lt;=1,1,0)</f>
      </c>
    </row>
    <row r="2821">
      <c r="A2821" s="6">
        <v>794</v>
      </c>
      <c r="B2821" s="6" t="str">
        <f>INDEX('Lineal Mixto'!$C$5:$C$2004,2*A2821-1)</f>
      </c>
      <c r="C2821" s="6" t="str">
        <f>INDEX('Lineal Mixto'!$C$5:$C$2004,2*A2821)</f>
      </c>
      <c r="D2821" s="6" t="str">
        <f>B2821^2+C2821^2</f>
      </c>
      <c r="E2821" s="6" t="str">
        <f>IF(D2821&lt;=1,1,0)</f>
      </c>
    </row>
    <row r="2822">
      <c r="A2822" s="5">
        <v>795</v>
      </c>
      <c r="B2822" s="5" t="str">
        <f>INDEX('Lineal Mixto'!$C$5:$C$2004,2*A2822-1)</f>
      </c>
      <c r="C2822" s="5" t="str">
        <f>INDEX('Lineal Mixto'!$C$5:$C$2004,2*A2822)</f>
      </c>
      <c r="D2822" s="5" t="str">
        <f>B2822^2+C2822^2</f>
      </c>
      <c r="E2822" s="5" t="str">
        <f>IF(D2822&lt;=1,1,0)</f>
      </c>
    </row>
    <row r="2823">
      <c r="A2823" s="6">
        <v>796</v>
      </c>
      <c r="B2823" s="6" t="str">
        <f>INDEX('Lineal Mixto'!$C$5:$C$2004,2*A2823-1)</f>
      </c>
      <c r="C2823" s="6" t="str">
        <f>INDEX('Lineal Mixto'!$C$5:$C$2004,2*A2823)</f>
      </c>
      <c r="D2823" s="6" t="str">
        <f>B2823^2+C2823^2</f>
      </c>
      <c r="E2823" s="6" t="str">
        <f>IF(D2823&lt;=1,1,0)</f>
      </c>
    </row>
    <row r="2824">
      <c r="A2824" s="5">
        <v>797</v>
      </c>
      <c r="B2824" s="5" t="str">
        <f>INDEX('Lineal Mixto'!$C$5:$C$2004,2*A2824-1)</f>
      </c>
      <c r="C2824" s="5" t="str">
        <f>INDEX('Lineal Mixto'!$C$5:$C$2004,2*A2824)</f>
      </c>
      <c r="D2824" s="5" t="str">
        <f>B2824^2+C2824^2</f>
      </c>
      <c r="E2824" s="5" t="str">
        <f>IF(D2824&lt;=1,1,0)</f>
      </c>
    </row>
    <row r="2825">
      <c r="A2825" s="6">
        <v>798</v>
      </c>
      <c r="B2825" s="6" t="str">
        <f>INDEX('Lineal Mixto'!$C$5:$C$2004,2*A2825-1)</f>
      </c>
      <c r="C2825" s="6" t="str">
        <f>INDEX('Lineal Mixto'!$C$5:$C$2004,2*A2825)</f>
      </c>
      <c r="D2825" s="6" t="str">
        <f>B2825^2+C2825^2</f>
      </c>
      <c r="E2825" s="6" t="str">
        <f>IF(D2825&lt;=1,1,0)</f>
      </c>
    </row>
    <row r="2826">
      <c r="A2826" s="5">
        <v>799</v>
      </c>
      <c r="B2826" s="5" t="str">
        <f>INDEX('Lineal Mixto'!$C$5:$C$2004,2*A2826-1)</f>
      </c>
      <c r="C2826" s="5" t="str">
        <f>INDEX('Lineal Mixto'!$C$5:$C$2004,2*A2826)</f>
      </c>
      <c r="D2826" s="5" t="str">
        <f>B2826^2+C2826^2</f>
      </c>
      <c r="E2826" s="5" t="str">
        <f>IF(D2826&lt;=1,1,0)</f>
      </c>
    </row>
    <row r="2827">
      <c r="A2827" s="6">
        <v>800</v>
      </c>
      <c r="B2827" s="6" t="str">
        <f>INDEX('Lineal Mixto'!$C$5:$C$2004,2*A2827-1)</f>
      </c>
      <c r="C2827" s="6" t="str">
        <f>INDEX('Lineal Mixto'!$C$5:$C$2004,2*A2827)</f>
      </c>
      <c r="D2827" s="6" t="str">
        <f>B2827^2+C2827^2</f>
      </c>
      <c r="E2827" s="6" t="str">
        <f>IF(D2827&lt;=1,1,0)</f>
      </c>
    </row>
    <row r="2828">
      <c r="A2828" s="5">
        <v>801</v>
      </c>
      <c r="B2828" s="5" t="str">
        <f>INDEX('Lineal Mixto'!$C$5:$C$2004,2*A2828-1)</f>
      </c>
      <c r="C2828" s="5" t="str">
        <f>INDEX('Lineal Mixto'!$C$5:$C$2004,2*A2828)</f>
      </c>
      <c r="D2828" s="5" t="str">
        <f>B2828^2+C2828^2</f>
      </c>
      <c r="E2828" s="5" t="str">
        <f>IF(D2828&lt;=1,1,0)</f>
      </c>
    </row>
    <row r="2829">
      <c r="A2829" s="6">
        <v>802</v>
      </c>
      <c r="B2829" s="6" t="str">
        <f>INDEX('Lineal Mixto'!$C$5:$C$2004,2*A2829-1)</f>
      </c>
      <c r="C2829" s="6" t="str">
        <f>INDEX('Lineal Mixto'!$C$5:$C$2004,2*A2829)</f>
      </c>
      <c r="D2829" s="6" t="str">
        <f>B2829^2+C2829^2</f>
      </c>
      <c r="E2829" s="6" t="str">
        <f>IF(D2829&lt;=1,1,0)</f>
      </c>
    </row>
    <row r="2830">
      <c r="A2830" s="5">
        <v>803</v>
      </c>
      <c r="B2830" s="5" t="str">
        <f>INDEX('Lineal Mixto'!$C$5:$C$2004,2*A2830-1)</f>
      </c>
      <c r="C2830" s="5" t="str">
        <f>INDEX('Lineal Mixto'!$C$5:$C$2004,2*A2830)</f>
      </c>
      <c r="D2830" s="5" t="str">
        <f>B2830^2+C2830^2</f>
      </c>
      <c r="E2830" s="5" t="str">
        <f>IF(D2830&lt;=1,1,0)</f>
      </c>
    </row>
    <row r="2831">
      <c r="A2831" s="6">
        <v>804</v>
      </c>
      <c r="B2831" s="6" t="str">
        <f>INDEX('Lineal Mixto'!$C$5:$C$2004,2*A2831-1)</f>
      </c>
      <c r="C2831" s="6" t="str">
        <f>INDEX('Lineal Mixto'!$C$5:$C$2004,2*A2831)</f>
      </c>
      <c r="D2831" s="6" t="str">
        <f>B2831^2+C2831^2</f>
      </c>
      <c r="E2831" s="6" t="str">
        <f>IF(D2831&lt;=1,1,0)</f>
      </c>
    </row>
    <row r="2832">
      <c r="A2832" s="5">
        <v>805</v>
      </c>
      <c r="B2832" s="5" t="str">
        <f>INDEX('Lineal Mixto'!$C$5:$C$2004,2*A2832-1)</f>
      </c>
      <c r="C2832" s="5" t="str">
        <f>INDEX('Lineal Mixto'!$C$5:$C$2004,2*A2832)</f>
      </c>
      <c r="D2832" s="5" t="str">
        <f>B2832^2+C2832^2</f>
      </c>
      <c r="E2832" s="5" t="str">
        <f>IF(D2832&lt;=1,1,0)</f>
      </c>
    </row>
    <row r="2833">
      <c r="A2833" s="6">
        <v>806</v>
      </c>
      <c r="B2833" s="6" t="str">
        <f>INDEX('Lineal Mixto'!$C$5:$C$2004,2*A2833-1)</f>
      </c>
      <c r="C2833" s="6" t="str">
        <f>INDEX('Lineal Mixto'!$C$5:$C$2004,2*A2833)</f>
      </c>
      <c r="D2833" s="6" t="str">
        <f>B2833^2+C2833^2</f>
      </c>
      <c r="E2833" s="6" t="str">
        <f>IF(D2833&lt;=1,1,0)</f>
      </c>
    </row>
    <row r="2834">
      <c r="A2834" s="5">
        <v>807</v>
      </c>
      <c r="B2834" s="5" t="str">
        <f>INDEX('Lineal Mixto'!$C$5:$C$2004,2*A2834-1)</f>
      </c>
      <c r="C2834" s="5" t="str">
        <f>INDEX('Lineal Mixto'!$C$5:$C$2004,2*A2834)</f>
      </c>
      <c r="D2834" s="5" t="str">
        <f>B2834^2+C2834^2</f>
      </c>
      <c r="E2834" s="5" t="str">
        <f>IF(D2834&lt;=1,1,0)</f>
      </c>
    </row>
    <row r="2835">
      <c r="A2835" s="6">
        <v>808</v>
      </c>
      <c r="B2835" s="6" t="str">
        <f>INDEX('Lineal Mixto'!$C$5:$C$2004,2*A2835-1)</f>
      </c>
      <c r="C2835" s="6" t="str">
        <f>INDEX('Lineal Mixto'!$C$5:$C$2004,2*A2835)</f>
      </c>
      <c r="D2835" s="6" t="str">
        <f>B2835^2+C2835^2</f>
      </c>
      <c r="E2835" s="6" t="str">
        <f>IF(D2835&lt;=1,1,0)</f>
      </c>
    </row>
    <row r="2836">
      <c r="A2836" s="5">
        <v>809</v>
      </c>
      <c r="B2836" s="5" t="str">
        <f>INDEX('Lineal Mixto'!$C$5:$C$2004,2*A2836-1)</f>
      </c>
      <c r="C2836" s="5" t="str">
        <f>INDEX('Lineal Mixto'!$C$5:$C$2004,2*A2836)</f>
      </c>
      <c r="D2836" s="5" t="str">
        <f>B2836^2+C2836^2</f>
      </c>
      <c r="E2836" s="5" t="str">
        <f>IF(D2836&lt;=1,1,0)</f>
      </c>
    </row>
    <row r="2837">
      <c r="A2837" s="6">
        <v>810</v>
      </c>
      <c r="B2837" s="6" t="str">
        <f>INDEX('Lineal Mixto'!$C$5:$C$2004,2*A2837-1)</f>
      </c>
      <c r="C2837" s="6" t="str">
        <f>INDEX('Lineal Mixto'!$C$5:$C$2004,2*A2837)</f>
      </c>
      <c r="D2837" s="6" t="str">
        <f>B2837^2+C2837^2</f>
      </c>
      <c r="E2837" s="6" t="str">
        <f>IF(D2837&lt;=1,1,0)</f>
      </c>
    </row>
    <row r="2838">
      <c r="A2838" s="5">
        <v>811</v>
      </c>
      <c r="B2838" s="5" t="str">
        <f>INDEX('Lineal Mixto'!$C$5:$C$2004,2*A2838-1)</f>
      </c>
      <c r="C2838" s="5" t="str">
        <f>INDEX('Lineal Mixto'!$C$5:$C$2004,2*A2838)</f>
      </c>
      <c r="D2838" s="5" t="str">
        <f>B2838^2+C2838^2</f>
      </c>
      <c r="E2838" s="5" t="str">
        <f>IF(D2838&lt;=1,1,0)</f>
      </c>
    </row>
    <row r="2839">
      <c r="A2839" s="6">
        <v>812</v>
      </c>
      <c r="B2839" s="6" t="str">
        <f>INDEX('Lineal Mixto'!$C$5:$C$2004,2*A2839-1)</f>
      </c>
      <c r="C2839" s="6" t="str">
        <f>INDEX('Lineal Mixto'!$C$5:$C$2004,2*A2839)</f>
      </c>
      <c r="D2839" s="6" t="str">
        <f>B2839^2+C2839^2</f>
      </c>
      <c r="E2839" s="6" t="str">
        <f>IF(D2839&lt;=1,1,0)</f>
      </c>
    </row>
    <row r="2840">
      <c r="A2840" s="5">
        <v>813</v>
      </c>
      <c r="B2840" s="5" t="str">
        <f>INDEX('Lineal Mixto'!$C$5:$C$2004,2*A2840-1)</f>
      </c>
      <c r="C2840" s="5" t="str">
        <f>INDEX('Lineal Mixto'!$C$5:$C$2004,2*A2840)</f>
      </c>
      <c r="D2840" s="5" t="str">
        <f>B2840^2+C2840^2</f>
      </c>
      <c r="E2840" s="5" t="str">
        <f>IF(D2840&lt;=1,1,0)</f>
      </c>
    </row>
    <row r="2841">
      <c r="A2841" s="6">
        <v>814</v>
      </c>
      <c r="B2841" s="6" t="str">
        <f>INDEX('Lineal Mixto'!$C$5:$C$2004,2*A2841-1)</f>
      </c>
      <c r="C2841" s="6" t="str">
        <f>INDEX('Lineal Mixto'!$C$5:$C$2004,2*A2841)</f>
      </c>
      <c r="D2841" s="6" t="str">
        <f>B2841^2+C2841^2</f>
      </c>
      <c r="E2841" s="6" t="str">
        <f>IF(D2841&lt;=1,1,0)</f>
      </c>
    </row>
    <row r="2842">
      <c r="A2842" s="5">
        <v>815</v>
      </c>
      <c r="B2842" s="5" t="str">
        <f>INDEX('Lineal Mixto'!$C$5:$C$2004,2*A2842-1)</f>
      </c>
      <c r="C2842" s="5" t="str">
        <f>INDEX('Lineal Mixto'!$C$5:$C$2004,2*A2842)</f>
      </c>
      <c r="D2842" s="5" t="str">
        <f>B2842^2+C2842^2</f>
      </c>
      <c r="E2842" s="5" t="str">
        <f>IF(D2842&lt;=1,1,0)</f>
      </c>
    </row>
    <row r="2843">
      <c r="A2843" s="6">
        <v>816</v>
      </c>
      <c r="B2843" s="6" t="str">
        <f>INDEX('Lineal Mixto'!$C$5:$C$2004,2*A2843-1)</f>
      </c>
      <c r="C2843" s="6" t="str">
        <f>INDEX('Lineal Mixto'!$C$5:$C$2004,2*A2843)</f>
      </c>
      <c r="D2843" s="6" t="str">
        <f>B2843^2+C2843^2</f>
      </c>
      <c r="E2843" s="6" t="str">
        <f>IF(D2843&lt;=1,1,0)</f>
      </c>
    </row>
    <row r="2844">
      <c r="A2844" s="5">
        <v>817</v>
      </c>
      <c r="B2844" s="5" t="str">
        <f>INDEX('Lineal Mixto'!$C$5:$C$2004,2*A2844-1)</f>
      </c>
      <c r="C2844" s="5" t="str">
        <f>INDEX('Lineal Mixto'!$C$5:$C$2004,2*A2844)</f>
      </c>
      <c r="D2844" s="5" t="str">
        <f>B2844^2+C2844^2</f>
      </c>
      <c r="E2844" s="5" t="str">
        <f>IF(D2844&lt;=1,1,0)</f>
      </c>
    </row>
    <row r="2845">
      <c r="A2845" s="6">
        <v>818</v>
      </c>
      <c r="B2845" s="6" t="str">
        <f>INDEX('Lineal Mixto'!$C$5:$C$2004,2*A2845-1)</f>
      </c>
      <c r="C2845" s="6" t="str">
        <f>INDEX('Lineal Mixto'!$C$5:$C$2004,2*A2845)</f>
      </c>
      <c r="D2845" s="6" t="str">
        <f>B2845^2+C2845^2</f>
      </c>
      <c r="E2845" s="6" t="str">
        <f>IF(D2845&lt;=1,1,0)</f>
      </c>
    </row>
    <row r="2846">
      <c r="A2846" s="5">
        <v>819</v>
      </c>
      <c r="B2846" s="5" t="str">
        <f>INDEX('Lineal Mixto'!$C$5:$C$2004,2*A2846-1)</f>
      </c>
      <c r="C2846" s="5" t="str">
        <f>INDEX('Lineal Mixto'!$C$5:$C$2004,2*A2846)</f>
      </c>
      <c r="D2846" s="5" t="str">
        <f>B2846^2+C2846^2</f>
      </c>
      <c r="E2846" s="5" t="str">
        <f>IF(D2846&lt;=1,1,0)</f>
      </c>
    </row>
    <row r="2847">
      <c r="A2847" s="6">
        <v>820</v>
      </c>
      <c r="B2847" s="6" t="str">
        <f>INDEX('Lineal Mixto'!$C$5:$C$2004,2*A2847-1)</f>
      </c>
      <c r="C2847" s="6" t="str">
        <f>INDEX('Lineal Mixto'!$C$5:$C$2004,2*A2847)</f>
      </c>
      <c r="D2847" s="6" t="str">
        <f>B2847^2+C2847^2</f>
      </c>
      <c r="E2847" s="6" t="str">
        <f>IF(D2847&lt;=1,1,0)</f>
      </c>
    </row>
    <row r="2848">
      <c r="A2848" s="5">
        <v>821</v>
      </c>
      <c r="B2848" s="5" t="str">
        <f>INDEX('Lineal Mixto'!$C$5:$C$2004,2*A2848-1)</f>
      </c>
      <c r="C2848" s="5" t="str">
        <f>INDEX('Lineal Mixto'!$C$5:$C$2004,2*A2848)</f>
      </c>
      <c r="D2848" s="5" t="str">
        <f>B2848^2+C2848^2</f>
      </c>
      <c r="E2848" s="5" t="str">
        <f>IF(D2848&lt;=1,1,0)</f>
      </c>
    </row>
    <row r="2849">
      <c r="A2849" s="6">
        <v>822</v>
      </c>
      <c r="B2849" s="6" t="str">
        <f>INDEX('Lineal Mixto'!$C$5:$C$2004,2*A2849-1)</f>
      </c>
      <c r="C2849" s="6" t="str">
        <f>INDEX('Lineal Mixto'!$C$5:$C$2004,2*A2849)</f>
      </c>
      <c r="D2849" s="6" t="str">
        <f>B2849^2+C2849^2</f>
      </c>
      <c r="E2849" s="6" t="str">
        <f>IF(D2849&lt;=1,1,0)</f>
      </c>
    </row>
    <row r="2850">
      <c r="A2850" s="5">
        <v>823</v>
      </c>
      <c r="B2850" s="5" t="str">
        <f>INDEX('Lineal Mixto'!$C$5:$C$2004,2*A2850-1)</f>
      </c>
      <c r="C2850" s="5" t="str">
        <f>INDEX('Lineal Mixto'!$C$5:$C$2004,2*A2850)</f>
      </c>
      <c r="D2850" s="5" t="str">
        <f>B2850^2+C2850^2</f>
      </c>
      <c r="E2850" s="5" t="str">
        <f>IF(D2850&lt;=1,1,0)</f>
      </c>
    </row>
    <row r="2851">
      <c r="A2851" s="6">
        <v>824</v>
      </c>
      <c r="B2851" s="6" t="str">
        <f>INDEX('Lineal Mixto'!$C$5:$C$2004,2*A2851-1)</f>
      </c>
      <c r="C2851" s="6" t="str">
        <f>INDEX('Lineal Mixto'!$C$5:$C$2004,2*A2851)</f>
      </c>
      <c r="D2851" s="6" t="str">
        <f>B2851^2+C2851^2</f>
      </c>
      <c r="E2851" s="6" t="str">
        <f>IF(D2851&lt;=1,1,0)</f>
      </c>
    </row>
    <row r="2852">
      <c r="A2852" s="5">
        <v>825</v>
      </c>
      <c r="B2852" s="5" t="str">
        <f>INDEX('Lineal Mixto'!$C$5:$C$2004,2*A2852-1)</f>
      </c>
      <c r="C2852" s="5" t="str">
        <f>INDEX('Lineal Mixto'!$C$5:$C$2004,2*A2852)</f>
      </c>
      <c r="D2852" s="5" t="str">
        <f>B2852^2+C2852^2</f>
      </c>
      <c r="E2852" s="5" t="str">
        <f>IF(D2852&lt;=1,1,0)</f>
      </c>
    </row>
    <row r="2853">
      <c r="A2853" s="6">
        <v>826</v>
      </c>
      <c r="B2853" s="6" t="str">
        <f>INDEX('Lineal Mixto'!$C$5:$C$2004,2*A2853-1)</f>
      </c>
      <c r="C2853" s="6" t="str">
        <f>INDEX('Lineal Mixto'!$C$5:$C$2004,2*A2853)</f>
      </c>
      <c r="D2853" s="6" t="str">
        <f>B2853^2+C2853^2</f>
      </c>
      <c r="E2853" s="6" t="str">
        <f>IF(D2853&lt;=1,1,0)</f>
      </c>
    </row>
    <row r="2854">
      <c r="A2854" s="5">
        <v>827</v>
      </c>
      <c r="B2854" s="5" t="str">
        <f>INDEX('Lineal Mixto'!$C$5:$C$2004,2*A2854-1)</f>
      </c>
      <c r="C2854" s="5" t="str">
        <f>INDEX('Lineal Mixto'!$C$5:$C$2004,2*A2854)</f>
      </c>
      <c r="D2854" s="5" t="str">
        <f>B2854^2+C2854^2</f>
      </c>
      <c r="E2854" s="5" t="str">
        <f>IF(D2854&lt;=1,1,0)</f>
      </c>
    </row>
    <row r="2855">
      <c r="A2855" s="6">
        <v>828</v>
      </c>
      <c r="B2855" s="6" t="str">
        <f>INDEX('Lineal Mixto'!$C$5:$C$2004,2*A2855-1)</f>
      </c>
      <c r="C2855" s="6" t="str">
        <f>INDEX('Lineal Mixto'!$C$5:$C$2004,2*A2855)</f>
      </c>
      <c r="D2855" s="6" t="str">
        <f>B2855^2+C2855^2</f>
      </c>
      <c r="E2855" s="6" t="str">
        <f>IF(D2855&lt;=1,1,0)</f>
      </c>
    </row>
    <row r="2856">
      <c r="A2856" s="5">
        <v>829</v>
      </c>
      <c r="B2856" s="5" t="str">
        <f>INDEX('Lineal Mixto'!$C$5:$C$2004,2*A2856-1)</f>
      </c>
      <c r="C2856" s="5" t="str">
        <f>INDEX('Lineal Mixto'!$C$5:$C$2004,2*A2856)</f>
      </c>
      <c r="D2856" s="5" t="str">
        <f>B2856^2+C2856^2</f>
      </c>
      <c r="E2856" s="5" t="str">
        <f>IF(D2856&lt;=1,1,0)</f>
      </c>
    </row>
    <row r="2857">
      <c r="A2857" s="6">
        <v>830</v>
      </c>
      <c r="B2857" s="6" t="str">
        <f>INDEX('Lineal Mixto'!$C$5:$C$2004,2*A2857-1)</f>
      </c>
      <c r="C2857" s="6" t="str">
        <f>INDEX('Lineal Mixto'!$C$5:$C$2004,2*A2857)</f>
      </c>
      <c r="D2857" s="6" t="str">
        <f>B2857^2+C2857^2</f>
      </c>
      <c r="E2857" s="6" t="str">
        <f>IF(D2857&lt;=1,1,0)</f>
      </c>
    </row>
    <row r="2858">
      <c r="A2858" s="5">
        <v>831</v>
      </c>
      <c r="B2858" s="5" t="str">
        <f>INDEX('Lineal Mixto'!$C$5:$C$2004,2*A2858-1)</f>
      </c>
      <c r="C2858" s="5" t="str">
        <f>INDEX('Lineal Mixto'!$C$5:$C$2004,2*A2858)</f>
      </c>
      <c r="D2858" s="5" t="str">
        <f>B2858^2+C2858^2</f>
      </c>
      <c r="E2858" s="5" t="str">
        <f>IF(D2858&lt;=1,1,0)</f>
      </c>
    </row>
    <row r="2859">
      <c r="A2859" s="6">
        <v>832</v>
      </c>
      <c r="B2859" s="6" t="str">
        <f>INDEX('Lineal Mixto'!$C$5:$C$2004,2*A2859-1)</f>
      </c>
      <c r="C2859" s="6" t="str">
        <f>INDEX('Lineal Mixto'!$C$5:$C$2004,2*A2859)</f>
      </c>
      <c r="D2859" s="6" t="str">
        <f>B2859^2+C2859^2</f>
      </c>
      <c r="E2859" s="6" t="str">
        <f>IF(D2859&lt;=1,1,0)</f>
      </c>
    </row>
    <row r="2860">
      <c r="A2860" s="5">
        <v>833</v>
      </c>
      <c r="B2860" s="5" t="str">
        <f>INDEX('Lineal Mixto'!$C$5:$C$2004,2*A2860-1)</f>
      </c>
      <c r="C2860" s="5" t="str">
        <f>INDEX('Lineal Mixto'!$C$5:$C$2004,2*A2860)</f>
      </c>
      <c r="D2860" s="5" t="str">
        <f>B2860^2+C2860^2</f>
      </c>
      <c r="E2860" s="5" t="str">
        <f>IF(D2860&lt;=1,1,0)</f>
      </c>
    </row>
    <row r="2861">
      <c r="A2861" s="6">
        <v>834</v>
      </c>
      <c r="B2861" s="6" t="str">
        <f>INDEX('Lineal Mixto'!$C$5:$C$2004,2*A2861-1)</f>
      </c>
      <c r="C2861" s="6" t="str">
        <f>INDEX('Lineal Mixto'!$C$5:$C$2004,2*A2861)</f>
      </c>
      <c r="D2861" s="6" t="str">
        <f>B2861^2+C2861^2</f>
      </c>
      <c r="E2861" s="6" t="str">
        <f>IF(D2861&lt;=1,1,0)</f>
      </c>
    </row>
    <row r="2862">
      <c r="A2862" s="5">
        <v>835</v>
      </c>
      <c r="B2862" s="5" t="str">
        <f>INDEX('Lineal Mixto'!$C$5:$C$2004,2*A2862-1)</f>
      </c>
      <c r="C2862" s="5" t="str">
        <f>INDEX('Lineal Mixto'!$C$5:$C$2004,2*A2862)</f>
      </c>
      <c r="D2862" s="5" t="str">
        <f>B2862^2+C2862^2</f>
      </c>
      <c r="E2862" s="5" t="str">
        <f>IF(D2862&lt;=1,1,0)</f>
      </c>
    </row>
    <row r="2863">
      <c r="A2863" s="6">
        <v>836</v>
      </c>
      <c r="B2863" s="6" t="str">
        <f>INDEX('Lineal Mixto'!$C$5:$C$2004,2*A2863-1)</f>
      </c>
      <c r="C2863" s="6" t="str">
        <f>INDEX('Lineal Mixto'!$C$5:$C$2004,2*A2863)</f>
      </c>
      <c r="D2863" s="6" t="str">
        <f>B2863^2+C2863^2</f>
      </c>
      <c r="E2863" s="6" t="str">
        <f>IF(D2863&lt;=1,1,0)</f>
      </c>
    </row>
    <row r="2864">
      <c r="A2864" s="5">
        <v>837</v>
      </c>
      <c r="B2864" s="5" t="str">
        <f>INDEX('Lineal Mixto'!$C$5:$C$2004,2*A2864-1)</f>
      </c>
      <c r="C2864" s="5" t="str">
        <f>INDEX('Lineal Mixto'!$C$5:$C$2004,2*A2864)</f>
      </c>
      <c r="D2864" s="5" t="str">
        <f>B2864^2+C2864^2</f>
      </c>
      <c r="E2864" s="5" t="str">
        <f>IF(D2864&lt;=1,1,0)</f>
      </c>
    </row>
    <row r="2865">
      <c r="A2865" s="6">
        <v>838</v>
      </c>
      <c r="B2865" s="6" t="str">
        <f>INDEX('Lineal Mixto'!$C$5:$C$2004,2*A2865-1)</f>
      </c>
      <c r="C2865" s="6" t="str">
        <f>INDEX('Lineal Mixto'!$C$5:$C$2004,2*A2865)</f>
      </c>
      <c r="D2865" s="6" t="str">
        <f>B2865^2+C2865^2</f>
      </c>
      <c r="E2865" s="6" t="str">
        <f>IF(D2865&lt;=1,1,0)</f>
      </c>
    </row>
    <row r="2866">
      <c r="A2866" s="5">
        <v>839</v>
      </c>
      <c r="B2866" s="5" t="str">
        <f>INDEX('Lineal Mixto'!$C$5:$C$2004,2*A2866-1)</f>
      </c>
      <c r="C2866" s="5" t="str">
        <f>INDEX('Lineal Mixto'!$C$5:$C$2004,2*A2866)</f>
      </c>
      <c r="D2866" s="5" t="str">
        <f>B2866^2+C2866^2</f>
      </c>
      <c r="E2866" s="5" t="str">
        <f>IF(D2866&lt;=1,1,0)</f>
      </c>
    </row>
    <row r="2867">
      <c r="A2867" s="6">
        <v>840</v>
      </c>
      <c r="B2867" s="6" t="str">
        <f>INDEX('Lineal Mixto'!$C$5:$C$2004,2*A2867-1)</f>
      </c>
      <c r="C2867" s="6" t="str">
        <f>INDEX('Lineal Mixto'!$C$5:$C$2004,2*A2867)</f>
      </c>
      <c r="D2867" s="6" t="str">
        <f>B2867^2+C2867^2</f>
      </c>
      <c r="E2867" s="6" t="str">
        <f>IF(D2867&lt;=1,1,0)</f>
      </c>
    </row>
    <row r="2868">
      <c r="A2868" s="5">
        <v>841</v>
      </c>
      <c r="B2868" s="5" t="str">
        <f>INDEX('Lineal Mixto'!$C$5:$C$2004,2*A2868-1)</f>
      </c>
      <c r="C2868" s="5" t="str">
        <f>INDEX('Lineal Mixto'!$C$5:$C$2004,2*A2868)</f>
      </c>
      <c r="D2868" s="5" t="str">
        <f>B2868^2+C2868^2</f>
      </c>
      <c r="E2868" s="5" t="str">
        <f>IF(D2868&lt;=1,1,0)</f>
      </c>
    </row>
    <row r="2869">
      <c r="A2869" s="6">
        <v>842</v>
      </c>
      <c r="B2869" s="6" t="str">
        <f>INDEX('Lineal Mixto'!$C$5:$C$2004,2*A2869-1)</f>
      </c>
      <c r="C2869" s="6" t="str">
        <f>INDEX('Lineal Mixto'!$C$5:$C$2004,2*A2869)</f>
      </c>
      <c r="D2869" s="6" t="str">
        <f>B2869^2+C2869^2</f>
      </c>
      <c r="E2869" s="6" t="str">
        <f>IF(D2869&lt;=1,1,0)</f>
      </c>
    </row>
    <row r="2870">
      <c r="A2870" s="5">
        <v>843</v>
      </c>
      <c r="B2870" s="5" t="str">
        <f>INDEX('Lineal Mixto'!$C$5:$C$2004,2*A2870-1)</f>
      </c>
      <c r="C2870" s="5" t="str">
        <f>INDEX('Lineal Mixto'!$C$5:$C$2004,2*A2870)</f>
      </c>
      <c r="D2870" s="5" t="str">
        <f>B2870^2+C2870^2</f>
      </c>
      <c r="E2870" s="5" t="str">
        <f>IF(D2870&lt;=1,1,0)</f>
      </c>
    </row>
    <row r="2871">
      <c r="A2871" s="6">
        <v>844</v>
      </c>
      <c r="B2871" s="6" t="str">
        <f>INDEX('Lineal Mixto'!$C$5:$C$2004,2*A2871-1)</f>
      </c>
      <c r="C2871" s="6" t="str">
        <f>INDEX('Lineal Mixto'!$C$5:$C$2004,2*A2871)</f>
      </c>
      <c r="D2871" s="6" t="str">
        <f>B2871^2+C2871^2</f>
      </c>
      <c r="E2871" s="6" t="str">
        <f>IF(D2871&lt;=1,1,0)</f>
      </c>
    </row>
    <row r="2872">
      <c r="A2872" s="5">
        <v>845</v>
      </c>
      <c r="B2872" s="5" t="str">
        <f>INDEX('Lineal Mixto'!$C$5:$C$2004,2*A2872-1)</f>
      </c>
      <c r="C2872" s="5" t="str">
        <f>INDEX('Lineal Mixto'!$C$5:$C$2004,2*A2872)</f>
      </c>
      <c r="D2872" s="5" t="str">
        <f>B2872^2+C2872^2</f>
      </c>
      <c r="E2872" s="5" t="str">
        <f>IF(D2872&lt;=1,1,0)</f>
      </c>
    </row>
    <row r="2873">
      <c r="A2873" s="6">
        <v>846</v>
      </c>
      <c r="B2873" s="6" t="str">
        <f>INDEX('Lineal Mixto'!$C$5:$C$2004,2*A2873-1)</f>
      </c>
      <c r="C2873" s="6" t="str">
        <f>INDEX('Lineal Mixto'!$C$5:$C$2004,2*A2873)</f>
      </c>
      <c r="D2873" s="6" t="str">
        <f>B2873^2+C2873^2</f>
      </c>
      <c r="E2873" s="6" t="str">
        <f>IF(D2873&lt;=1,1,0)</f>
      </c>
    </row>
    <row r="2874">
      <c r="A2874" s="5">
        <v>847</v>
      </c>
      <c r="B2874" s="5" t="str">
        <f>INDEX('Lineal Mixto'!$C$5:$C$2004,2*A2874-1)</f>
      </c>
      <c r="C2874" s="5" t="str">
        <f>INDEX('Lineal Mixto'!$C$5:$C$2004,2*A2874)</f>
      </c>
      <c r="D2874" s="5" t="str">
        <f>B2874^2+C2874^2</f>
      </c>
      <c r="E2874" s="5" t="str">
        <f>IF(D2874&lt;=1,1,0)</f>
      </c>
    </row>
    <row r="2875">
      <c r="A2875" s="6">
        <v>848</v>
      </c>
      <c r="B2875" s="6" t="str">
        <f>INDEX('Lineal Mixto'!$C$5:$C$2004,2*A2875-1)</f>
      </c>
      <c r="C2875" s="6" t="str">
        <f>INDEX('Lineal Mixto'!$C$5:$C$2004,2*A2875)</f>
      </c>
      <c r="D2875" s="6" t="str">
        <f>B2875^2+C2875^2</f>
      </c>
      <c r="E2875" s="6" t="str">
        <f>IF(D2875&lt;=1,1,0)</f>
      </c>
    </row>
    <row r="2876">
      <c r="A2876" s="5">
        <v>849</v>
      </c>
      <c r="B2876" s="5" t="str">
        <f>INDEX('Lineal Mixto'!$C$5:$C$2004,2*A2876-1)</f>
      </c>
      <c r="C2876" s="5" t="str">
        <f>INDEX('Lineal Mixto'!$C$5:$C$2004,2*A2876)</f>
      </c>
      <c r="D2876" s="5" t="str">
        <f>B2876^2+C2876^2</f>
      </c>
      <c r="E2876" s="5" t="str">
        <f>IF(D2876&lt;=1,1,0)</f>
      </c>
    </row>
    <row r="2877">
      <c r="A2877" s="6">
        <v>850</v>
      </c>
      <c r="B2877" s="6" t="str">
        <f>INDEX('Lineal Mixto'!$C$5:$C$2004,2*A2877-1)</f>
      </c>
      <c r="C2877" s="6" t="str">
        <f>INDEX('Lineal Mixto'!$C$5:$C$2004,2*A2877)</f>
      </c>
      <c r="D2877" s="6" t="str">
        <f>B2877^2+C2877^2</f>
      </c>
      <c r="E2877" s="6" t="str">
        <f>IF(D2877&lt;=1,1,0)</f>
      </c>
    </row>
    <row r="2878">
      <c r="A2878" s="5">
        <v>851</v>
      </c>
      <c r="B2878" s="5" t="str">
        <f>INDEX('Lineal Mixto'!$C$5:$C$2004,2*A2878-1)</f>
      </c>
      <c r="C2878" s="5" t="str">
        <f>INDEX('Lineal Mixto'!$C$5:$C$2004,2*A2878)</f>
      </c>
      <c r="D2878" s="5" t="str">
        <f>B2878^2+C2878^2</f>
      </c>
      <c r="E2878" s="5" t="str">
        <f>IF(D2878&lt;=1,1,0)</f>
      </c>
    </row>
    <row r="2879">
      <c r="A2879" s="6">
        <v>852</v>
      </c>
      <c r="B2879" s="6" t="str">
        <f>INDEX('Lineal Mixto'!$C$5:$C$2004,2*A2879-1)</f>
      </c>
      <c r="C2879" s="6" t="str">
        <f>INDEX('Lineal Mixto'!$C$5:$C$2004,2*A2879)</f>
      </c>
      <c r="D2879" s="6" t="str">
        <f>B2879^2+C2879^2</f>
      </c>
      <c r="E2879" s="6" t="str">
        <f>IF(D2879&lt;=1,1,0)</f>
      </c>
    </row>
    <row r="2880">
      <c r="A2880" s="5">
        <v>853</v>
      </c>
      <c r="B2880" s="5" t="str">
        <f>INDEX('Lineal Mixto'!$C$5:$C$2004,2*A2880-1)</f>
      </c>
      <c r="C2880" s="5" t="str">
        <f>INDEX('Lineal Mixto'!$C$5:$C$2004,2*A2880)</f>
      </c>
      <c r="D2880" s="5" t="str">
        <f>B2880^2+C2880^2</f>
      </c>
      <c r="E2880" s="5" t="str">
        <f>IF(D2880&lt;=1,1,0)</f>
      </c>
    </row>
    <row r="2881">
      <c r="A2881" s="6">
        <v>854</v>
      </c>
      <c r="B2881" s="6" t="str">
        <f>INDEX('Lineal Mixto'!$C$5:$C$2004,2*A2881-1)</f>
      </c>
      <c r="C2881" s="6" t="str">
        <f>INDEX('Lineal Mixto'!$C$5:$C$2004,2*A2881)</f>
      </c>
      <c r="D2881" s="6" t="str">
        <f>B2881^2+C2881^2</f>
      </c>
      <c r="E2881" s="6" t="str">
        <f>IF(D2881&lt;=1,1,0)</f>
      </c>
    </row>
    <row r="2882">
      <c r="A2882" s="5">
        <v>855</v>
      </c>
      <c r="B2882" s="5" t="str">
        <f>INDEX('Lineal Mixto'!$C$5:$C$2004,2*A2882-1)</f>
      </c>
      <c r="C2882" s="5" t="str">
        <f>INDEX('Lineal Mixto'!$C$5:$C$2004,2*A2882)</f>
      </c>
      <c r="D2882" s="5" t="str">
        <f>B2882^2+C2882^2</f>
      </c>
      <c r="E2882" s="5" t="str">
        <f>IF(D2882&lt;=1,1,0)</f>
      </c>
    </row>
    <row r="2883">
      <c r="A2883" s="6">
        <v>856</v>
      </c>
      <c r="B2883" s="6" t="str">
        <f>INDEX('Lineal Mixto'!$C$5:$C$2004,2*A2883-1)</f>
      </c>
      <c r="C2883" s="6" t="str">
        <f>INDEX('Lineal Mixto'!$C$5:$C$2004,2*A2883)</f>
      </c>
      <c r="D2883" s="6" t="str">
        <f>B2883^2+C2883^2</f>
      </c>
      <c r="E2883" s="6" t="str">
        <f>IF(D2883&lt;=1,1,0)</f>
      </c>
    </row>
    <row r="2884">
      <c r="A2884" s="5">
        <v>857</v>
      </c>
      <c r="B2884" s="5" t="str">
        <f>INDEX('Lineal Mixto'!$C$5:$C$2004,2*A2884-1)</f>
      </c>
      <c r="C2884" s="5" t="str">
        <f>INDEX('Lineal Mixto'!$C$5:$C$2004,2*A2884)</f>
      </c>
      <c r="D2884" s="5" t="str">
        <f>B2884^2+C2884^2</f>
      </c>
      <c r="E2884" s="5" t="str">
        <f>IF(D2884&lt;=1,1,0)</f>
      </c>
    </row>
    <row r="2885">
      <c r="A2885" s="6">
        <v>858</v>
      </c>
      <c r="B2885" s="6" t="str">
        <f>INDEX('Lineal Mixto'!$C$5:$C$2004,2*A2885-1)</f>
      </c>
      <c r="C2885" s="6" t="str">
        <f>INDEX('Lineal Mixto'!$C$5:$C$2004,2*A2885)</f>
      </c>
      <c r="D2885" s="6" t="str">
        <f>B2885^2+C2885^2</f>
      </c>
      <c r="E2885" s="6" t="str">
        <f>IF(D2885&lt;=1,1,0)</f>
      </c>
    </row>
    <row r="2886">
      <c r="A2886" s="5">
        <v>859</v>
      </c>
      <c r="B2886" s="5" t="str">
        <f>INDEX('Lineal Mixto'!$C$5:$C$2004,2*A2886-1)</f>
      </c>
      <c r="C2886" s="5" t="str">
        <f>INDEX('Lineal Mixto'!$C$5:$C$2004,2*A2886)</f>
      </c>
      <c r="D2886" s="5" t="str">
        <f>B2886^2+C2886^2</f>
      </c>
      <c r="E2886" s="5" t="str">
        <f>IF(D2886&lt;=1,1,0)</f>
      </c>
    </row>
    <row r="2887">
      <c r="A2887" s="6">
        <v>860</v>
      </c>
      <c r="B2887" s="6" t="str">
        <f>INDEX('Lineal Mixto'!$C$5:$C$2004,2*A2887-1)</f>
      </c>
      <c r="C2887" s="6" t="str">
        <f>INDEX('Lineal Mixto'!$C$5:$C$2004,2*A2887)</f>
      </c>
      <c r="D2887" s="6" t="str">
        <f>B2887^2+C2887^2</f>
      </c>
      <c r="E2887" s="6" t="str">
        <f>IF(D2887&lt;=1,1,0)</f>
      </c>
    </row>
    <row r="2888">
      <c r="A2888" s="5">
        <v>861</v>
      </c>
      <c r="B2888" s="5" t="str">
        <f>INDEX('Lineal Mixto'!$C$5:$C$2004,2*A2888-1)</f>
      </c>
      <c r="C2888" s="5" t="str">
        <f>INDEX('Lineal Mixto'!$C$5:$C$2004,2*A2888)</f>
      </c>
      <c r="D2888" s="5" t="str">
        <f>B2888^2+C2888^2</f>
      </c>
      <c r="E2888" s="5" t="str">
        <f>IF(D2888&lt;=1,1,0)</f>
      </c>
    </row>
    <row r="2889">
      <c r="A2889" s="6">
        <v>862</v>
      </c>
      <c r="B2889" s="6" t="str">
        <f>INDEX('Lineal Mixto'!$C$5:$C$2004,2*A2889-1)</f>
      </c>
      <c r="C2889" s="6" t="str">
        <f>INDEX('Lineal Mixto'!$C$5:$C$2004,2*A2889)</f>
      </c>
      <c r="D2889" s="6" t="str">
        <f>B2889^2+C2889^2</f>
      </c>
      <c r="E2889" s="6" t="str">
        <f>IF(D2889&lt;=1,1,0)</f>
      </c>
    </row>
    <row r="2890">
      <c r="A2890" s="5">
        <v>863</v>
      </c>
      <c r="B2890" s="5" t="str">
        <f>INDEX('Lineal Mixto'!$C$5:$C$2004,2*A2890-1)</f>
      </c>
      <c r="C2890" s="5" t="str">
        <f>INDEX('Lineal Mixto'!$C$5:$C$2004,2*A2890)</f>
      </c>
      <c r="D2890" s="5" t="str">
        <f>B2890^2+C2890^2</f>
      </c>
      <c r="E2890" s="5" t="str">
        <f>IF(D2890&lt;=1,1,0)</f>
      </c>
    </row>
    <row r="2891">
      <c r="A2891" s="6">
        <v>864</v>
      </c>
      <c r="B2891" s="6" t="str">
        <f>INDEX('Lineal Mixto'!$C$5:$C$2004,2*A2891-1)</f>
      </c>
      <c r="C2891" s="6" t="str">
        <f>INDEX('Lineal Mixto'!$C$5:$C$2004,2*A2891)</f>
      </c>
      <c r="D2891" s="6" t="str">
        <f>B2891^2+C2891^2</f>
      </c>
      <c r="E2891" s="6" t="str">
        <f>IF(D2891&lt;=1,1,0)</f>
      </c>
    </row>
    <row r="2892">
      <c r="A2892" s="5">
        <v>865</v>
      </c>
      <c r="B2892" s="5" t="str">
        <f>INDEX('Lineal Mixto'!$C$5:$C$2004,2*A2892-1)</f>
      </c>
      <c r="C2892" s="5" t="str">
        <f>INDEX('Lineal Mixto'!$C$5:$C$2004,2*A2892)</f>
      </c>
      <c r="D2892" s="5" t="str">
        <f>B2892^2+C2892^2</f>
      </c>
      <c r="E2892" s="5" t="str">
        <f>IF(D2892&lt;=1,1,0)</f>
      </c>
    </row>
    <row r="2893">
      <c r="A2893" s="6">
        <v>866</v>
      </c>
      <c r="B2893" s="6" t="str">
        <f>INDEX('Lineal Mixto'!$C$5:$C$2004,2*A2893-1)</f>
      </c>
      <c r="C2893" s="6" t="str">
        <f>INDEX('Lineal Mixto'!$C$5:$C$2004,2*A2893)</f>
      </c>
      <c r="D2893" s="6" t="str">
        <f>B2893^2+C2893^2</f>
      </c>
      <c r="E2893" s="6" t="str">
        <f>IF(D2893&lt;=1,1,0)</f>
      </c>
    </row>
    <row r="2894">
      <c r="A2894" s="5">
        <v>867</v>
      </c>
      <c r="B2894" s="5" t="str">
        <f>INDEX('Lineal Mixto'!$C$5:$C$2004,2*A2894-1)</f>
      </c>
      <c r="C2894" s="5" t="str">
        <f>INDEX('Lineal Mixto'!$C$5:$C$2004,2*A2894)</f>
      </c>
      <c r="D2894" s="5" t="str">
        <f>B2894^2+C2894^2</f>
      </c>
      <c r="E2894" s="5" t="str">
        <f>IF(D2894&lt;=1,1,0)</f>
      </c>
    </row>
    <row r="2895">
      <c r="A2895" s="6">
        <v>868</v>
      </c>
      <c r="B2895" s="6" t="str">
        <f>INDEX('Lineal Mixto'!$C$5:$C$2004,2*A2895-1)</f>
      </c>
      <c r="C2895" s="6" t="str">
        <f>INDEX('Lineal Mixto'!$C$5:$C$2004,2*A2895)</f>
      </c>
      <c r="D2895" s="6" t="str">
        <f>B2895^2+C2895^2</f>
      </c>
      <c r="E2895" s="6" t="str">
        <f>IF(D2895&lt;=1,1,0)</f>
      </c>
    </row>
    <row r="2896">
      <c r="A2896" s="5">
        <v>869</v>
      </c>
      <c r="B2896" s="5" t="str">
        <f>INDEX('Lineal Mixto'!$C$5:$C$2004,2*A2896-1)</f>
      </c>
      <c r="C2896" s="5" t="str">
        <f>INDEX('Lineal Mixto'!$C$5:$C$2004,2*A2896)</f>
      </c>
      <c r="D2896" s="5" t="str">
        <f>B2896^2+C2896^2</f>
      </c>
      <c r="E2896" s="5" t="str">
        <f>IF(D2896&lt;=1,1,0)</f>
      </c>
    </row>
    <row r="2897">
      <c r="A2897" s="6">
        <v>870</v>
      </c>
      <c r="B2897" s="6" t="str">
        <f>INDEX('Lineal Mixto'!$C$5:$C$2004,2*A2897-1)</f>
      </c>
      <c r="C2897" s="6" t="str">
        <f>INDEX('Lineal Mixto'!$C$5:$C$2004,2*A2897)</f>
      </c>
      <c r="D2897" s="6" t="str">
        <f>B2897^2+C2897^2</f>
      </c>
      <c r="E2897" s="6" t="str">
        <f>IF(D2897&lt;=1,1,0)</f>
      </c>
    </row>
    <row r="2898">
      <c r="A2898" s="5">
        <v>871</v>
      </c>
      <c r="B2898" s="5" t="str">
        <f>INDEX('Lineal Mixto'!$C$5:$C$2004,2*A2898-1)</f>
      </c>
      <c r="C2898" s="5" t="str">
        <f>INDEX('Lineal Mixto'!$C$5:$C$2004,2*A2898)</f>
      </c>
      <c r="D2898" s="5" t="str">
        <f>B2898^2+C2898^2</f>
      </c>
      <c r="E2898" s="5" t="str">
        <f>IF(D2898&lt;=1,1,0)</f>
      </c>
    </row>
    <row r="2899">
      <c r="A2899" s="6">
        <v>872</v>
      </c>
      <c r="B2899" s="6" t="str">
        <f>INDEX('Lineal Mixto'!$C$5:$C$2004,2*A2899-1)</f>
      </c>
      <c r="C2899" s="6" t="str">
        <f>INDEX('Lineal Mixto'!$C$5:$C$2004,2*A2899)</f>
      </c>
      <c r="D2899" s="6" t="str">
        <f>B2899^2+C2899^2</f>
      </c>
      <c r="E2899" s="6" t="str">
        <f>IF(D2899&lt;=1,1,0)</f>
      </c>
    </row>
    <row r="2900">
      <c r="A2900" s="5">
        <v>873</v>
      </c>
      <c r="B2900" s="5" t="str">
        <f>INDEX('Lineal Mixto'!$C$5:$C$2004,2*A2900-1)</f>
      </c>
      <c r="C2900" s="5" t="str">
        <f>INDEX('Lineal Mixto'!$C$5:$C$2004,2*A2900)</f>
      </c>
      <c r="D2900" s="5" t="str">
        <f>B2900^2+C2900^2</f>
      </c>
      <c r="E2900" s="5" t="str">
        <f>IF(D2900&lt;=1,1,0)</f>
      </c>
    </row>
    <row r="2901">
      <c r="A2901" s="6">
        <v>874</v>
      </c>
      <c r="B2901" s="6" t="str">
        <f>INDEX('Lineal Mixto'!$C$5:$C$2004,2*A2901-1)</f>
      </c>
      <c r="C2901" s="6" t="str">
        <f>INDEX('Lineal Mixto'!$C$5:$C$2004,2*A2901)</f>
      </c>
      <c r="D2901" s="6" t="str">
        <f>B2901^2+C2901^2</f>
      </c>
      <c r="E2901" s="6" t="str">
        <f>IF(D2901&lt;=1,1,0)</f>
      </c>
    </row>
    <row r="2902">
      <c r="A2902" s="5">
        <v>875</v>
      </c>
      <c r="B2902" s="5" t="str">
        <f>INDEX('Lineal Mixto'!$C$5:$C$2004,2*A2902-1)</f>
      </c>
      <c r="C2902" s="5" t="str">
        <f>INDEX('Lineal Mixto'!$C$5:$C$2004,2*A2902)</f>
      </c>
      <c r="D2902" s="5" t="str">
        <f>B2902^2+C2902^2</f>
      </c>
      <c r="E2902" s="5" t="str">
        <f>IF(D2902&lt;=1,1,0)</f>
      </c>
    </row>
    <row r="2903">
      <c r="A2903" s="6">
        <v>876</v>
      </c>
      <c r="B2903" s="6" t="str">
        <f>INDEX('Lineal Mixto'!$C$5:$C$2004,2*A2903-1)</f>
      </c>
      <c r="C2903" s="6" t="str">
        <f>INDEX('Lineal Mixto'!$C$5:$C$2004,2*A2903)</f>
      </c>
      <c r="D2903" s="6" t="str">
        <f>B2903^2+C2903^2</f>
      </c>
      <c r="E2903" s="6" t="str">
        <f>IF(D2903&lt;=1,1,0)</f>
      </c>
    </row>
    <row r="2904">
      <c r="A2904" s="5">
        <v>877</v>
      </c>
      <c r="B2904" s="5" t="str">
        <f>INDEX('Lineal Mixto'!$C$5:$C$2004,2*A2904-1)</f>
      </c>
      <c r="C2904" s="5" t="str">
        <f>INDEX('Lineal Mixto'!$C$5:$C$2004,2*A2904)</f>
      </c>
      <c r="D2904" s="5" t="str">
        <f>B2904^2+C2904^2</f>
      </c>
      <c r="E2904" s="5" t="str">
        <f>IF(D2904&lt;=1,1,0)</f>
      </c>
    </row>
    <row r="2905">
      <c r="A2905" s="6">
        <v>878</v>
      </c>
      <c r="B2905" s="6" t="str">
        <f>INDEX('Lineal Mixto'!$C$5:$C$2004,2*A2905-1)</f>
      </c>
      <c r="C2905" s="6" t="str">
        <f>INDEX('Lineal Mixto'!$C$5:$C$2004,2*A2905)</f>
      </c>
      <c r="D2905" s="6" t="str">
        <f>B2905^2+C2905^2</f>
      </c>
      <c r="E2905" s="6" t="str">
        <f>IF(D2905&lt;=1,1,0)</f>
      </c>
    </row>
    <row r="2906">
      <c r="A2906" s="5">
        <v>879</v>
      </c>
      <c r="B2906" s="5" t="str">
        <f>INDEX('Lineal Mixto'!$C$5:$C$2004,2*A2906-1)</f>
      </c>
      <c r="C2906" s="5" t="str">
        <f>INDEX('Lineal Mixto'!$C$5:$C$2004,2*A2906)</f>
      </c>
      <c r="D2906" s="5" t="str">
        <f>B2906^2+C2906^2</f>
      </c>
      <c r="E2906" s="5" t="str">
        <f>IF(D2906&lt;=1,1,0)</f>
      </c>
    </row>
    <row r="2907">
      <c r="A2907" s="6">
        <v>880</v>
      </c>
      <c r="B2907" s="6" t="str">
        <f>INDEX('Lineal Mixto'!$C$5:$C$2004,2*A2907-1)</f>
      </c>
      <c r="C2907" s="6" t="str">
        <f>INDEX('Lineal Mixto'!$C$5:$C$2004,2*A2907)</f>
      </c>
      <c r="D2907" s="6" t="str">
        <f>B2907^2+C2907^2</f>
      </c>
      <c r="E2907" s="6" t="str">
        <f>IF(D2907&lt;=1,1,0)</f>
      </c>
    </row>
    <row r="2908">
      <c r="A2908" s="5">
        <v>881</v>
      </c>
      <c r="B2908" s="5" t="str">
        <f>INDEX('Lineal Mixto'!$C$5:$C$2004,2*A2908-1)</f>
      </c>
      <c r="C2908" s="5" t="str">
        <f>INDEX('Lineal Mixto'!$C$5:$C$2004,2*A2908)</f>
      </c>
      <c r="D2908" s="5" t="str">
        <f>B2908^2+C2908^2</f>
      </c>
      <c r="E2908" s="5" t="str">
        <f>IF(D2908&lt;=1,1,0)</f>
      </c>
    </row>
    <row r="2909">
      <c r="A2909" s="6">
        <v>882</v>
      </c>
      <c r="B2909" s="6" t="str">
        <f>INDEX('Lineal Mixto'!$C$5:$C$2004,2*A2909-1)</f>
      </c>
      <c r="C2909" s="6" t="str">
        <f>INDEX('Lineal Mixto'!$C$5:$C$2004,2*A2909)</f>
      </c>
      <c r="D2909" s="6" t="str">
        <f>B2909^2+C2909^2</f>
      </c>
      <c r="E2909" s="6" t="str">
        <f>IF(D2909&lt;=1,1,0)</f>
      </c>
    </row>
    <row r="2910">
      <c r="A2910" s="5">
        <v>883</v>
      </c>
      <c r="B2910" s="5" t="str">
        <f>INDEX('Lineal Mixto'!$C$5:$C$2004,2*A2910-1)</f>
      </c>
      <c r="C2910" s="5" t="str">
        <f>INDEX('Lineal Mixto'!$C$5:$C$2004,2*A2910)</f>
      </c>
      <c r="D2910" s="5" t="str">
        <f>B2910^2+C2910^2</f>
      </c>
      <c r="E2910" s="5" t="str">
        <f>IF(D2910&lt;=1,1,0)</f>
      </c>
    </row>
    <row r="2911">
      <c r="A2911" s="6">
        <v>884</v>
      </c>
      <c r="B2911" s="6" t="str">
        <f>INDEX('Lineal Mixto'!$C$5:$C$2004,2*A2911-1)</f>
      </c>
      <c r="C2911" s="6" t="str">
        <f>INDEX('Lineal Mixto'!$C$5:$C$2004,2*A2911)</f>
      </c>
      <c r="D2911" s="6" t="str">
        <f>B2911^2+C2911^2</f>
      </c>
      <c r="E2911" s="6" t="str">
        <f>IF(D2911&lt;=1,1,0)</f>
      </c>
    </row>
    <row r="2912">
      <c r="A2912" s="5">
        <v>885</v>
      </c>
      <c r="B2912" s="5" t="str">
        <f>INDEX('Lineal Mixto'!$C$5:$C$2004,2*A2912-1)</f>
      </c>
      <c r="C2912" s="5" t="str">
        <f>INDEX('Lineal Mixto'!$C$5:$C$2004,2*A2912)</f>
      </c>
      <c r="D2912" s="5" t="str">
        <f>B2912^2+C2912^2</f>
      </c>
      <c r="E2912" s="5" t="str">
        <f>IF(D2912&lt;=1,1,0)</f>
      </c>
    </row>
    <row r="2913">
      <c r="A2913" s="6">
        <v>886</v>
      </c>
      <c r="B2913" s="6" t="str">
        <f>INDEX('Lineal Mixto'!$C$5:$C$2004,2*A2913-1)</f>
      </c>
      <c r="C2913" s="6" t="str">
        <f>INDEX('Lineal Mixto'!$C$5:$C$2004,2*A2913)</f>
      </c>
      <c r="D2913" s="6" t="str">
        <f>B2913^2+C2913^2</f>
      </c>
      <c r="E2913" s="6" t="str">
        <f>IF(D2913&lt;=1,1,0)</f>
      </c>
    </row>
    <row r="2914">
      <c r="A2914" s="5">
        <v>887</v>
      </c>
      <c r="B2914" s="5" t="str">
        <f>INDEX('Lineal Mixto'!$C$5:$C$2004,2*A2914-1)</f>
      </c>
      <c r="C2914" s="5" t="str">
        <f>INDEX('Lineal Mixto'!$C$5:$C$2004,2*A2914)</f>
      </c>
      <c r="D2914" s="5" t="str">
        <f>B2914^2+C2914^2</f>
      </c>
      <c r="E2914" s="5" t="str">
        <f>IF(D2914&lt;=1,1,0)</f>
      </c>
    </row>
    <row r="2915">
      <c r="A2915" s="6">
        <v>888</v>
      </c>
      <c r="B2915" s="6" t="str">
        <f>INDEX('Lineal Mixto'!$C$5:$C$2004,2*A2915-1)</f>
      </c>
      <c r="C2915" s="6" t="str">
        <f>INDEX('Lineal Mixto'!$C$5:$C$2004,2*A2915)</f>
      </c>
      <c r="D2915" s="6" t="str">
        <f>B2915^2+C2915^2</f>
      </c>
      <c r="E2915" s="6" t="str">
        <f>IF(D2915&lt;=1,1,0)</f>
      </c>
    </row>
    <row r="2916">
      <c r="A2916" s="5">
        <v>889</v>
      </c>
      <c r="B2916" s="5" t="str">
        <f>INDEX('Lineal Mixto'!$C$5:$C$2004,2*A2916-1)</f>
      </c>
      <c r="C2916" s="5" t="str">
        <f>INDEX('Lineal Mixto'!$C$5:$C$2004,2*A2916)</f>
      </c>
      <c r="D2916" s="5" t="str">
        <f>B2916^2+C2916^2</f>
      </c>
      <c r="E2916" s="5" t="str">
        <f>IF(D2916&lt;=1,1,0)</f>
      </c>
    </row>
    <row r="2917">
      <c r="A2917" s="6">
        <v>890</v>
      </c>
      <c r="B2917" s="6" t="str">
        <f>INDEX('Lineal Mixto'!$C$5:$C$2004,2*A2917-1)</f>
      </c>
      <c r="C2917" s="6" t="str">
        <f>INDEX('Lineal Mixto'!$C$5:$C$2004,2*A2917)</f>
      </c>
      <c r="D2917" s="6" t="str">
        <f>B2917^2+C2917^2</f>
      </c>
      <c r="E2917" s="6" t="str">
        <f>IF(D2917&lt;=1,1,0)</f>
      </c>
    </row>
    <row r="2918">
      <c r="A2918" s="5">
        <v>891</v>
      </c>
      <c r="B2918" s="5" t="str">
        <f>INDEX('Lineal Mixto'!$C$5:$C$2004,2*A2918-1)</f>
      </c>
      <c r="C2918" s="5" t="str">
        <f>INDEX('Lineal Mixto'!$C$5:$C$2004,2*A2918)</f>
      </c>
      <c r="D2918" s="5" t="str">
        <f>B2918^2+C2918^2</f>
      </c>
      <c r="E2918" s="5" t="str">
        <f>IF(D2918&lt;=1,1,0)</f>
      </c>
    </row>
    <row r="2919">
      <c r="A2919" s="6">
        <v>892</v>
      </c>
      <c r="B2919" s="6" t="str">
        <f>INDEX('Lineal Mixto'!$C$5:$C$2004,2*A2919-1)</f>
      </c>
      <c r="C2919" s="6" t="str">
        <f>INDEX('Lineal Mixto'!$C$5:$C$2004,2*A2919)</f>
      </c>
      <c r="D2919" s="6" t="str">
        <f>B2919^2+C2919^2</f>
      </c>
      <c r="E2919" s="6" t="str">
        <f>IF(D2919&lt;=1,1,0)</f>
      </c>
    </row>
    <row r="2920">
      <c r="A2920" s="5">
        <v>893</v>
      </c>
      <c r="B2920" s="5" t="str">
        <f>INDEX('Lineal Mixto'!$C$5:$C$2004,2*A2920-1)</f>
      </c>
      <c r="C2920" s="5" t="str">
        <f>INDEX('Lineal Mixto'!$C$5:$C$2004,2*A2920)</f>
      </c>
      <c r="D2920" s="5" t="str">
        <f>B2920^2+C2920^2</f>
      </c>
      <c r="E2920" s="5" t="str">
        <f>IF(D2920&lt;=1,1,0)</f>
      </c>
    </row>
    <row r="2921">
      <c r="A2921" s="6">
        <v>894</v>
      </c>
      <c r="B2921" s="6" t="str">
        <f>INDEX('Lineal Mixto'!$C$5:$C$2004,2*A2921-1)</f>
      </c>
      <c r="C2921" s="6" t="str">
        <f>INDEX('Lineal Mixto'!$C$5:$C$2004,2*A2921)</f>
      </c>
      <c r="D2921" s="6" t="str">
        <f>B2921^2+C2921^2</f>
      </c>
      <c r="E2921" s="6" t="str">
        <f>IF(D2921&lt;=1,1,0)</f>
      </c>
    </row>
    <row r="2922">
      <c r="A2922" s="5">
        <v>895</v>
      </c>
      <c r="B2922" s="5" t="str">
        <f>INDEX('Lineal Mixto'!$C$5:$C$2004,2*A2922-1)</f>
      </c>
      <c r="C2922" s="5" t="str">
        <f>INDEX('Lineal Mixto'!$C$5:$C$2004,2*A2922)</f>
      </c>
      <c r="D2922" s="5" t="str">
        <f>B2922^2+C2922^2</f>
      </c>
      <c r="E2922" s="5" t="str">
        <f>IF(D2922&lt;=1,1,0)</f>
      </c>
    </row>
    <row r="2923">
      <c r="A2923" s="6">
        <v>896</v>
      </c>
      <c r="B2923" s="6" t="str">
        <f>INDEX('Lineal Mixto'!$C$5:$C$2004,2*A2923-1)</f>
      </c>
      <c r="C2923" s="6" t="str">
        <f>INDEX('Lineal Mixto'!$C$5:$C$2004,2*A2923)</f>
      </c>
      <c r="D2923" s="6" t="str">
        <f>B2923^2+C2923^2</f>
      </c>
      <c r="E2923" s="6" t="str">
        <f>IF(D2923&lt;=1,1,0)</f>
      </c>
    </row>
    <row r="2924">
      <c r="A2924" s="5">
        <v>897</v>
      </c>
      <c r="B2924" s="5" t="str">
        <f>INDEX('Lineal Mixto'!$C$5:$C$2004,2*A2924-1)</f>
      </c>
      <c r="C2924" s="5" t="str">
        <f>INDEX('Lineal Mixto'!$C$5:$C$2004,2*A2924)</f>
      </c>
      <c r="D2924" s="5" t="str">
        <f>B2924^2+C2924^2</f>
      </c>
      <c r="E2924" s="5" t="str">
        <f>IF(D2924&lt;=1,1,0)</f>
      </c>
    </row>
    <row r="2925">
      <c r="A2925" s="6">
        <v>898</v>
      </c>
      <c r="B2925" s="6" t="str">
        <f>INDEX('Lineal Mixto'!$C$5:$C$2004,2*A2925-1)</f>
      </c>
      <c r="C2925" s="6" t="str">
        <f>INDEX('Lineal Mixto'!$C$5:$C$2004,2*A2925)</f>
      </c>
      <c r="D2925" s="6" t="str">
        <f>B2925^2+C2925^2</f>
      </c>
      <c r="E2925" s="6" t="str">
        <f>IF(D2925&lt;=1,1,0)</f>
      </c>
    </row>
    <row r="2926">
      <c r="A2926" s="5">
        <v>899</v>
      </c>
      <c r="B2926" s="5" t="str">
        <f>INDEX('Lineal Mixto'!$C$5:$C$2004,2*A2926-1)</f>
      </c>
      <c r="C2926" s="5" t="str">
        <f>INDEX('Lineal Mixto'!$C$5:$C$2004,2*A2926)</f>
      </c>
      <c r="D2926" s="5" t="str">
        <f>B2926^2+C2926^2</f>
      </c>
      <c r="E2926" s="5" t="str">
        <f>IF(D2926&lt;=1,1,0)</f>
      </c>
    </row>
    <row r="2927">
      <c r="A2927" s="6">
        <v>900</v>
      </c>
      <c r="B2927" s="6" t="str">
        <f>INDEX('Lineal Mixto'!$C$5:$C$2004,2*A2927-1)</f>
      </c>
      <c r="C2927" s="6" t="str">
        <f>INDEX('Lineal Mixto'!$C$5:$C$2004,2*A2927)</f>
      </c>
      <c r="D2927" s="6" t="str">
        <f>B2927^2+C2927^2</f>
      </c>
      <c r="E2927" s="6" t="str">
        <f>IF(D2927&lt;=1,1,0)</f>
      </c>
    </row>
    <row r="2928">
      <c r="A2928" s="5">
        <v>901</v>
      </c>
      <c r="B2928" s="5" t="str">
        <f>INDEX('Lineal Mixto'!$C$5:$C$2004,2*A2928-1)</f>
      </c>
      <c r="C2928" s="5" t="str">
        <f>INDEX('Lineal Mixto'!$C$5:$C$2004,2*A2928)</f>
      </c>
      <c r="D2928" s="5" t="str">
        <f>B2928^2+C2928^2</f>
      </c>
      <c r="E2928" s="5" t="str">
        <f>IF(D2928&lt;=1,1,0)</f>
      </c>
    </row>
    <row r="2929">
      <c r="A2929" s="6">
        <v>902</v>
      </c>
      <c r="B2929" s="6" t="str">
        <f>INDEX('Lineal Mixto'!$C$5:$C$2004,2*A2929-1)</f>
      </c>
      <c r="C2929" s="6" t="str">
        <f>INDEX('Lineal Mixto'!$C$5:$C$2004,2*A2929)</f>
      </c>
      <c r="D2929" s="6" t="str">
        <f>B2929^2+C2929^2</f>
      </c>
      <c r="E2929" s="6" t="str">
        <f>IF(D2929&lt;=1,1,0)</f>
      </c>
    </row>
    <row r="2930">
      <c r="A2930" s="5">
        <v>903</v>
      </c>
      <c r="B2930" s="5" t="str">
        <f>INDEX('Lineal Mixto'!$C$5:$C$2004,2*A2930-1)</f>
      </c>
      <c r="C2930" s="5" t="str">
        <f>INDEX('Lineal Mixto'!$C$5:$C$2004,2*A2930)</f>
      </c>
      <c r="D2930" s="5" t="str">
        <f>B2930^2+C2930^2</f>
      </c>
      <c r="E2930" s="5" t="str">
        <f>IF(D2930&lt;=1,1,0)</f>
      </c>
    </row>
    <row r="2931">
      <c r="A2931" s="6">
        <v>904</v>
      </c>
      <c r="B2931" s="6" t="str">
        <f>INDEX('Lineal Mixto'!$C$5:$C$2004,2*A2931-1)</f>
      </c>
      <c r="C2931" s="6" t="str">
        <f>INDEX('Lineal Mixto'!$C$5:$C$2004,2*A2931)</f>
      </c>
      <c r="D2931" s="6" t="str">
        <f>B2931^2+C2931^2</f>
      </c>
      <c r="E2931" s="6" t="str">
        <f>IF(D2931&lt;=1,1,0)</f>
      </c>
    </row>
    <row r="2932">
      <c r="A2932" s="5">
        <v>905</v>
      </c>
      <c r="B2932" s="5" t="str">
        <f>INDEX('Lineal Mixto'!$C$5:$C$2004,2*A2932-1)</f>
      </c>
      <c r="C2932" s="5" t="str">
        <f>INDEX('Lineal Mixto'!$C$5:$C$2004,2*A2932)</f>
      </c>
      <c r="D2932" s="5" t="str">
        <f>B2932^2+C2932^2</f>
      </c>
      <c r="E2932" s="5" t="str">
        <f>IF(D2932&lt;=1,1,0)</f>
      </c>
    </row>
    <row r="2933">
      <c r="A2933" s="6">
        <v>906</v>
      </c>
      <c r="B2933" s="6" t="str">
        <f>INDEX('Lineal Mixto'!$C$5:$C$2004,2*A2933-1)</f>
      </c>
      <c r="C2933" s="6" t="str">
        <f>INDEX('Lineal Mixto'!$C$5:$C$2004,2*A2933)</f>
      </c>
      <c r="D2933" s="6" t="str">
        <f>B2933^2+C2933^2</f>
      </c>
      <c r="E2933" s="6" t="str">
        <f>IF(D2933&lt;=1,1,0)</f>
      </c>
    </row>
    <row r="2934">
      <c r="A2934" s="5">
        <v>907</v>
      </c>
      <c r="B2934" s="5" t="str">
        <f>INDEX('Lineal Mixto'!$C$5:$C$2004,2*A2934-1)</f>
      </c>
      <c r="C2934" s="5" t="str">
        <f>INDEX('Lineal Mixto'!$C$5:$C$2004,2*A2934)</f>
      </c>
      <c r="D2934" s="5" t="str">
        <f>B2934^2+C2934^2</f>
      </c>
      <c r="E2934" s="5" t="str">
        <f>IF(D2934&lt;=1,1,0)</f>
      </c>
    </row>
    <row r="2935">
      <c r="A2935" s="6">
        <v>908</v>
      </c>
      <c r="B2935" s="6" t="str">
        <f>INDEX('Lineal Mixto'!$C$5:$C$2004,2*A2935-1)</f>
      </c>
      <c r="C2935" s="6" t="str">
        <f>INDEX('Lineal Mixto'!$C$5:$C$2004,2*A2935)</f>
      </c>
      <c r="D2935" s="6" t="str">
        <f>B2935^2+C2935^2</f>
      </c>
      <c r="E2935" s="6" t="str">
        <f>IF(D2935&lt;=1,1,0)</f>
      </c>
    </row>
    <row r="2936">
      <c r="A2936" s="5">
        <v>909</v>
      </c>
      <c r="B2936" s="5" t="str">
        <f>INDEX('Lineal Mixto'!$C$5:$C$2004,2*A2936-1)</f>
      </c>
      <c r="C2936" s="5" t="str">
        <f>INDEX('Lineal Mixto'!$C$5:$C$2004,2*A2936)</f>
      </c>
      <c r="D2936" s="5" t="str">
        <f>B2936^2+C2936^2</f>
      </c>
      <c r="E2936" s="5" t="str">
        <f>IF(D2936&lt;=1,1,0)</f>
      </c>
    </row>
    <row r="2937">
      <c r="A2937" s="6">
        <v>910</v>
      </c>
      <c r="B2937" s="6" t="str">
        <f>INDEX('Lineal Mixto'!$C$5:$C$2004,2*A2937-1)</f>
      </c>
      <c r="C2937" s="6" t="str">
        <f>INDEX('Lineal Mixto'!$C$5:$C$2004,2*A2937)</f>
      </c>
      <c r="D2937" s="6" t="str">
        <f>B2937^2+C2937^2</f>
      </c>
      <c r="E2937" s="6" t="str">
        <f>IF(D2937&lt;=1,1,0)</f>
      </c>
    </row>
    <row r="2938">
      <c r="A2938" s="5">
        <v>911</v>
      </c>
      <c r="B2938" s="5" t="str">
        <f>INDEX('Lineal Mixto'!$C$5:$C$2004,2*A2938-1)</f>
      </c>
      <c r="C2938" s="5" t="str">
        <f>INDEX('Lineal Mixto'!$C$5:$C$2004,2*A2938)</f>
      </c>
      <c r="D2938" s="5" t="str">
        <f>B2938^2+C2938^2</f>
      </c>
      <c r="E2938" s="5" t="str">
        <f>IF(D2938&lt;=1,1,0)</f>
      </c>
    </row>
    <row r="2939">
      <c r="A2939" s="6">
        <v>912</v>
      </c>
      <c r="B2939" s="6" t="str">
        <f>INDEX('Lineal Mixto'!$C$5:$C$2004,2*A2939-1)</f>
      </c>
      <c r="C2939" s="6" t="str">
        <f>INDEX('Lineal Mixto'!$C$5:$C$2004,2*A2939)</f>
      </c>
      <c r="D2939" s="6" t="str">
        <f>B2939^2+C2939^2</f>
      </c>
      <c r="E2939" s="6" t="str">
        <f>IF(D2939&lt;=1,1,0)</f>
      </c>
    </row>
    <row r="2940">
      <c r="A2940" s="5">
        <v>913</v>
      </c>
      <c r="B2940" s="5" t="str">
        <f>INDEX('Lineal Mixto'!$C$5:$C$2004,2*A2940-1)</f>
      </c>
      <c r="C2940" s="5" t="str">
        <f>INDEX('Lineal Mixto'!$C$5:$C$2004,2*A2940)</f>
      </c>
      <c r="D2940" s="5" t="str">
        <f>B2940^2+C2940^2</f>
      </c>
      <c r="E2940" s="5" t="str">
        <f>IF(D2940&lt;=1,1,0)</f>
      </c>
    </row>
    <row r="2941">
      <c r="A2941" s="6">
        <v>914</v>
      </c>
      <c r="B2941" s="6" t="str">
        <f>INDEX('Lineal Mixto'!$C$5:$C$2004,2*A2941-1)</f>
      </c>
      <c r="C2941" s="6" t="str">
        <f>INDEX('Lineal Mixto'!$C$5:$C$2004,2*A2941)</f>
      </c>
      <c r="D2941" s="6" t="str">
        <f>B2941^2+C2941^2</f>
      </c>
      <c r="E2941" s="6" t="str">
        <f>IF(D2941&lt;=1,1,0)</f>
      </c>
    </row>
    <row r="2942">
      <c r="A2942" s="5">
        <v>915</v>
      </c>
      <c r="B2942" s="5" t="str">
        <f>INDEX('Lineal Mixto'!$C$5:$C$2004,2*A2942-1)</f>
      </c>
      <c r="C2942" s="5" t="str">
        <f>INDEX('Lineal Mixto'!$C$5:$C$2004,2*A2942)</f>
      </c>
      <c r="D2942" s="5" t="str">
        <f>B2942^2+C2942^2</f>
      </c>
      <c r="E2942" s="5" t="str">
        <f>IF(D2942&lt;=1,1,0)</f>
      </c>
    </row>
    <row r="2943">
      <c r="A2943" s="6">
        <v>916</v>
      </c>
      <c r="B2943" s="6" t="str">
        <f>INDEX('Lineal Mixto'!$C$5:$C$2004,2*A2943-1)</f>
      </c>
      <c r="C2943" s="6" t="str">
        <f>INDEX('Lineal Mixto'!$C$5:$C$2004,2*A2943)</f>
      </c>
      <c r="D2943" s="6" t="str">
        <f>B2943^2+C2943^2</f>
      </c>
      <c r="E2943" s="6" t="str">
        <f>IF(D2943&lt;=1,1,0)</f>
      </c>
    </row>
    <row r="2944">
      <c r="A2944" s="5">
        <v>917</v>
      </c>
      <c r="B2944" s="5" t="str">
        <f>INDEX('Lineal Mixto'!$C$5:$C$2004,2*A2944-1)</f>
      </c>
      <c r="C2944" s="5" t="str">
        <f>INDEX('Lineal Mixto'!$C$5:$C$2004,2*A2944)</f>
      </c>
      <c r="D2944" s="5" t="str">
        <f>B2944^2+C2944^2</f>
      </c>
      <c r="E2944" s="5" t="str">
        <f>IF(D2944&lt;=1,1,0)</f>
      </c>
    </row>
    <row r="2945">
      <c r="A2945" s="6">
        <v>918</v>
      </c>
      <c r="B2945" s="6" t="str">
        <f>INDEX('Lineal Mixto'!$C$5:$C$2004,2*A2945-1)</f>
      </c>
      <c r="C2945" s="6" t="str">
        <f>INDEX('Lineal Mixto'!$C$5:$C$2004,2*A2945)</f>
      </c>
      <c r="D2945" s="6" t="str">
        <f>B2945^2+C2945^2</f>
      </c>
      <c r="E2945" s="6" t="str">
        <f>IF(D2945&lt;=1,1,0)</f>
      </c>
    </row>
    <row r="2946">
      <c r="A2946" s="5">
        <v>919</v>
      </c>
      <c r="B2946" s="5" t="str">
        <f>INDEX('Lineal Mixto'!$C$5:$C$2004,2*A2946-1)</f>
      </c>
      <c r="C2946" s="5" t="str">
        <f>INDEX('Lineal Mixto'!$C$5:$C$2004,2*A2946)</f>
      </c>
      <c r="D2946" s="5" t="str">
        <f>B2946^2+C2946^2</f>
      </c>
      <c r="E2946" s="5" t="str">
        <f>IF(D2946&lt;=1,1,0)</f>
      </c>
    </row>
    <row r="2947">
      <c r="A2947" s="6">
        <v>920</v>
      </c>
      <c r="B2947" s="6" t="str">
        <f>INDEX('Lineal Mixto'!$C$5:$C$2004,2*A2947-1)</f>
      </c>
      <c r="C2947" s="6" t="str">
        <f>INDEX('Lineal Mixto'!$C$5:$C$2004,2*A2947)</f>
      </c>
      <c r="D2947" s="6" t="str">
        <f>B2947^2+C2947^2</f>
      </c>
      <c r="E2947" s="6" t="str">
        <f>IF(D2947&lt;=1,1,0)</f>
      </c>
    </row>
    <row r="2948">
      <c r="A2948" s="5">
        <v>921</v>
      </c>
      <c r="B2948" s="5" t="str">
        <f>INDEX('Lineal Mixto'!$C$5:$C$2004,2*A2948-1)</f>
      </c>
      <c r="C2948" s="5" t="str">
        <f>INDEX('Lineal Mixto'!$C$5:$C$2004,2*A2948)</f>
      </c>
      <c r="D2948" s="5" t="str">
        <f>B2948^2+C2948^2</f>
      </c>
      <c r="E2948" s="5" t="str">
        <f>IF(D2948&lt;=1,1,0)</f>
      </c>
    </row>
    <row r="2949">
      <c r="A2949" s="6">
        <v>922</v>
      </c>
      <c r="B2949" s="6" t="str">
        <f>INDEX('Lineal Mixto'!$C$5:$C$2004,2*A2949-1)</f>
      </c>
      <c r="C2949" s="6" t="str">
        <f>INDEX('Lineal Mixto'!$C$5:$C$2004,2*A2949)</f>
      </c>
      <c r="D2949" s="6" t="str">
        <f>B2949^2+C2949^2</f>
      </c>
      <c r="E2949" s="6" t="str">
        <f>IF(D2949&lt;=1,1,0)</f>
      </c>
    </row>
    <row r="2950">
      <c r="A2950" s="5">
        <v>923</v>
      </c>
      <c r="B2950" s="5" t="str">
        <f>INDEX('Lineal Mixto'!$C$5:$C$2004,2*A2950-1)</f>
      </c>
      <c r="C2950" s="5" t="str">
        <f>INDEX('Lineal Mixto'!$C$5:$C$2004,2*A2950)</f>
      </c>
      <c r="D2950" s="5" t="str">
        <f>B2950^2+C2950^2</f>
      </c>
      <c r="E2950" s="5" t="str">
        <f>IF(D2950&lt;=1,1,0)</f>
      </c>
    </row>
    <row r="2951">
      <c r="A2951" s="6">
        <v>924</v>
      </c>
      <c r="B2951" s="6" t="str">
        <f>INDEX('Lineal Mixto'!$C$5:$C$2004,2*A2951-1)</f>
      </c>
      <c r="C2951" s="6" t="str">
        <f>INDEX('Lineal Mixto'!$C$5:$C$2004,2*A2951)</f>
      </c>
      <c r="D2951" s="6" t="str">
        <f>B2951^2+C2951^2</f>
      </c>
      <c r="E2951" s="6" t="str">
        <f>IF(D2951&lt;=1,1,0)</f>
      </c>
    </row>
    <row r="2952">
      <c r="A2952" s="5">
        <v>925</v>
      </c>
      <c r="B2952" s="5" t="str">
        <f>INDEX('Lineal Mixto'!$C$5:$C$2004,2*A2952-1)</f>
      </c>
      <c r="C2952" s="5" t="str">
        <f>INDEX('Lineal Mixto'!$C$5:$C$2004,2*A2952)</f>
      </c>
      <c r="D2952" s="5" t="str">
        <f>B2952^2+C2952^2</f>
      </c>
      <c r="E2952" s="5" t="str">
        <f>IF(D2952&lt;=1,1,0)</f>
      </c>
    </row>
    <row r="2953">
      <c r="A2953" s="6">
        <v>926</v>
      </c>
      <c r="B2953" s="6" t="str">
        <f>INDEX('Lineal Mixto'!$C$5:$C$2004,2*A2953-1)</f>
      </c>
      <c r="C2953" s="6" t="str">
        <f>INDEX('Lineal Mixto'!$C$5:$C$2004,2*A2953)</f>
      </c>
      <c r="D2953" s="6" t="str">
        <f>B2953^2+C2953^2</f>
      </c>
      <c r="E2953" s="6" t="str">
        <f>IF(D2953&lt;=1,1,0)</f>
      </c>
    </row>
    <row r="2954">
      <c r="A2954" s="5">
        <v>927</v>
      </c>
      <c r="B2954" s="5" t="str">
        <f>INDEX('Lineal Mixto'!$C$5:$C$2004,2*A2954-1)</f>
      </c>
      <c r="C2954" s="5" t="str">
        <f>INDEX('Lineal Mixto'!$C$5:$C$2004,2*A2954)</f>
      </c>
      <c r="D2954" s="5" t="str">
        <f>B2954^2+C2954^2</f>
      </c>
      <c r="E2954" s="5" t="str">
        <f>IF(D2954&lt;=1,1,0)</f>
      </c>
    </row>
    <row r="2955">
      <c r="A2955" s="6">
        <v>928</v>
      </c>
      <c r="B2955" s="6" t="str">
        <f>INDEX('Lineal Mixto'!$C$5:$C$2004,2*A2955-1)</f>
      </c>
      <c r="C2955" s="6" t="str">
        <f>INDEX('Lineal Mixto'!$C$5:$C$2004,2*A2955)</f>
      </c>
      <c r="D2955" s="6" t="str">
        <f>B2955^2+C2955^2</f>
      </c>
      <c r="E2955" s="6" t="str">
        <f>IF(D2955&lt;=1,1,0)</f>
      </c>
    </row>
    <row r="2956">
      <c r="A2956" s="5">
        <v>929</v>
      </c>
      <c r="B2956" s="5" t="str">
        <f>INDEX('Lineal Mixto'!$C$5:$C$2004,2*A2956-1)</f>
      </c>
      <c r="C2956" s="5" t="str">
        <f>INDEX('Lineal Mixto'!$C$5:$C$2004,2*A2956)</f>
      </c>
      <c r="D2956" s="5" t="str">
        <f>B2956^2+C2956^2</f>
      </c>
      <c r="E2956" s="5" t="str">
        <f>IF(D2956&lt;=1,1,0)</f>
      </c>
    </row>
    <row r="2957">
      <c r="A2957" s="6">
        <v>930</v>
      </c>
      <c r="B2957" s="6" t="str">
        <f>INDEX('Lineal Mixto'!$C$5:$C$2004,2*A2957-1)</f>
      </c>
      <c r="C2957" s="6" t="str">
        <f>INDEX('Lineal Mixto'!$C$5:$C$2004,2*A2957)</f>
      </c>
      <c r="D2957" s="6" t="str">
        <f>B2957^2+C2957^2</f>
      </c>
      <c r="E2957" s="6" t="str">
        <f>IF(D2957&lt;=1,1,0)</f>
      </c>
    </row>
    <row r="2958">
      <c r="A2958" s="5">
        <v>931</v>
      </c>
      <c r="B2958" s="5" t="str">
        <f>INDEX('Lineal Mixto'!$C$5:$C$2004,2*A2958-1)</f>
      </c>
      <c r="C2958" s="5" t="str">
        <f>INDEX('Lineal Mixto'!$C$5:$C$2004,2*A2958)</f>
      </c>
      <c r="D2958" s="5" t="str">
        <f>B2958^2+C2958^2</f>
      </c>
      <c r="E2958" s="5" t="str">
        <f>IF(D2958&lt;=1,1,0)</f>
      </c>
    </row>
    <row r="2959">
      <c r="A2959" s="6">
        <v>932</v>
      </c>
      <c r="B2959" s="6" t="str">
        <f>INDEX('Lineal Mixto'!$C$5:$C$2004,2*A2959-1)</f>
      </c>
      <c r="C2959" s="6" t="str">
        <f>INDEX('Lineal Mixto'!$C$5:$C$2004,2*A2959)</f>
      </c>
      <c r="D2959" s="6" t="str">
        <f>B2959^2+C2959^2</f>
      </c>
      <c r="E2959" s="6" t="str">
        <f>IF(D2959&lt;=1,1,0)</f>
      </c>
    </row>
    <row r="2960">
      <c r="A2960" s="5">
        <v>933</v>
      </c>
      <c r="B2960" s="5" t="str">
        <f>INDEX('Lineal Mixto'!$C$5:$C$2004,2*A2960-1)</f>
      </c>
      <c r="C2960" s="5" t="str">
        <f>INDEX('Lineal Mixto'!$C$5:$C$2004,2*A2960)</f>
      </c>
      <c r="D2960" s="5" t="str">
        <f>B2960^2+C2960^2</f>
      </c>
      <c r="E2960" s="5" t="str">
        <f>IF(D2960&lt;=1,1,0)</f>
      </c>
    </row>
    <row r="2961">
      <c r="A2961" s="6">
        <v>934</v>
      </c>
      <c r="B2961" s="6" t="str">
        <f>INDEX('Lineal Mixto'!$C$5:$C$2004,2*A2961-1)</f>
      </c>
      <c r="C2961" s="6" t="str">
        <f>INDEX('Lineal Mixto'!$C$5:$C$2004,2*A2961)</f>
      </c>
      <c r="D2961" s="6" t="str">
        <f>B2961^2+C2961^2</f>
      </c>
      <c r="E2961" s="6" t="str">
        <f>IF(D2961&lt;=1,1,0)</f>
      </c>
    </row>
    <row r="2962">
      <c r="A2962" s="5">
        <v>935</v>
      </c>
      <c r="B2962" s="5" t="str">
        <f>INDEX('Lineal Mixto'!$C$5:$C$2004,2*A2962-1)</f>
      </c>
      <c r="C2962" s="5" t="str">
        <f>INDEX('Lineal Mixto'!$C$5:$C$2004,2*A2962)</f>
      </c>
      <c r="D2962" s="5" t="str">
        <f>B2962^2+C2962^2</f>
      </c>
      <c r="E2962" s="5" t="str">
        <f>IF(D2962&lt;=1,1,0)</f>
      </c>
    </row>
    <row r="2963">
      <c r="A2963" s="6">
        <v>936</v>
      </c>
      <c r="B2963" s="6" t="str">
        <f>INDEX('Lineal Mixto'!$C$5:$C$2004,2*A2963-1)</f>
      </c>
      <c r="C2963" s="6" t="str">
        <f>INDEX('Lineal Mixto'!$C$5:$C$2004,2*A2963)</f>
      </c>
      <c r="D2963" s="6" t="str">
        <f>B2963^2+C2963^2</f>
      </c>
      <c r="E2963" s="6" t="str">
        <f>IF(D2963&lt;=1,1,0)</f>
      </c>
    </row>
    <row r="2964">
      <c r="A2964" s="5">
        <v>937</v>
      </c>
      <c r="B2964" s="5" t="str">
        <f>INDEX('Lineal Mixto'!$C$5:$C$2004,2*A2964-1)</f>
      </c>
      <c r="C2964" s="5" t="str">
        <f>INDEX('Lineal Mixto'!$C$5:$C$2004,2*A2964)</f>
      </c>
      <c r="D2964" s="5" t="str">
        <f>B2964^2+C2964^2</f>
      </c>
      <c r="E2964" s="5" t="str">
        <f>IF(D2964&lt;=1,1,0)</f>
      </c>
    </row>
    <row r="2965">
      <c r="A2965" s="6">
        <v>938</v>
      </c>
      <c r="B2965" s="6" t="str">
        <f>INDEX('Lineal Mixto'!$C$5:$C$2004,2*A2965-1)</f>
      </c>
      <c r="C2965" s="6" t="str">
        <f>INDEX('Lineal Mixto'!$C$5:$C$2004,2*A2965)</f>
      </c>
      <c r="D2965" s="6" t="str">
        <f>B2965^2+C2965^2</f>
      </c>
      <c r="E2965" s="6" t="str">
        <f>IF(D2965&lt;=1,1,0)</f>
      </c>
    </row>
    <row r="2966">
      <c r="A2966" s="5">
        <v>939</v>
      </c>
      <c r="B2966" s="5" t="str">
        <f>INDEX('Lineal Mixto'!$C$5:$C$2004,2*A2966-1)</f>
      </c>
      <c r="C2966" s="5" t="str">
        <f>INDEX('Lineal Mixto'!$C$5:$C$2004,2*A2966)</f>
      </c>
      <c r="D2966" s="5" t="str">
        <f>B2966^2+C2966^2</f>
      </c>
      <c r="E2966" s="5" t="str">
        <f>IF(D2966&lt;=1,1,0)</f>
      </c>
    </row>
    <row r="2967">
      <c r="A2967" s="6">
        <v>940</v>
      </c>
      <c r="B2967" s="6" t="str">
        <f>INDEX('Lineal Mixto'!$C$5:$C$2004,2*A2967-1)</f>
      </c>
      <c r="C2967" s="6" t="str">
        <f>INDEX('Lineal Mixto'!$C$5:$C$2004,2*A2967)</f>
      </c>
      <c r="D2967" s="6" t="str">
        <f>B2967^2+C2967^2</f>
      </c>
      <c r="E2967" s="6" t="str">
        <f>IF(D2967&lt;=1,1,0)</f>
      </c>
    </row>
    <row r="2968">
      <c r="A2968" s="5">
        <v>941</v>
      </c>
      <c r="B2968" s="5" t="str">
        <f>INDEX('Lineal Mixto'!$C$5:$C$2004,2*A2968-1)</f>
      </c>
      <c r="C2968" s="5" t="str">
        <f>INDEX('Lineal Mixto'!$C$5:$C$2004,2*A2968)</f>
      </c>
      <c r="D2968" s="5" t="str">
        <f>B2968^2+C2968^2</f>
      </c>
      <c r="E2968" s="5" t="str">
        <f>IF(D2968&lt;=1,1,0)</f>
      </c>
    </row>
    <row r="2969">
      <c r="A2969" s="6">
        <v>942</v>
      </c>
      <c r="B2969" s="6" t="str">
        <f>INDEX('Lineal Mixto'!$C$5:$C$2004,2*A2969-1)</f>
      </c>
      <c r="C2969" s="6" t="str">
        <f>INDEX('Lineal Mixto'!$C$5:$C$2004,2*A2969)</f>
      </c>
      <c r="D2969" s="6" t="str">
        <f>B2969^2+C2969^2</f>
      </c>
      <c r="E2969" s="6" t="str">
        <f>IF(D2969&lt;=1,1,0)</f>
      </c>
    </row>
    <row r="2970">
      <c r="A2970" s="5">
        <v>943</v>
      </c>
      <c r="B2970" s="5" t="str">
        <f>INDEX('Lineal Mixto'!$C$5:$C$2004,2*A2970-1)</f>
      </c>
      <c r="C2970" s="5" t="str">
        <f>INDEX('Lineal Mixto'!$C$5:$C$2004,2*A2970)</f>
      </c>
      <c r="D2970" s="5" t="str">
        <f>B2970^2+C2970^2</f>
      </c>
      <c r="E2970" s="5" t="str">
        <f>IF(D2970&lt;=1,1,0)</f>
      </c>
    </row>
    <row r="2971">
      <c r="A2971" s="6">
        <v>944</v>
      </c>
      <c r="B2971" s="6" t="str">
        <f>INDEX('Lineal Mixto'!$C$5:$C$2004,2*A2971-1)</f>
      </c>
      <c r="C2971" s="6" t="str">
        <f>INDEX('Lineal Mixto'!$C$5:$C$2004,2*A2971)</f>
      </c>
      <c r="D2971" s="6" t="str">
        <f>B2971^2+C2971^2</f>
      </c>
      <c r="E2971" s="6" t="str">
        <f>IF(D2971&lt;=1,1,0)</f>
      </c>
    </row>
    <row r="2972">
      <c r="A2972" s="5">
        <v>945</v>
      </c>
      <c r="B2972" s="5" t="str">
        <f>INDEX('Lineal Mixto'!$C$5:$C$2004,2*A2972-1)</f>
      </c>
      <c r="C2972" s="5" t="str">
        <f>INDEX('Lineal Mixto'!$C$5:$C$2004,2*A2972)</f>
      </c>
      <c r="D2972" s="5" t="str">
        <f>B2972^2+C2972^2</f>
      </c>
      <c r="E2972" s="5" t="str">
        <f>IF(D2972&lt;=1,1,0)</f>
      </c>
    </row>
    <row r="2973">
      <c r="A2973" s="6">
        <v>946</v>
      </c>
      <c r="B2973" s="6" t="str">
        <f>INDEX('Lineal Mixto'!$C$5:$C$2004,2*A2973-1)</f>
      </c>
      <c r="C2973" s="6" t="str">
        <f>INDEX('Lineal Mixto'!$C$5:$C$2004,2*A2973)</f>
      </c>
      <c r="D2973" s="6" t="str">
        <f>B2973^2+C2973^2</f>
      </c>
      <c r="E2973" s="6" t="str">
        <f>IF(D2973&lt;=1,1,0)</f>
      </c>
    </row>
    <row r="2974">
      <c r="A2974" s="5">
        <v>947</v>
      </c>
      <c r="B2974" s="5" t="str">
        <f>INDEX('Lineal Mixto'!$C$5:$C$2004,2*A2974-1)</f>
      </c>
      <c r="C2974" s="5" t="str">
        <f>INDEX('Lineal Mixto'!$C$5:$C$2004,2*A2974)</f>
      </c>
      <c r="D2974" s="5" t="str">
        <f>B2974^2+C2974^2</f>
      </c>
      <c r="E2974" s="5" t="str">
        <f>IF(D2974&lt;=1,1,0)</f>
      </c>
    </row>
    <row r="2975">
      <c r="A2975" s="6">
        <v>948</v>
      </c>
      <c r="B2975" s="6" t="str">
        <f>INDEX('Lineal Mixto'!$C$5:$C$2004,2*A2975-1)</f>
      </c>
      <c r="C2975" s="6" t="str">
        <f>INDEX('Lineal Mixto'!$C$5:$C$2004,2*A2975)</f>
      </c>
      <c r="D2975" s="6" t="str">
        <f>B2975^2+C2975^2</f>
      </c>
      <c r="E2975" s="6" t="str">
        <f>IF(D2975&lt;=1,1,0)</f>
      </c>
    </row>
    <row r="2976">
      <c r="A2976" s="5">
        <v>949</v>
      </c>
      <c r="B2976" s="5" t="str">
        <f>INDEX('Lineal Mixto'!$C$5:$C$2004,2*A2976-1)</f>
      </c>
      <c r="C2976" s="5" t="str">
        <f>INDEX('Lineal Mixto'!$C$5:$C$2004,2*A2976)</f>
      </c>
      <c r="D2976" s="5" t="str">
        <f>B2976^2+C2976^2</f>
      </c>
      <c r="E2976" s="5" t="str">
        <f>IF(D2976&lt;=1,1,0)</f>
      </c>
    </row>
    <row r="2977">
      <c r="A2977" s="6">
        <v>950</v>
      </c>
      <c r="B2977" s="6" t="str">
        <f>INDEX('Lineal Mixto'!$C$5:$C$2004,2*A2977-1)</f>
      </c>
      <c r="C2977" s="6" t="str">
        <f>INDEX('Lineal Mixto'!$C$5:$C$2004,2*A2977)</f>
      </c>
      <c r="D2977" s="6" t="str">
        <f>B2977^2+C2977^2</f>
      </c>
      <c r="E2977" s="6" t="str">
        <f>IF(D2977&lt;=1,1,0)</f>
      </c>
    </row>
    <row r="2978">
      <c r="A2978" s="5">
        <v>951</v>
      </c>
      <c r="B2978" s="5" t="str">
        <f>INDEX('Lineal Mixto'!$C$5:$C$2004,2*A2978-1)</f>
      </c>
      <c r="C2978" s="5" t="str">
        <f>INDEX('Lineal Mixto'!$C$5:$C$2004,2*A2978)</f>
      </c>
      <c r="D2978" s="5" t="str">
        <f>B2978^2+C2978^2</f>
      </c>
      <c r="E2978" s="5" t="str">
        <f>IF(D2978&lt;=1,1,0)</f>
      </c>
    </row>
    <row r="2979">
      <c r="A2979" s="6">
        <v>952</v>
      </c>
      <c r="B2979" s="6" t="str">
        <f>INDEX('Lineal Mixto'!$C$5:$C$2004,2*A2979-1)</f>
      </c>
      <c r="C2979" s="6" t="str">
        <f>INDEX('Lineal Mixto'!$C$5:$C$2004,2*A2979)</f>
      </c>
      <c r="D2979" s="6" t="str">
        <f>B2979^2+C2979^2</f>
      </c>
      <c r="E2979" s="6" t="str">
        <f>IF(D2979&lt;=1,1,0)</f>
      </c>
    </row>
    <row r="2980">
      <c r="A2980" s="5">
        <v>953</v>
      </c>
      <c r="B2980" s="5" t="str">
        <f>INDEX('Lineal Mixto'!$C$5:$C$2004,2*A2980-1)</f>
      </c>
      <c r="C2980" s="5" t="str">
        <f>INDEX('Lineal Mixto'!$C$5:$C$2004,2*A2980)</f>
      </c>
      <c r="D2980" s="5" t="str">
        <f>B2980^2+C2980^2</f>
      </c>
      <c r="E2980" s="5" t="str">
        <f>IF(D2980&lt;=1,1,0)</f>
      </c>
    </row>
    <row r="2981">
      <c r="A2981" s="6">
        <v>954</v>
      </c>
      <c r="B2981" s="6" t="str">
        <f>INDEX('Lineal Mixto'!$C$5:$C$2004,2*A2981-1)</f>
      </c>
      <c r="C2981" s="6" t="str">
        <f>INDEX('Lineal Mixto'!$C$5:$C$2004,2*A2981)</f>
      </c>
      <c r="D2981" s="6" t="str">
        <f>B2981^2+C2981^2</f>
      </c>
      <c r="E2981" s="6" t="str">
        <f>IF(D2981&lt;=1,1,0)</f>
      </c>
    </row>
    <row r="2982">
      <c r="A2982" s="5">
        <v>955</v>
      </c>
      <c r="B2982" s="5" t="str">
        <f>INDEX('Lineal Mixto'!$C$5:$C$2004,2*A2982-1)</f>
      </c>
      <c r="C2982" s="5" t="str">
        <f>INDEX('Lineal Mixto'!$C$5:$C$2004,2*A2982)</f>
      </c>
      <c r="D2982" s="5" t="str">
        <f>B2982^2+C2982^2</f>
      </c>
      <c r="E2982" s="5" t="str">
        <f>IF(D2982&lt;=1,1,0)</f>
      </c>
    </row>
    <row r="2983">
      <c r="A2983" s="6">
        <v>956</v>
      </c>
      <c r="B2983" s="6" t="str">
        <f>INDEX('Lineal Mixto'!$C$5:$C$2004,2*A2983-1)</f>
      </c>
      <c r="C2983" s="6" t="str">
        <f>INDEX('Lineal Mixto'!$C$5:$C$2004,2*A2983)</f>
      </c>
      <c r="D2983" s="6" t="str">
        <f>B2983^2+C2983^2</f>
      </c>
      <c r="E2983" s="6" t="str">
        <f>IF(D2983&lt;=1,1,0)</f>
      </c>
    </row>
    <row r="2984">
      <c r="A2984" s="5">
        <v>957</v>
      </c>
      <c r="B2984" s="5" t="str">
        <f>INDEX('Lineal Mixto'!$C$5:$C$2004,2*A2984-1)</f>
      </c>
      <c r="C2984" s="5" t="str">
        <f>INDEX('Lineal Mixto'!$C$5:$C$2004,2*A2984)</f>
      </c>
      <c r="D2984" s="5" t="str">
        <f>B2984^2+C2984^2</f>
      </c>
      <c r="E2984" s="5" t="str">
        <f>IF(D2984&lt;=1,1,0)</f>
      </c>
    </row>
    <row r="2985">
      <c r="A2985" s="6">
        <v>958</v>
      </c>
      <c r="B2985" s="6" t="str">
        <f>INDEX('Lineal Mixto'!$C$5:$C$2004,2*A2985-1)</f>
      </c>
      <c r="C2985" s="6" t="str">
        <f>INDEX('Lineal Mixto'!$C$5:$C$2004,2*A2985)</f>
      </c>
      <c r="D2985" s="6" t="str">
        <f>B2985^2+C2985^2</f>
      </c>
      <c r="E2985" s="6" t="str">
        <f>IF(D2985&lt;=1,1,0)</f>
      </c>
    </row>
    <row r="2986">
      <c r="A2986" s="5">
        <v>959</v>
      </c>
      <c r="B2986" s="5" t="str">
        <f>INDEX('Lineal Mixto'!$C$5:$C$2004,2*A2986-1)</f>
      </c>
      <c r="C2986" s="5" t="str">
        <f>INDEX('Lineal Mixto'!$C$5:$C$2004,2*A2986)</f>
      </c>
      <c r="D2986" s="5" t="str">
        <f>B2986^2+C2986^2</f>
      </c>
      <c r="E2986" s="5" t="str">
        <f>IF(D2986&lt;=1,1,0)</f>
      </c>
    </row>
    <row r="2987">
      <c r="A2987" s="6">
        <v>960</v>
      </c>
      <c r="B2987" s="6" t="str">
        <f>INDEX('Lineal Mixto'!$C$5:$C$2004,2*A2987-1)</f>
      </c>
      <c r="C2987" s="6" t="str">
        <f>INDEX('Lineal Mixto'!$C$5:$C$2004,2*A2987)</f>
      </c>
      <c r="D2987" s="6" t="str">
        <f>B2987^2+C2987^2</f>
      </c>
      <c r="E2987" s="6" t="str">
        <f>IF(D2987&lt;=1,1,0)</f>
      </c>
    </row>
    <row r="2988">
      <c r="A2988" s="5">
        <v>961</v>
      </c>
      <c r="B2988" s="5" t="str">
        <f>INDEX('Lineal Mixto'!$C$5:$C$2004,2*A2988-1)</f>
      </c>
      <c r="C2988" s="5" t="str">
        <f>INDEX('Lineal Mixto'!$C$5:$C$2004,2*A2988)</f>
      </c>
      <c r="D2988" s="5" t="str">
        <f>B2988^2+C2988^2</f>
      </c>
      <c r="E2988" s="5" t="str">
        <f>IF(D2988&lt;=1,1,0)</f>
      </c>
    </row>
    <row r="2989">
      <c r="A2989" s="6">
        <v>962</v>
      </c>
      <c r="B2989" s="6" t="str">
        <f>INDEX('Lineal Mixto'!$C$5:$C$2004,2*A2989-1)</f>
      </c>
      <c r="C2989" s="6" t="str">
        <f>INDEX('Lineal Mixto'!$C$5:$C$2004,2*A2989)</f>
      </c>
      <c r="D2989" s="6" t="str">
        <f>B2989^2+C2989^2</f>
      </c>
      <c r="E2989" s="6" t="str">
        <f>IF(D2989&lt;=1,1,0)</f>
      </c>
    </row>
    <row r="2990">
      <c r="A2990" s="5">
        <v>963</v>
      </c>
      <c r="B2990" s="5" t="str">
        <f>INDEX('Lineal Mixto'!$C$5:$C$2004,2*A2990-1)</f>
      </c>
      <c r="C2990" s="5" t="str">
        <f>INDEX('Lineal Mixto'!$C$5:$C$2004,2*A2990)</f>
      </c>
      <c r="D2990" s="5" t="str">
        <f>B2990^2+C2990^2</f>
      </c>
      <c r="E2990" s="5" t="str">
        <f>IF(D2990&lt;=1,1,0)</f>
      </c>
    </row>
    <row r="2991">
      <c r="A2991" s="6">
        <v>964</v>
      </c>
      <c r="B2991" s="6" t="str">
        <f>INDEX('Lineal Mixto'!$C$5:$C$2004,2*A2991-1)</f>
      </c>
      <c r="C2991" s="6" t="str">
        <f>INDEX('Lineal Mixto'!$C$5:$C$2004,2*A2991)</f>
      </c>
      <c r="D2991" s="6" t="str">
        <f>B2991^2+C2991^2</f>
      </c>
      <c r="E2991" s="6" t="str">
        <f>IF(D2991&lt;=1,1,0)</f>
      </c>
    </row>
    <row r="2992">
      <c r="A2992" s="5">
        <v>965</v>
      </c>
      <c r="B2992" s="5" t="str">
        <f>INDEX('Lineal Mixto'!$C$5:$C$2004,2*A2992-1)</f>
      </c>
      <c r="C2992" s="5" t="str">
        <f>INDEX('Lineal Mixto'!$C$5:$C$2004,2*A2992)</f>
      </c>
      <c r="D2992" s="5" t="str">
        <f>B2992^2+C2992^2</f>
      </c>
      <c r="E2992" s="5" t="str">
        <f>IF(D2992&lt;=1,1,0)</f>
      </c>
    </row>
    <row r="2993">
      <c r="A2993" s="6">
        <v>966</v>
      </c>
      <c r="B2993" s="6" t="str">
        <f>INDEX('Lineal Mixto'!$C$5:$C$2004,2*A2993-1)</f>
      </c>
      <c r="C2993" s="6" t="str">
        <f>INDEX('Lineal Mixto'!$C$5:$C$2004,2*A2993)</f>
      </c>
      <c r="D2993" s="6" t="str">
        <f>B2993^2+C2993^2</f>
      </c>
      <c r="E2993" s="6" t="str">
        <f>IF(D2993&lt;=1,1,0)</f>
      </c>
    </row>
    <row r="2994">
      <c r="A2994" s="5">
        <v>967</v>
      </c>
      <c r="B2994" s="5" t="str">
        <f>INDEX('Lineal Mixto'!$C$5:$C$2004,2*A2994-1)</f>
      </c>
      <c r="C2994" s="5" t="str">
        <f>INDEX('Lineal Mixto'!$C$5:$C$2004,2*A2994)</f>
      </c>
      <c r="D2994" s="5" t="str">
        <f>B2994^2+C2994^2</f>
      </c>
      <c r="E2994" s="5" t="str">
        <f>IF(D2994&lt;=1,1,0)</f>
      </c>
    </row>
    <row r="2995">
      <c r="A2995" s="6">
        <v>968</v>
      </c>
      <c r="B2995" s="6" t="str">
        <f>INDEX('Lineal Mixto'!$C$5:$C$2004,2*A2995-1)</f>
      </c>
      <c r="C2995" s="6" t="str">
        <f>INDEX('Lineal Mixto'!$C$5:$C$2004,2*A2995)</f>
      </c>
      <c r="D2995" s="6" t="str">
        <f>B2995^2+C2995^2</f>
      </c>
      <c r="E2995" s="6" t="str">
        <f>IF(D2995&lt;=1,1,0)</f>
      </c>
    </row>
    <row r="2996">
      <c r="A2996" s="5">
        <v>969</v>
      </c>
      <c r="B2996" s="5" t="str">
        <f>INDEX('Lineal Mixto'!$C$5:$C$2004,2*A2996-1)</f>
      </c>
      <c r="C2996" s="5" t="str">
        <f>INDEX('Lineal Mixto'!$C$5:$C$2004,2*A2996)</f>
      </c>
      <c r="D2996" s="5" t="str">
        <f>B2996^2+C2996^2</f>
      </c>
      <c r="E2996" s="5" t="str">
        <f>IF(D2996&lt;=1,1,0)</f>
      </c>
    </row>
    <row r="2997">
      <c r="A2997" s="6">
        <v>970</v>
      </c>
      <c r="B2997" s="6" t="str">
        <f>INDEX('Lineal Mixto'!$C$5:$C$2004,2*A2997-1)</f>
      </c>
      <c r="C2997" s="6" t="str">
        <f>INDEX('Lineal Mixto'!$C$5:$C$2004,2*A2997)</f>
      </c>
      <c r="D2997" s="6" t="str">
        <f>B2997^2+C2997^2</f>
      </c>
      <c r="E2997" s="6" t="str">
        <f>IF(D2997&lt;=1,1,0)</f>
      </c>
    </row>
    <row r="2998">
      <c r="A2998" s="5">
        <v>971</v>
      </c>
      <c r="B2998" s="5" t="str">
        <f>INDEX('Lineal Mixto'!$C$5:$C$2004,2*A2998-1)</f>
      </c>
      <c r="C2998" s="5" t="str">
        <f>INDEX('Lineal Mixto'!$C$5:$C$2004,2*A2998)</f>
      </c>
      <c r="D2998" s="5" t="str">
        <f>B2998^2+C2998^2</f>
      </c>
      <c r="E2998" s="5" t="str">
        <f>IF(D2998&lt;=1,1,0)</f>
      </c>
    </row>
    <row r="2999">
      <c r="A2999" s="6">
        <v>972</v>
      </c>
      <c r="B2999" s="6" t="str">
        <f>INDEX('Lineal Mixto'!$C$5:$C$2004,2*A2999-1)</f>
      </c>
      <c r="C2999" s="6" t="str">
        <f>INDEX('Lineal Mixto'!$C$5:$C$2004,2*A2999)</f>
      </c>
      <c r="D2999" s="6" t="str">
        <f>B2999^2+C2999^2</f>
      </c>
      <c r="E2999" s="6" t="str">
        <f>IF(D2999&lt;=1,1,0)</f>
      </c>
    </row>
    <row r="3000">
      <c r="A3000" s="5">
        <v>973</v>
      </c>
      <c r="B3000" s="5" t="str">
        <f>INDEX('Lineal Mixto'!$C$5:$C$2004,2*A3000-1)</f>
      </c>
      <c r="C3000" s="5" t="str">
        <f>INDEX('Lineal Mixto'!$C$5:$C$2004,2*A3000)</f>
      </c>
      <c r="D3000" s="5" t="str">
        <f>B3000^2+C3000^2</f>
      </c>
      <c r="E3000" s="5" t="str">
        <f>IF(D3000&lt;=1,1,0)</f>
      </c>
    </row>
    <row r="3001">
      <c r="A3001" s="6">
        <v>974</v>
      </c>
      <c r="B3001" s="6" t="str">
        <f>INDEX('Lineal Mixto'!$C$5:$C$2004,2*A3001-1)</f>
      </c>
      <c r="C3001" s="6" t="str">
        <f>INDEX('Lineal Mixto'!$C$5:$C$2004,2*A3001)</f>
      </c>
      <c r="D3001" s="6" t="str">
        <f>B3001^2+C3001^2</f>
      </c>
      <c r="E3001" s="6" t="str">
        <f>IF(D3001&lt;=1,1,0)</f>
      </c>
    </row>
    <row r="3002">
      <c r="A3002" s="5">
        <v>975</v>
      </c>
      <c r="B3002" s="5" t="str">
        <f>INDEX('Lineal Mixto'!$C$5:$C$2004,2*A3002-1)</f>
      </c>
      <c r="C3002" s="5" t="str">
        <f>INDEX('Lineal Mixto'!$C$5:$C$2004,2*A3002)</f>
      </c>
      <c r="D3002" s="5" t="str">
        <f>B3002^2+C3002^2</f>
      </c>
      <c r="E3002" s="5" t="str">
        <f>IF(D3002&lt;=1,1,0)</f>
      </c>
    </row>
    <row r="3003">
      <c r="A3003" s="6">
        <v>976</v>
      </c>
      <c r="B3003" s="6" t="str">
        <f>INDEX('Lineal Mixto'!$C$5:$C$2004,2*A3003-1)</f>
      </c>
      <c r="C3003" s="6" t="str">
        <f>INDEX('Lineal Mixto'!$C$5:$C$2004,2*A3003)</f>
      </c>
      <c r="D3003" s="6" t="str">
        <f>B3003^2+C3003^2</f>
      </c>
      <c r="E3003" s="6" t="str">
        <f>IF(D3003&lt;=1,1,0)</f>
      </c>
    </row>
    <row r="3004">
      <c r="A3004" s="5">
        <v>977</v>
      </c>
      <c r="B3004" s="5" t="str">
        <f>INDEX('Lineal Mixto'!$C$5:$C$2004,2*A3004-1)</f>
      </c>
      <c r="C3004" s="5" t="str">
        <f>INDEX('Lineal Mixto'!$C$5:$C$2004,2*A3004)</f>
      </c>
      <c r="D3004" s="5" t="str">
        <f>B3004^2+C3004^2</f>
      </c>
      <c r="E3004" s="5" t="str">
        <f>IF(D3004&lt;=1,1,0)</f>
      </c>
    </row>
    <row r="3005">
      <c r="A3005" s="6">
        <v>978</v>
      </c>
      <c r="B3005" s="6" t="str">
        <f>INDEX('Lineal Mixto'!$C$5:$C$2004,2*A3005-1)</f>
      </c>
      <c r="C3005" s="6" t="str">
        <f>INDEX('Lineal Mixto'!$C$5:$C$2004,2*A3005)</f>
      </c>
      <c r="D3005" s="6" t="str">
        <f>B3005^2+C3005^2</f>
      </c>
      <c r="E3005" s="6" t="str">
        <f>IF(D3005&lt;=1,1,0)</f>
      </c>
    </row>
    <row r="3006">
      <c r="A3006" s="5">
        <v>979</v>
      </c>
      <c r="B3006" s="5" t="str">
        <f>INDEX('Lineal Mixto'!$C$5:$C$2004,2*A3006-1)</f>
      </c>
      <c r="C3006" s="5" t="str">
        <f>INDEX('Lineal Mixto'!$C$5:$C$2004,2*A3006)</f>
      </c>
      <c r="D3006" s="5" t="str">
        <f>B3006^2+C3006^2</f>
      </c>
      <c r="E3006" s="5" t="str">
        <f>IF(D3006&lt;=1,1,0)</f>
      </c>
    </row>
    <row r="3007">
      <c r="A3007" s="6">
        <v>980</v>
      </c>
      <c r="B3007" s="6" t="str">
        <f>INDEX('Lineal Mixto'!$C$5:$C$2004,2*A3007-1)</f>
      </c>
      <c r="C3007" s="6" t="str">
        <f>INDEX('Lineal Mixto'!$C$5:$C$2004,2*A3007)</f>
      </c>
      <c r="D3007" s="6" t="str">
        <f>B3007^2+C3007^2</f>
      </c>
      <c r="E3007" s="6" t="str">
        <f>IF(D3007&lt;=1,1,0)</f>
      </c>
    </row>
    <row r="3008">
      <c r="A3008" s="5">
        <v>981</v>
      </c>
      <c r="B3008" s="5" t="str">
        <f>INDEX('Lineal Mixto'!$C$5:$C$2004,2*A3008-1)</f>
      </c>
      <c r="C3008" s="5" t="str">
        <f>INDEX('Lineal Mixto'!$C$5:$C$2004,2*A3008)</f>
      </c>
      <c r="D3008" s="5" t="str">
        <f>B3008^2+C3008^2</f>
      </c>
      <c r="E3008" s="5" t="str">
        <f>IF(D3008&lt;=1,1,0)</f>
      </c>
    </row>
    <row r="3009">
      <c r="A3009" s="6">
        <v>982</v>
      </c>
      <c r="B3009" s="6" t="str">
        <f>INDEX('Lineal Mixto'!$C$5:$C$2004,2*A3009-1)</f>
      </c>
      <c r="C3009" s="6" t="str">
        <f>INDEX('Lineal Mixto'!$C$5:$C$2004,2*A3009)</f>
      </c>
      <c r="D3009" s="6" t="str">
        <f>B3009^2+C3009^2</f>
      </c>
      <c r="E3009" s="6" t="str">
        <f>IF(D3009&lt;=1,1,0)</f>
      </c>
    </row>
    <row r="3010">
      <c r="A3010" s="5">
        <v>983</v>
      </c>
      <c r="B3010" s="5" t="str">
        <f>INDEX('Lineal Mixto'!$C$5:$C$2004,2*A3010-1)</f>
      </c>
      <c r="C3010" s="5" t="str">
        <f>INDEX('Lineal Mixto'!$C$5:$C$2004,2*A3010)</f>
      </c>
      <c r="D3010" s="5" t="str">
        <f>B3010^2+C3010^2</f>
      </c>
      <c r="E3010" s="5" t="str">
        <f>IF(D3010&lt;=1,1,0)</f>
      </c>
    </row>
    <row r="3011">
      <c r="A3011" s="6">
        <v>984</v>
      </c>
      <c r="B3011" s="6" t="str">
        <f>INDEX('Lineal Mixto'!$C$5:$C$2004,2*A3011-1)</f>
      </c>
      <c r="C3011" s="6" t="str">
        <f>INDEX('Lineal Mixto'!$C$5:$C$2004,2*A3011)</f>
      </c>
      <c r="D3011" s="6" t="str">
        <f>B3011^2+C3011^2</f>
      </c>
      <c r="E3011" s="6" t="str">
        <f>IF(D3011&lt;=1,1,0)</f>
      </c>
    </row>
    <row r="3012">
      <c r="A3012" s="5">
        <v>985</v>
      </c>
      <c r="B3012" s="5" t="str">
        <f>INDEX('Lineal Mixto'!$C$5:$C$2004,2*A3012-1)</f>
      </c>
      <c r="C3012" s="5" t="str">
        <f>INDEX('Lineal Mixto'!$C$5:$C$2004,2*A3012)</f>
      </c>
      <c r="D3012" s="5" t="str">
        <f>B3012^2+C3012^2</f>
      </c>
      <c r="E3012" s="5" t="str">
        <f>IF(D3012&lt;=1,1,0)</f>
      </c>
    </row>
    <row r="3013">
      <c r="A3013" s="6">
        <v>986</v>
      </c>
      <c r="B3013" s="6" t="str">
        <f>INDEX('Lineal Mixto'!$C$5:$C$2004,2*A3013-1)</f>
      </c>
      <c r="C3013" s="6" t="str">
        <f>INDEX('Lineal Mixto'!$C$5:$C$2004,2*A3013)</f>
      </c>
      <c r="D3013" s="6" t="str">
        <f>B3013^2+C3013^2</f>
      </c>
      <c r="E3013" s="6" t="str">
        <f>IF(D3013&lt;=1,1,0)</f>
      </c>
    </row>
    <row r="3014">
      <c r="A3014" s="5">
        <v>987</v>
      </c>
      <c r="B3014" s="5" t="str">
        <f>INDEX('Lineal Mixto'!$C$5:$C$2004,2*A3014-1)</f>
      </c>
      <c r="C3014" s="5" t="str">
        <f>INDEX('Lineal Mixto'!$C$5:$C$2004,2*A3014)</f>
      </c>
      <c r="D3014" s="5" t="str">
        <f>B3014^2+C3014^2</f>
      </c>
      <c r="E3014" s="5" t="str">
        <f>IF(D3014&lt;=1,1,0)</f>
      </c>
    </row>
    <row r="3015">
      <c r="A3015" s="6">
        <v>988</v>
      </c>
      <c r="B3015" s="6" t="str">
        <f>INDEX('Lineal Mixto'!$C$5:$C$2004,2*A3015-1)</f>
      </c>
      <c r="C3015" s="6" t="str">
        <f>INDEX('Lineal Mixto'!$C$5:$C$2004,2*A3015)</f>
      </c>
      <c r="D3015" s="6" t="str">
        <f>B3015^2+C3015^2</f>
      </c>
      <c r="E3015" s="6" t="str">
        <f>IF(D3015&lt;=1,1,0)</f>
      </c>
    </row>
    <row r="3016">
      <c r="A3016" s="5">
        <v>989</v>
      </c>
      <c r="B3016" s="5" t="str">
        <f>INDEX('Lineal Mixto'!$C$5:$C$2004,2*A3016-1)</f>
      </c>
      <c r="C3016" s="5" t="str">
        <f>INDEX('Lineal Mixto'!$C$5:$C$2004,2*A3016)</f>
      </c>
      <c r="D3016" s="5" t="str">
        <f>B3016^2+C3016^2</f>
      </c>
      <c r="E3016" s="5" t="str">
        <f>IF(D3016&lt;=1,1,0)</f>
      </c>
    </row>
    <row r="3017">
      <c r="A3017" s="6">
        <v>990</v>
      </c>
      <c r="B3017" s="6" t="str">
        <f>INDEX('Lineal Mixto'!$C$5:$C$2004,2*A3017-1)</f>
      </c>
      <c r="C3017" s="6" t="str">
        <f>INDEX('Lineal Mixto'!$C$5:$C$2004,2*A3017)</f>
      </c>
      <c r="D3017" s="6" t="str">
        <f>B3017^2+C3017^2</f>
      </c>
      <c r="E3017" s="6" t="str">
        <f>IF(D3017&lt;=1,1,0)</f>
      </c>
    </row>
    <row r="3018">
      <c r="A3018" s="5">
        <v>991</v>
      </c>
      <c r="B3018" s="5" t="str">
        <f>INDEX('Lineal Mixto'!$C$5:$C$2004,2*A3018-1)</f>
      </c>
      <c r="C3018" s="5" t="str">
        <f>INDEX('Lineal Mixto'!$C$5:$C$2004,2*A3018)</f>
      </c>
      <c r="D3018" s="5" t="str">
        <f>B3018^2+C3018^2</f>
      </c>
      <c r="E3018" s="5" t="str">
        <f>IF(D3018&lt;=1,1,0)</f>
      </c>
    </row>
    <row r="3019">
      <c r="A3019" s="6">
        <v>992</v>
      </c>
      <c r="B3019" s="6" t="str">
        <f>INDEX('Lineal Mixto'!$C$5:$C$2004,2*A3019-1)</f>
      </c>
      <c r="C3019" s="6" t="str">
        <f>INDEX('Lineal Mixto'!$C$5:$C$2004,2*A3019)</f>
      </c>
      <c r="D3019" s="6" t="str">
        <f>B3019^2+C3019^2</f>
      </c>
      <c r="E3019" s="6" t="str">
        <f>IF(D3019&lt;=1,1,0)</f>
      </c>
    </row>
    <row r="3020">
      <c r="A3020" s="5">
        <v>993</v>
      </c>
      <c r="B3020" s="5" t="str">
        <f>INDEX('Lineal Mixto'!$C$5:$C$2004,2*A3020-1)</f>
      </c>
      <c r="C3020" s="5" t="str">
        <f>INDEX('Lineal Mixto'!$C$5:$C$2004,2*A3020)</f>
      </c>
      <c r="D3020" s="5" t="str">
        <f>B3020^2+C3020^2</f>
      </c>
      <c r="E3020" s="5" t="str">
        <f>IF(D3020&lt;=1,1,0)</f>
      </c>
    </row>
    <row r="3021">
      <c r="A3021" s="6">
        <v>994</v>
      </c>
      <c r="B3021" s="6" t="str">
        <f>INDEX('Lineal Mixto'!$C$5:$C$2004,2*A3021-1)</f>
      </c>
      <c r="C3021" s="6" t="str">
        <f>INDEX('Lineal Mixto'!$C$5:$C$2004,2*A3021)</f>
      </c>
      <c r="D3021" s="6" t="str">
        <f>B3021^2+C3021^2</f>
      </c>
      <c r="E3021" s="6" t="str">
        <f>IF(D3021&lt;=1,1,0)</f>
      </c>
    </row>
    <row r="3022">
      <c r="A3022" s="5">
        <v>995</v>
      </c>
      <c r="B3022" s="5" t="str">
        <f>INDEX('Lineal Mixto'!$C$5:$C$2004,2*A3022-1)</f>
      </c>
      <c r="C3022" s="5" t="str">
        <f>INDEX('Lineal Mixto'!$C$5:$C$2004,2*A3022)</f>
      </c>
      <c r="D3022" s="5" t="str">
        <f>B3022^2+C3022^2</f>
      </c>
      <c r="E3022" s="5" t="str">
        <f>IF(D3022&lt;=1,1,0)</f>
      </c>
    </row>
    <row r="3023">
      <c r="A3023" s="6">
        <v>996</v>
      </c>
      <c r="B3023" s="6" t="str">
        <f>INDEX('Lineal Mixto'!$C$5:$C$2004,2*A3023-1)</f>
      </c>
      <c r="C3023" s="6" t="str">
        <f>INDEX('Lineal Mixto'!$C$5:$C$2004,2*A3023)</f>
      </c>
      <c r="D3023" s="6" t="str">
        <f>B3023^2+C3023^2</f>
      </c>
      <c r="E3023" s="6" t="str">
        <f>IF(D3023&lt;=1,1,0)</f>
      </c>
    </row>
    <row r="3024">
      <c r="A3024" s="5">
        <v>997</v>
      </c>
      <c r="B3024" s="5" t="str">
        <f>INDEX('Lineal Mixto'!$C$5:$C$2004,2*A3024-1)</f>
      </c>
      <c r="C3024" s="5" t="str">
        <f>INDEX('Lineal Mixto'!$C$5:$C$2004,2*A3024)</f>
      </c>
      <c r="D3024" s="5" t="str">
        <f>B3024^2+C3024^2</f>
      </c>
      <c r="E3024" s="5" t="str">
        <f>IF(D3024&lt;=1,1,0)</f>
      </c>
    </row>
    <row r="3025">
      <c r="A3025" s="6">
        <v>998</v>
      </c>
      <c r="B3025" s="6" t="str">
        <f>INDEX('Lineal Mixto'!$C$5:$C$2004,2*A3025-1)</f>
      </c>
      <c r="C3025" s="6" t="str">
        <f>INDEX('Lineal Mixto'!$C$5:$C$2004,2*A3025)</f>
      </c>
      <c r="D3025" s="6" t="str">
        <f>B3025^2+C3025^2</f>
      </c>
      <c r="E3025" s="6" t="str">
        <f>IF(D3025&lt;=1,1,0)</f>
      </c>
    </row>
    <row r="3026">
      <c r="A3026" s="5">
        <v>999</v>
      </c>
      <c r="B3026" s="5" t="str">
        <f>INDEX('Lineal Mixto'!$C$5:$C$2004,2*A3026-1)</f>
      </c>
      <c r="C3026" s="5" t="str">
        <f>INDEX('Lineal Mixto'!$C$5:$C$2004,2*A3026)</f>
      </c>
      <c r="D3026" s="5" t="str">
        <f>B3026^2+C3026^2</f>
      </c>
      <c r="E3026" s="5" t="str">
        <f>IF(D3026&lt;=1,1,0)</f>
      </c>
    </row>
    <row r="3027">
      <c r="A3027" s="6">
        <v>1000</v>
      </c>
      <c r="B3027" s="6" t="str">
        <f>INDEX('Lineal Mixto'!$C$5:$C$2004,2*A3027-1)</f>
      </c>
      <c r="C3027" s="6" t="str">
        <f>INDEX('Lineal Mixto'!$C$5:$C$2004,2*A3027)</f>
      </c>
      <c r="D3027" s="6" t="str">
        <f>B3027^2+C3027^2</f>
      </c>
      <c r="E3027" s="6" t="str">
        <f>IF(D3027&lt;=1,1,0)</f>
      </c>
    </row>
    <row r="3028">
      <c r="A3028" t="s">
        <v>28</v>
      </c>
      <c r="B3028" t="str">
        <f>INT(COUNT('Lineal Mixto'!$C$5:$C$2004)/2)</f>
      </c>
    </row>
    <row r="3029">
      <c r="A3029" t="s">
        <v>29</v>
      </c>
      <c r="B3029" t="str">
        <f>SUM($E$2028:$E$3027)</f>
      </c>
    </row>
    <row r="3030">
      <c r="A3030" t="s">
        <v>30</v>
      </c>
      <c r="B3030" t="str">
        <f>IF(B3028=0,0,4*B3029/B3028)</f>
      </c>
    </row>
    <row r="3031">
      <c r="A3031" t="s">
        <v>31</v>
      </c>
      <c r="B3031" t="str">
        <f>IF(B3028=0,0,ABS(B3030-PI()))</f>
      </c>
    </row>
    <row r="3033" ht="22" customHeight="true">
      <c r="A3033" s="3" t="s">
        <v>32</v>
      </c>
      <c r="B3033" s="3"/>
      <c r="C3033" s="3"/>
      <c r="D3033" s="3"/>
      <c r="E3033" s="3"/>
      <c r="F3033" s="3"/>
      <c r="G3033" s="3"/>
      <c r="H3033" s="3"/>
    </row>
    <row r="3034">
      <c r="A3034" s="7" t="s">
        <v>33</v>
      </c>
      <c r="B3034" s="7">
        <v>0.3</v>
      </c>
    </row>
    <row r="3035">
      <c r="A3035" s="7" t="s">
        <v>34</v>
      </c>
      <c r="B3035" s="7">
        <v>0.7</v>
      </c>
    </row>
    <row r="3036">
      <c r="A3036" s="7" t="s">
        <v>35</v>
      </c>
      <c r="B3036" s="7" t="str">
        <f>$B$3035-$B$3034</f>
      </c>
    </row>
    <row r="3038">
      <c r="A3038" s="4" t="s">
        <v>36</v>
      </c>
      <c r="B3038" s="4" t="s">
        <v>37</v>
      </c>
      <c r="C3038" s="4" t="s">
        <v>38</v>
      </c>
      <c r="D3038" s="4" t="s">
        <v>39</v>
      </c>
      <c r="E3038" s="4" t="s">
        <v>40</v>
      </c>
      <c r="F3038" s="4" t="s">
        <v>41</v>
      </c>
    </row>
    <row r="3039">
      <c r="A3039" s="5">
        <v>1</v>
      </c>
      <c r="B3039" s="5" t="str">
        <f>'Lineal Mixto'!$C$5</f>
      </c>
      <c r="C3039" s="5" t="str">
        <f>IF(AND(B3039&gt;=$B$3034,B3039&lt;=$B$3035),1,0)</f>
      </c>
      <c r="D3039" s="5" t="str">
        <f>C3039</f>
      </c>
      <c r="E3039" s="5">
        <v>0</v>
      </c>
      <c r="F3039" s="5" t="s">
        <v>42</v>
      </c>
    </row>
    <row r="3040">
      <c r="A3040" s="6">
        <v>2</v>
      </c>
      <c r="B3040" s="6" t="str">
        <f>'Lineal Mixto'!$C$6</f>
      </c>
      <c r="C3040" s="6" t="str">
        <f>IF(AND(B3040&gt;=$B$3034,B3040&lt;=$B$3035),1,0)</f>
      </c>
      <c r="D3040" s="6" t="str">
        <f>IF(OR(D3039=1,C3040=1),1,0)</f>
      </c>
      <c r="E3040" s="6" t="str">
        <f>IF(C3040=1,0,IF(D3039=1,E3039+1,0))</f>
      </c>
      <c r="F3040" s="6" t="str">
        <f>IF(AND(C3040=1,D3039=1),MIN(E3039,3),"")</f>
      </c>
    </row>
    <row r="3041">
      <c r="A3041" s="5">
        <v>3</v>
      </c>
      <c r="B3041" s="5" t="str">
        <f>'Lineal Mixto'!$C$7</f>
      </c>
      <c r="C3041" s="5" t="str">
        <f>IF(AND(B3041&gt;=$B$3034,B3041&lt;=$B$3035),1,0)</f>
      </c>
      <c r="D3041" s="5" t="str">
        <f>IF(OR(D3040=1,C3041=1),1,0)</f>
      </c>
      <c r="E3041" s="5" t="str">
        <f>IF(C3041=1,0,IF(D3040=1,E3040+1,0))</f>
      </c>
      <c r="F3041" s="5" t="str">
        <f>IF(AND(C3041=1,D3040=1),MIN(E3040,3),"")</f>
      </c>
    </row>
    <row r="3042">
      <c r="A3042" s="6">
        <v>4</v>
      </c>
      <c r="B3042" s="6" t="str">
        <f>'Lineal Mixto'!$C$8</f>
      </c>
      <c r="C3042" s="6" t="str">
        <f>IF(AND(B3042&gt;=$B$3034,B3042&lt;=$B$3035),1,0)</f>
      </c>
      <c r="D3042" s="6" t="str">
        <f>IF(OR(D3041=1,C3042=1),1,0)</f>
      </c>
      <c r="E3042" s="6" t="str">
        <f>IF(C3042=1,0,IF(D3041=1,E3041+1,0))</f>
      </c>
      <c r="F3042" s="6" t="str">
        <f>IF(AND(C3042=1,D3041=1),MIN(E3041,3),"")</f>
      </c>
    </row>
    <row r="3043">
      <c r="A3043" s="5">
        <v>5</v>
      </c>
      <c r="B3043" s="5" t="str">
        <f>'Lineal Mixto'!$C$9</f>
      </c>
      <c r="C3043" s="5" t="str">
        <f>IF(AND(B3043&gt;=$B$3034,B3043&lt;=$B$3035),1,0)</f>
      </c>
      <c r="D3043" s="5" t="str">
        <f>IF(OR(D3042=1,C3043=1),1,0)</f>
      </c>
      <c r="E3043" s="5" t="str">
        <f>IF(C3043=1,0,IF(D3042=1,E3042+1,0))</f>
      </c>
      <c r="F3043" s="5" t="str">
        <f>IF(AND(C3043=1,D3042=1),MIN(E3042,3),"")</f>
      </c>
    </row>
    <row r="3044">
      <c r="A3044" s="6">
        <v>6</v>
      </c>
      <c r="B3044" s="6" t="str">
        <f>'Lineal Mixto'!$C$10</f>
      </c>
      <c r="C3044" s="6" t="str">
        <f>IF(AND(B3044&gt;=$B$3034,B3044&lt;=$B$3035),1,0)</f>
      </c>
      <c r="D3044" s="6" t="str">
        <f>IF(OR(D3043=1,C3044=1),1,0)</f>
      </c>
      <c r="E3044" s="6" t="str">
        <f>IF(C3044=1,0,IF(D3043=1,E3043+1,0))</f>
      </c>
      <c r="F3044" s="6" t="str">
        <f>IF(AND(C3044=1,D3043=1),MIN(E3043,3),"")</f>
      </c>
    </row>
    <row r="3045">
      <c r="A3045" s="5">
        <v>7</v>
      </c>
      <c r="B3045" s="5" t="str">
        <f>'Lineal Mixto'!$C$11</f>
      </c>
      <c r="C3045" s="5" t="str">
        <f>IF(AND(B3045&gt;=$B$3034,B3045&lt;=$B$3035),1,0)</f>
      </c>
      <c r="D3045" s="5" t="str">
        <f>IF(OR(D3044=1,C3045=1),1,0)</f>
      </c>
      <c r="E3045" s="5" t="str">
        <f>IF(C3045=1,0,IF(D3044=1,E3044+1,0))</f>
      </c>
      <c r="F3045" s="5" t="str">
        <f>IF(AND(C3045=1,D3044=1),MIN(E3044,3),"")</f>
      </c>
    </row>
    <row r="3046">
      <c r="A3046" s="6">
        <v>8</v>
      </c>
      <c r="B3046" s="6" t="str">
        <f>'Lineal Mixto'!$C$12</f>
      </c>
      <c r="C3046" s="6" t="str">
        <f>IF(AND(B3046&gt;=$B$3034,B3046&lt;=$B$3035),1,0)</f>
      </c>
      <c r="D3046" s="6" t="str">
        <f>IF(OR(D3045=1,C3046=1),1,0)</f>
      </c>
      <c r="E3046" s="6" t="str">
        <f>IF(C3046=1,0,IF(D3045=1,E3045+1,0))</f>
      </c>
      <c r="F3046" s="6" t="str">
        <f>IF(AND(C3046=1,D3045=1),MIN(E3045,3),"")</f>
      </c>
    </row>
    <row r="3047">
      <c r="A3047" s="5">
        <v>9</v>
      </c>
      <c r="B3047" s="5" t="str">
        <f>'Lineal Mixto'!$C$13</f>
      </c>
      <c r="C3047" s="5" t="str">
        <f>IF(AND(B3047&gt;=$B$3034,B3047&lt;=$B$3035),1,0)</f>
      </c>
      <c r="D3047" s="5" t="str">
        <f>IF(OR(D3046=1,C3047=1),1,0)</f>
      </c>
      <c r="E3047" s="5" t="str">
        <f>IF(C3047=1,0,IF(D3046=1,E3046+1,0))</f>
      </c>
      <c r="F3047" s="5" t="str">
        <f>IF(AND(C3047=1,D3046=1),MIN(E3046,3),"")</f>
      </c>
    </row>
    <row r="3048">
      <c r="A3048" s="6">
        <v>10</v>
      </c>
      <c r="B3048" s="6" t="str">
        <f>'Lineal Mixto'!$C$14</f>
      </c>
      <c r="C3048" s="6" t="str">
        <f>IF(AND(B3048&gt;=$B$3034,B3048&lt;=$B$3035),1,0)</f>
      </c>
      <c r="D3048" s="6" t="str">
        <f>IF(OR(D3047=1,C3048=1),1,0)</f>
      </c>
      <c r="E3048" s="6" t="str">
        <f>IF(C3048=1,0,IF(D3047=1,E3047+1,0))</f>
      </c>
      <c r="F3048" s="6" t="str">
        <f>IF(AND(C3048=1,D3047=1),MIN(E3047,3),"")</f>
      </c>
    </row>
    <row r="3049">
      <c r="A3049" s="5">
        <v>11</v>
      </c>
      <c r="B3049" s="5" t="str">
        <f>'Lineal Mixto'!$C$15</f>
      </c>
      <c r="C3049" s="5" t="str">
        <f>IF(AND(B3049&gt;=$B$3034,B3049&lt;=$B$3035),1,0)</f>
      </c>
      <c r="D3049" s="5" t="str">
        <f>IF(OR(D3048=1,C3049=1),1,0)</f>
      </c>
      <c r="E3049" s="5" t="str">
        <f>IF(C3049=1,0,IF(D3048=1,E3048+1,0))</f>
      </c>
      <c r="F3049" s="5" t="str">
        <f>IF(AND(C3049=1,D3048=1),MIN(E3048,3),"")</f>
      </c>
    </row>
    <row r="3050">
      <c r="A3050" s="6">
        <v>12</v>
      </c>
      <c r="B3050" s="6" t="str">
        <f>'Lineal Mixto'!$C$16</f>
      </c>
      <c r="C3050" s="6" t="str">
        <f>IF(AND(B3050&gt;=$B$3034,B3050&lt;=$B$3035),1,0)</f>
      </c>
      <c r="D3050" s="6" t="str">
        <f>IF(OR(D3049=1,C3050=1),1,0)</f>
      </c>
      <c r="E3050" s="6" t="str">
        <f>IF(C3050=1,0,IF(D3049=1,E3049+1,0))</f>
      </c>
      <c r="F3050" s="6" t="str">
        <f>IF(AND(C3050=1,D3049=1),MIN(E3049,3),"")</f>
      </c>
    </row>
    <row r="3051">
      <c r="A3051" s="5">
        <v>13</v>
      </c>
      <c r="B3051" s="5" t="str">
        <f>'Lineal Mixto'!$C$17</f>
      </c>
      <c r="C3051" s="5" t="str">
        <f>IF(AND(B3051&gt;=$B$3034,B3051&lt;=$B$3035),1,0)</f>
      </c>
      <c r="D3051" s="5" t="str">
        <f>IF(OR(D3050=1,C3051=1),1,0)</f>
      </c>
      <c r="E3051" s="5" t="str">
        <f>IF(C3051=1,0,IF(D3050=1,E3050+1,0))</f>
      </c>
      <c r="F3051" s="5" t="str">
        <f>IF(AND(C3051=1,D3050=1),MIN(E3050,3),"")</f>
      </c>
    </row>
    <row r="3052">
      <c r="A3052" s="6">
        <v>14</v>
      </c>
      <c r="B3052" s="6" t="str">
        <f>'Lineal Mixto'!$C$18</f>
      </c>
      <c r="C3052" s="6" t="str">
        <f>IF(AND(B3052&gt;=$B$3034,B3052&lt;=$B$3035),1,0)</f>
      </c>
      <c r="D3052" s="6" t="str">
        <f>IF(OR(D3051=1,C3052=1),1,0)</f>
      </c>
      <c r="E3052" s="6" t="str">
        <f>IF(C3052=1,0,IF(D3051=1,E3051+1,0))</f>
      </c>
      <c r="F3052" s="6" t="str">
        <f>IF(AND(C3052=1,D3051=1),MIN(E3051,3),"")</f>
      </c>
    </row>
    <row r="3053">
      <c r="A3053" s="5">
        <v>15</v>
      </c>
      <c r="B3053" s="5" t="str">
        <f>'Lineal Mixto'!$C$19</f>
      </c>
      <c r="C3053" s="5" t="str">
        <f>IF(AND(B3053&gt;=$B$3034,B3053&lt;=$B$3035),1,0)</f>
      </c>
      <c r="D3053" s="5" t="str">
        <f>IF(OR(D3052=1,C3053=1),1,0)</f>
      </c>
      <c r="E3053" s="5" t="str">
        <f>IF(C3053=1,0,IF(D3052=1,E3052+1,0))</f>
      </c>
      <c r="F3053" s="5" t="str">
        <f>IF(AND(C3053=1,D3052=1),MIN(E3052,3),"")</f>
      </c>
    </row>
    <row r="3054">
      <c r="A3054" s="6">
        <v>16</v>
      </c>
      <c r="B3054" s="6" t="str">
        <f>'Lineal Mixto'!$C$20</f>
      </c>
      <c r="C3054" s="6" t="str">
        <f>IF(AND(B3054&gt;=$B$3034,B3054&lt;=$B$3035),1,0)</f>
      </c>
      <c r="D3054" s="6" t="str">
        <f>IF(OR(D3053=1,C3054=1),1,0)</f>
      </c>
      <c r="E3054" s="6" t="str">
        <f>IF(C3054=1,0,IF(D3053=1,E3053+1,0))</f>
      </c>
      <c r="F3054" s="6" t="str">
        <f>IF(AND(C3054=1,D3053=1),MIN(E3053,3),"")</f>
      </c>
    </row>
    <row r="3055">
      <c r="A3055" s="5">
        <v>17</v>
      </c>
      <c r="B3055" s="5" t="str">
        <f>'Lineal Mixto'!$C$21</f>
      </c>
      <c r="C3055" s="5" t="str">
        <f>IF(AND(B3055&gt;=$B$3034,B3055&lt;=$B$3035),1,0)</f>
      </c>
      <c r="D3055" s="5" t="str">
        <f>IF(OR(D3054=1,C3055=1),1,0)</f>
      </c>
      <c r="E3055" s="5" t="str">
        <f>IF(C3055=1,0,IF(D3054=1,E3054+1,0))</f>
      </c>
      <c r="F3055" s="5" t="str">
        <f>IF(AND(C3055=1,D3054=1),MIN(E3054,3),"")</f>
      </c>
    </row>
    <row r="3056">
      <c r="A3056" s="6">
        <v>18</v>
      </c>
      <c r="B3056" s="6" t="str">
        <f>'Lineal Mixto'!$C$22</f>
      </c>
      <c r="C3056" s="6" t="str">
        <f>IF(AND(B3056&gt;=$B$3034,B3056&lt;=$B$3035),1,0)</f>
      </c>
      <c r="D3056" s="6" t="str">
        <f>IF(OR(D3055=1,C3056=1),1,0)</f>
      </c>
      <c r="E3056" s="6" t="str">
        <f>IF(C3056=1,0,IF(D3055=1,E3055+1,0))</f>
      </c>
      <c r="F3056" s="6" t="str">
        <f>IF(AND(C3056=1,D3055=1),MIN(E3055,3),"")</f>
      </c>
    </row>
    <row r="3057">
      <c r="A3057" s="5">
        <v>19</v>
      </c>
      <c r="B3057" s="5" t="str">
        <f>'Lineal Mixto'!$C$23</f>
      </c>
      <c r="C3057" s="5" t="str">
        <f>IF(AND(B3057&gt;=$B$3034,B3057&lt;=$B$3035),1,0)</f>
      </c>
      <c r="D3057" s="5" t="str">
        <f>IF(OR(D3056=1,C3057=1),1,0)</f>
      </c>
      <c r="E3057" s="5" t="str">
        <f>IF(C3057=1,0,IF(D3056=1,E3056+1,0))</f>
      </c>
      <c r="F3057" s="5" t="str">
        <f>IF(AND(C3057=1,D3056=1),MIN(E3056,3),"")</f>
      </c>
    </row>
    <row r="3058">
      <c r="A3058" s="6">
        <v>20</v>
      </c>
      <c r="B3058" s="6" t="str">
        <f>'Lineal Mixto'!$C$24</f>
      </c>
      <c r="C3058" s="6" t="str">
        <f>IF(AND(B3058&gt;=$B$3034,B3058&lt;=$B$3035),1,0)</f>
      </c>
      <c r="D3058" s="6" t="str">
        <f>IF(OR(D3057=1,C3058=1),1,0)</f>
      </c>
      <c r="E3058" s="6" t="str">
        <f>IF(C3058=1,0,IF(D3057=1,E3057+1,0))</f>
      </c>
      <c r="F3058" s="6" t="str">
        <f>IF(AND(C3058=1,D3057=1),MIN(E3057,3),"")</f>
      </c>
    </row>
    <row r="3059">
      <c r="A3059" s="5">
        <v>21</v>
      </c>
      <c r="B3059" s="5" t="str">
        <f>'Lineal Mixto'!$C$25</f>
      </c>
      <c r="C3059" s="5" t="str">
        <f>IF(AND(B3059&gt;=$B$3034,B3059&lt;=$B$3035),1,0)</f>
      </c>
      <c r="D3059" s="5" t="str">
        <f>IF(OR(D3058=1,C3059=1),1,0)</f>
      </c>
      <c r="E3059" s="5" t="str">
        <f>IF(C3059=1,0,IF(D3058=1,E3058+1,0))</f>
      </c>
      <c r="F3059" s="5" t="str">
        <f>IF(AND(C3059=1,D3058=1),MIN(E3058,3),"")</f>
      </c>
    </row>
    <row r="3060">
      <c r="A3060" s="6">
        <v>22</v>
      </c>
      <c r="B3060" s="6" t="str">
        <f>'Lineal Mixto'!$C$26</f>
      </c>
      <c r="C3060" s="6" t="str">
        <f>IF(AND(B3060&gt;=$B$3034,B3060&lt;=$B$3035),1,0)</f>
      </c>
      <c r="D3060" s="6" t="str">
        <f>IF(OR(D3059=1,C3060=1),1,0)</f>
      </c>
      <c r="E3060" s="6" t="str">
        <f>IF(C3060=1,0,IF(D3059=1,E3059+1,0))</f>
      </c>
      <c r="F3060" s="6" t="str">
        <f>IF(AND(C3060=1,D3059=1),MIN(E3059,3),"")</f>
      </c>
    </row>
    <row r="3061">
      <c r="A3061" s="5">
        <v>23</v>
      </c>
      <c r="B3061" s="5" t="str">
        <f>'Lineal Mixto'!$C$27</f>
      </c>
      <c r="C3061" s="5" t="str">
        <f>IF(AND(B3061&gt;=$B$3034,B3061&lt;=$B$3035),1,0)</f>
      </c>
      <c r="D3061" s="5" t="str">
        <f>IF(OR(D3060=1,C3061=1),1,0)</f>
      </c>
      <c r="E3061" s="5" t="str">
        <f>IF(C3061=1,0,IF(D3060=1,E3060+1,0))</f>
      </c>
      <c r="F3061" s="5" t="str">
        <f>IF(AND(C3061=1,D3060=1),MIN(E3060,3),"")</f>
      </c>
    </row>
    <row r="3062">
      <c r="A3062" s="6">
        <v>24</v>
      </c>
      <c r="B3062" s="6" t="str">
        <f>'Lineal Mixto'!$C$28</f>
      </c>
      <c r="C3062" s="6" t="str">
        <f>IF(AND(B3062&gt;=$B$3034,B3062&lt;=$B$3035),1,0)</f>
      </c>
      <c r="D3062" s="6" t="str">
        <f>IF(OR(D3061=1,C3062=1),1,0)</f>
      </c>
      <c r="E3062" s="6" t="str">
        <f>IF(C3062=1,0,IF(D3061=1,E3061+1,0))</f>
      </c>
      <c r="F3062" s="6" t="str">
        <f>IF(AND(C3062=1,D3061=1),MIN(E3061,3),"")</f>
      </c>
    </row>
    <row r="3063">
      <c r="A3063" s="5">
        <v>25</v>
      </c>
      <c r="B3063" s="5" t="str">
        <f>'Lineal Mixto'!$C$29</f>
      </c>
      <c r="C3063" s="5" t="str">
        <f>IF(AND(B3063&gt;=$B$3034,B3063&lt;=$B$3035),1,0)</f>
      </c>
      <c r="D3063" s="5" t="str">
        <f>IF(OR(D3062=1,C3063=1),1,0)</f>
      </c>
      <c r="E3063" s="5" t="str">
        <f>IF(C3063=1,0,IF(D3062=1,E3062+1,0))</f>
      </c>
      <c r="F3063" s="5" t="str">
        <f>IF(AND(C3063=1,D3062=1),MIN(E3062,3),"")</f>
      </c>
    </row>
    <row r="3064">
      <c r="A3064" s="6">
        <v>26</v>
      </c>
      <c r="B3064" s="6" t="str">
        <f>'Lineal Mixto'!$C$30</f>
      </c>
      <c r="C3064" s="6" t="str">
        <f>IF(AND(B3064&gt;=$B$3034,B3064&lt;=$B$3035),1,0)</f>
      </c>
      <c r="D3064" s="6" t="str">
        <f>IF(OR(D3063=1,C3064=1),1,0)</f>
      </c>
      <c r="E3064" s="6" t="str">
        <f>IF(C3064=1,0,IF(D3063=1,E3063+1,0))</f>
      </c>
      <c r="F3064" s="6" t="str">
        <f>IF(AND(C3064=1,D3063=1),MIN(E3063,3),"")</f>
      </c>
    </row>
    <row r="3065">
      <c r="A3065" s="5">
        <v>27</v>
      </c>
      <c r="B3065" s="5" t="str">
        <f>'Lineal Mixto'!$C$31</f>
      </c>
      <c r="C3065" s="5" t="str">
        <f>IF(AND(B3065&gt;=$B$3034,B3065&lt;=$B$3035),1,0)</f>
      </c>
      <c r="D3065" s="5" t="str">
        <f>IF(OR(D3064=1,C3065=1),1,0)</f>
      </c>
      <c r="E3065" s="5" t="str">
        <f>IF(C3065=1,0,IF(D3064=1,E3064+1,0))</f>
      </c>
      <c r="F3065" s="5" t="str">
        <f>IF(AND(C3065=1,D3064=1),MIN(E3064,3),"")</f>
      </c>
    </row>
    <row r="3066">
      <c r="A3066" s="6">
        <v>28</v>
      </c>
      <c r="B3066" s="6" t="str">
        <f>'Lineal Mixto'!$C$32</f>
      </c>
      <c r="C3066" s="6" t="str">
        <f>IF(AND(B3066&gt;=$B$3034,B3066&lt;=$B$3035),1,0)</f>
      </c>
      <c r="D3066" s="6" t="str">
        <f>IF(OR(D3065=1,C3066=1),1,0)</f>
      </c>
      <c r="E3066" s="6" t="str">
        <f>IF(C3066=1,0,IF(D3065=1,E3065+1,0))</f>
      </c>
      <c r="F3066" s="6" t="str">
        <f>IF(AND(C3066=1,D3065=1),MIN(E3065,3),"")</f>
      </c>
    </row>
    <row r="3067">
      <c r="A3067" s="5">
        <v>29</v>
      </c>
      <c r="B3067" s="5" t="str">
        <f>'Lineal Mixto'!$C$33</f>
      </c>
      <c r="C3067" s="5" t="str">
        <f>IF(AND(B3067&gt;=$B$3034,B3067&lt;=$B$3035),1,0)</f>
      </c>
      <c r="D3067" s="5" t="str">
        <f>IF(OR(D3066=1,C3067=1),1,0)</f>
      </c>
      <c r="E3067" s="5" t="str">
        <f>IF(C3067=1,0,IF(D3066=1,E3066+1,0))</f>
      </c>
      <c r="F3067" s="5" t="str">
        <f>IF(AND(C3067=1,D3066=1),MIN(E3066,3),"")</f>
      </c>
    </row>
    <row r="3068">
      <c r="A3068" s="6">
        <v>30</v>
      </c>
      <c r="B3068" s="6" t="str">
        <f>'Lineal Mixto'!$C$34</f>
      </c>
      <c r="C3068" s="6" t="str">
        <f>IF(AND(B3068&gt;=$B$3034,B3068&lt;=$B$3035),1,0)</f>
      </c>
      <c r="D3068" s="6" t="str">
        <f>IF(OR(D3067=1,C3068=1),1,0)</f>
      </c>
      <c r="E3068" s="6" t="str">
        <f>IF(C3068=1,0,IF(D3067=1,E3067+1,0))</f>
      </c>
      <c r="F3068" s="6" t="str">
        <f>IF(AND(C3068=1,D3067=1),MIN(E3067,3),"")</f>
      </c>
    </row>
    <row r="3069">
      <c r="A3069" s="5">
        <v>31</v>
      </c>
      <c r="B3069" s="5" t="str">
        <f>'Lineal Mixto'!$C$35</f>
      </c>
      <c r="C3069" s="5" t="str">
        <f>IF(AND(B3069&gt;=$B$3034,B3069&lt;=$B$3035),1,0)</f>
      </c>
      <c r="D3069" s="5" t="str">
        <f>IF(OR(D3068=1,C3069=1),1,0)</f>
      </c>
      <c r="E3069" s="5" t="str">
        <f>IF(C3069=1,0,IF(D3068=1,E3068+1,0))</f>
      </c>
      <c r="F3069" s="5" t="str">
        <f>IF(AND(C3069=1,D3068=1),MIN(E3068,3),"")</f>
      </c>
    </row>
    <row r="3070">
      <c r="A3070" s="6">
        <v>32</v>
      </c>
      <c r="B3070" s="6" t="str">
        <f>'Lineal Mixto'!$C$36</f>
      </c>
      <c r="C3070" s="6" t="str">
        <f>IF(AND(B3070&gt;=$B$3034,B3070&lt;=$B$3035),1,0)</f>
      </c>
      <c r="D3070" s="6" t="str">
        <f>IF(OR(D3069=1,C3070=1),1,0)</f>
      </c>
      <c r="E3070" s="6" t="str">
        <f>IF(C3070=1,0,IF(D3069=1,E3069+1,0))</f>
      </c>
      <c r="F3070" s="6" t="str">
        <f>IF(AND(C3070=1,D3069=1),MIN(E3069,3),"")</f>
      </c>
    </row>
    <row r="3071">
      <c r="A3071" s="5">
        <v>33</v>
      </c>
      <c r="B3071" s="5" t="str">
        <f>'Lineal Mixto'!$C$37</f>
      </c>
      <c r="C3071" s="5" t="str">
        <f>IF(AND(B3071&gt;=$B$3034,B3071&lt;=$B$3035),1,0)</f>
      </c>
      <c r="D3071" s="5" t="str">
        <f>IF(OR(D3070=1,C3071=1),1,0)</f>
      </c>
      <c r="E3071" s="5" t="str">
        <f>IF(C3071=1,0,IF(D3070=1,E3070+1,0))</f>
      </c>
      <c r="F3071" s="5" t="str">
        <f>IF(AND(C3071=1,D3070=1),MIN(E3070,3),"")</f>
      </c>
    </row>
    <row r="3072">
      <c r="A3072" s="6">
        <v>34</v>
      </c>
      <c r="B3072" s="6" t="str">
        <f>'Lineal Mixto'!$C$38</f>
      </c>
      <c r="C3072" s="6" t="str">
        <f>IF(AND(B3072&gt;=$B$3034,B3072&lt;=$B$3035),1,0)</f>
      </c>
      <c r="D3072" s="6" t="str">
        <f>IF(OR(D3071=1,C3072=1),1,0)</f>
      </c>
      <c r="E3072" s="6" t="str">
        <f>IF(C3072=1,0,IF(D3071=1,E3071+1,0))</f>
      </c>
      <c r="F3072" s="6" t="str">
        <f>IF(AND(C3072=1,D3071=1),MIN(E3071,3),"")</f>
      </c>
    </row>
    <row r="3073">
      <c r="A3073" s="5">
        <v>35</v>
      </c>
      <c r="B3073" s="5" t="str">
        <f>'Lineal Mixto'!$C$39</f>
      </c>
      <c r="C3073" s="5" t="str">
        <f>IF(AND(B3073&gt;=$B$3034,B3073&lt;=$B$3035),1,0)</f>
      </c>
      <c r="D3073" s="5" t="str">
        <f>IF(OR(D3072=1,C3073=1),1,0)</f>
      </c>
      <c r="E3073" s="5" t="str">
        <f>IF(C3073=1,0,IF(D3072=1,E3072+1,0))</f>
      </c>
      <c r="F3073" s="5" t="str">
        <f>IF(AND(C3073=1,D3072=1),MIN(E3072,3),"")</f>
      </c>
    </row>
    <row r="3074">
      <c r="A3074" s="6">
        <v>36</v>
      </c>
      <c r="B3074" s="6" t="str">
        <f>'Lineal Mixto'!$C$40</f>
      </c>
      <c r="C3074" s="6" t="str">
        <f>IF(AND(B3074&gt;=$B$3034,B3074&lt;=$B$3035),1,0)</f>
      </c>
      <c r="D3074" s="6" t="str">
        <f>IF(OR(D3073=1,C3074=1),1,0)</f>
      </c>
      <c r="E3074" s="6" t="str">
        <f>IF(C3074=1,0,IF(D3073=1,E3073+1,0))</f>
      </c>
      <c r="F3074" s="6" t="str">
        <f>IF(AND(C3074=1,D3073=1),MIN(E3073,3),"")</f>
      </c>
    </row>
    <row r="3075">
      <c r="A3075" s="5">
        <v>37</v>
      </c>
      <c r="B3075" s="5" t="str">
        <f>'Lineal Mixto'!$C$41</f>
      </c>
      <c r="C3075" s="5" t="str">
        <f>IF(AND(B3075&gt;=$B$3034,B3075&lt;=$B$3035),1,0)</f>
      </c>
      <c r="D3075" s="5" t="str">
        <f>IF(OR(D3074=1,C3075=1),1,0)</f>
      </c>
      <c r="E3075" s="5" t="str">
        <f>IF(C3075=1,0,IF(D3074=1,E3074+1,0))</f>
      </c>
      <c r="F3075" s="5" t="str">
        <f>IF(AND(C3075=1,D3074=1),MIN(E3074,3),"")</f>
      </c>
    </row>
    <row r="3076">
      <c r="A3076" s="6">
        <v>38</v>
      </c>
      <c r="B3076" s="6" t="str">
        <f>'Lineal Mixto'!$C$42</f>
      </c>
      <c r="C3076" s="6" t="str">
        <f>IF(AND(B3076&gt;=$B$3034,B3076&lt;=$B$3035),1,0)</f>
      </c>
      <c r="D3076" s="6" t="str">
        <f>IF(OR(D3075=1,C3076=1),1,0)</f>
      </c>
      <c r="E3076" s="6" t="str">
        <f>IF(C3076=1,0,IF(D3075=1,E3075+1,0))</f>
      </c>
      <c r="F3076" s="6" t="str">
        <f>IF(AND(C3076=1,D3075=1),MIN(E3075,3),"")</f>
      </c>
    </row>
    <row r="3077">
      <c r="A3077" s="5">
        <v>39</v>
      </c>
      <c r="B3077" s="5" t="str">
        <f>'Lineal Mixto'!$C$43</f>
      </c>
      <c r="C3077" s="5" t="str">
        <f>IF(AND(B3077&gt;=$B$3034,B3077&lt;=$B$3035),1,0)</f>
      </c>
      <c r="D3077" s="5" t="str">
        <f>IF(OR(D3076=1,C3077=1),1,0)</f>
      </c>
      <c r="E3077" s="5" t="str">
        <f>IF(C3077=1,0,IF(D3076=1,E3076+1,0))</f>
      </c>
      <c r="F3077" s="5" t="str">
        <f>IF(AND(C3077=1,D3076=1),MIN(E3076,3),"")</f>
      </c>
    </row>
    <row r="3078">
      <c r="A3078" s="6">
        <v>40</v>
      </c>
      <c r="B3078" s="6" t="str">
        <f>'Lineal Mixto'!$C$44</f>
      </c>
      <c r="C3078" s="6" t="str">
        <f>IF(AND(B3078&gt;=$B$3034,B3078&lt;=$B$3035),1,0)</f>
      </c>
      <c r="D3078" s="6" t="str">
        <f>IF(OR(D3077=1,C3078=1),1,0)</f>
      </c>
      <c r="E3078" s="6" t="str">
        <f>IF(C3078=1,0,IF(D3077=1,E3077+1,0))</f>
      </c>
      <c r="F3078" s="6" t="str">
        <f>IF(AND(C3078=1,D3077=1),MIN(E3077,3),"")</f>
      </c>
    </row>
    <row r="3079">
      <c r="A3079" s="5">
        <v>41</v>
      </c>
      <c r="B3079" s="5" t="str">
        <f>'Lineal Mixto'!$C$45</f>
      </c>
      <c r="C3079" s="5" t="str">
        <f>IF(AND(B3079&gt;=$B$3034,B3079&lt;=$B$3035),1,0)</f>
      </c>
      <c r="D3079" s="5" t="str">
        <f>IF(OR(D3078=1,C3079=1),1,0)</f>
      </c>
      <c r="E3079" s="5" t="str">
        <f>IF(C3079=1,0,IF(D3078=1,E3078+1,0))</f>
      </c>
      <c r="F3079" s="5" t="str">
        <f>IF(AND(C3079=1,D3078=1),MIN(E3078,3),"")</f>
      </c>
    </row>
    <row r="3080">
      <c r="A3080" s="6">
        <v>42</v>
      </c>
      <c r="B3080" s="6" t="str">
        <f>'Lineal Mixto'!$C$46</f>
      </c>
      <c r="C3080" s="6" t="str">
        <f>IF(AND(B3080&gt;=$B$3034,B3080&lt;=$B$3035),1,0)</f>
      </c>
      <c r="D3080" s="6" t="str">
        <f>IF(OR(D3079=1,C3080=1),1,0)</f>
      </c>
      <c r="E3080" s="6" t="str">
        <f>IF(C3080=1,0,IF(D3079=1,E3079+1,0))</f>
      </c>
      <c r="F3080" s="6" t="str">
        <f>IF(AND(C3080=1,D3079=1),MIN(E3079,3),"")</f>
      </c>
    </row>
    <row r="3081">
      <c r="A3081" s="5">
        <v>43</v>
      </c>
      <c r="B3081" s="5" t="str">
        <f>'Lineal Mixto'!$C$47</f>
      </c>
      <c r="C3081" s="5" t="str">
        <f>IF(AND(B3081&gt;=$B$3034,B3081&lt;=$B$3035),1,0)</f>
      </c>
      <c r="D3081" s="5" t="str">
        <f>IF(OR(D3080=1,C3081=1),1,0)</f>
      </c>
      <c r="E3081" s="5" t="str">
        <f>IF(C3081=1,0,IF(D3080=1,E3080+1,0))</f>
      </c>
      <c r="F3081" s="5" t="str">
        <f>IF(AND(C3081=1,D3080=1),MIN(E3080,3),"")</f>
      </c>
    </row>
    <row r="3082">
      <c r="A3082" s="6">
        <v>44</v>
      </c>
      <c r="B3082" s="6" t="str">
        <f>'Lineal Mixto'!$C$48</f>
      </c>
      <c r="C3082" s="6" t="str">
        <f>IF(AND(B3082&gt;=$B$3034,B3082&lt;=$B$3035),1,0)</f>
      </c>
      <c r="D3082" s="6" t="str">
        <f>IF(OR(D3081=1,C3082=1),1,0)</f>
      </c>
      <c r="E3082" s="6" t="str">
        <f>IF(C3082=1,0,IF(D3081=1,E3081+1,0))</f>
      </c>
      <c r="F3082" s="6" t="str">
        <f>IF(AND(C3082=1,D3081=1),MIN(E3081,3),"")</f>
      </c>
    </row>
    <row r="3083">
      <c r="A3083" s="5">
        <v>45</v>
      </c>
      <c r="B3083" s="5" t="str">
        <f>'Lineal Mixto'!$C$49</f>
      </c>
      <c r="C3083" s="5" t="str">
        <f>IF(AND(B3083&gt;=$B$3034,B3083&lt;=$B$3035),1,0)</f>
      </c>
      <c r="D3083" s="5" t="str">
        <f>IF(OR(D3082=1,C3083=1),1,0)</f>
      </c>
      <c r="E3083" s="5" t="str">
        <f>IF(C3083=1,0,IF(D3082=1,E3082+1,0))</f>
      </c>
      <c r="F3083" s="5" t="str">
        <f>IF(AND(C3083=1,D3082=1),MIN(E3082,3),"")</f>
      </c>
    </row>
    <row r="3084">
      <c r="A3084" s="6">
        <v>46</v>
      </c>
      <c r="B3084" s="6" t="str">
        <f>'Lineal Mixto'!$C$50</f>
      </c>
      <c r="C3084" s="6" t="str">
        <f>IF(AND(B3084&gt;=$B$3034,B3084&lt;=$B$3035),1,0)</f>
      </c>
      <c r="D3084" s="6" t="str">
        <f>IF(OR(D3083=1,C3084=1),1,0)</f>
      </c>
      <c r="E3084" s="6" t="str">
        <f>IF(C3084=1,0,IF(D3083=1,E3083+1,0))</f>
      </c>
      <c r="F3084" s="6" t="str">
        <f>IF(AND(C3084=1,D3083=1),MIN(E3083,3),"")</f>
      </c>
    </row>
    <row r="3085">
      <c r="A3085" s="5">
        <v>47</v>
      </c>
      <c r="B3085" s="5" t="str">
        <f>'Lineal Mixto'!$C$51</f>
      </c>
      <c r="C3085" s="5" t="str">
        <f>IF(AND(B3085&gt;=$B$3034,B3085&lt;=$B$3035),1,0)</f>
      </c>
      <c r="D3085" s="5" t="str">
        <f>IF(OR(D3084=1,C3085=1),1,0)</f>
      </c>
      <c r="E3085" s="5" t="str">
        <f>IF(C3085=1,0,IF(D3084=1,E3084+1,0))</f>
      </c>
      <c r="F3085" s="5" t="str">
        <f>IF(AND(C3085=1,D3084=1),MIN(E3084,3),"")</f>
      </c>
    </row>
    <row r="3086">
      <c r="A3086" s="6">
        <v>48</v>
      </c>
      <c r="B3086" s="6" t="str">
        <f>'Lineal Mixto'!$C$52</f>
      </c>
      <c r="C3086" s="6" t="str">
        <f>IF(AND(B3086&gt;=$B$3034,B3086&lt;=$B$3035),1,0)</f>
      </c>
      <c r="D3086" s="6" t="str">
        <f>IF(OR(D3085=1,C3086=1),1,0)</f>
      </c>
      <c r="E3086" s="6" t="str">
        <f>IF(C3086=1,0,IF(D3085=1,E3085+1,0))</f>
      </c>
      <c r="F3086" s="6" t="str">
        <f>IF(AND(C3086=1,D3085=1),MIN(E3085,3),"")</f>
      </c>
    </row>
    <row r="3087">
      <c r="A3087" s="5">
        <v>49</v>
      </c>
      <c r="B3087" s="5" t="str">
        <f>'Lineal Mixto'!$C$53</f>
      </c>
      <c r="C3087" s="5" t="str">
        <f>IF(AND(B3087&gt;=$B$3034,B3087&lt;=$B$3035),1,0)</f>
      </c>
      <c r="D3087" s="5" t="str">
        <f>IF(OR(D3086=1,C3087=1),1,0)</f>
      </c>
      <c r="E3087" s="5" t="str">
        <f>IF(C3087=1,0,IF(D3086=1,E3086+1,0))</f>
      </c>
      <c r="F3087" s="5" t="str">
        <f>IF(AND(C3087=1,D3086=1),MIN(E3086,3),"")</f>
      </c>
    </row>
    <row r="3088">
      <c r="A3088" s="6">
        <v>50</v>
      </c>
      <c r="B3088" s="6" t="str">
        <f>'Lineal Mixto'!$C$54</f>
      </c>
      <c r="C3088" s="6" t="str">
        <f>IF(AND(B3088&gt;=$B$3034,B3088&lt;=$B$3035),1,0)</f>
      </c>
      <c r="D3088" s="6" t="str">
        <f>IF(OR(D3087=1,C3088=1),1,0)</f>
      </c>
      <c r="E3088" s="6" t="str">
        <f>IF(C3088=1,0,IF(D3087=1,E3087+1,0))</f>
      </c>
      <c r="F3088" s="6" t="str">
        <f>IF(AND(C3088=1,D3087=1),MIN(E3087,3),"")</f>
      </c>
    </row>
    <row r="3089">
      <c r="A3089" s="5">
        <v>51</v>
      </c>
      <c r="B3089" s="5" t="str">
        <f>'Lineal Mixto'!$C$55</f>
      </c>
      <c r="C3089" s="5" t="str">
        <f>IF(AND(B3089&gt;=$B$3034,B3089&lt;=$B$3035),1,0)</f>
      </c>
      <c r="D3089" s="5" t="str">
        <f>IF(OR(D3088=1,C3089=1),1,0)</f>
      </c>
      <c r="E3089" s="5" t="str">
        <f>IF(C3089=1,0,IF(D3088=1,E3088+1,0))</f>
      </c>
      <c r="F3089" s="5" t="str">
        <f>IF(AND(C3089=1,D3088=1),MIN(E3088,3),"")</f>
      </c>
    </row>
    <row r="3090">
      <c r="A3090" s="6">
        <v>52</v>
      </c>
      <c r="B3090" s="6" t="str">
        <f>'Lineal Mixto'!$C$56</f>
      </c>
      <c r="C3090" s="6" t="str">
        <f>IF(AND(B3090&gt;=$B$3034,B3090&lt;=$B$3035),1,0)</f>
      </c>
      <c r="D3090" s="6" t="str">
        <f>IF(OR(D3089=1,C3090=1),1,0)</f>
      </c>
      <c r="E3090" s="6" t="str">
        <f>IF(C3090=1,0,IF(D3089=1,E3089+1,0))</f>
      </c>
      <c r="F3090" s="6" t="str">
        <f>IF(AND(C3090=1,D3089=1),MIN(E3089,3),"")</f>
      </c>
    </row>
    <row r="3091">
      <c r="A3091" s="5">
        <v>53</v>
      </c>
      <c r="B3091" s="5" t="str">
        <f>'Lineal Mixto'!$C$57</f>
      </c>
      <c r="C3091" s="5" t="str">
        <f>IF(AND(B3091&gt;=$B$3034,B3091&lt;=$B$3035),1,0)</f>
      </c>
      <c r="D3091" s="5" t="str">
        <f>IF(OR(D3090=1,C3091=1),1,0)</f>
      </c>
      <c r="E3091" s="5" t="str">
        <f>IF(C3091=1,0,IF(D3090=1,E3090+1,0))</f>
      </c>
      <c r="F3091" s="5" t="str">
        <f>IF(AND(C3091=1,D3090=1),MIN(E3090,3),"")</f>
      </c>
    </row>
    <row r="3092">
      <c r="A3092" s="6">
        <v>54</v>
      </c>
      <c r="B3092" s="6" t="str">
        <f>'Lineal Mixto'!$C$58</f>
      </c>
      <c r="C3092" s="6" t="str">
        <f>IF(AND(B3092&gt;=$B$3034,B3092&lt;=$B$3035),1,0)</f>
      </c>
      <c r="D3092" s="6" t="str">
        <f>IF(OR(D3091=1,C3092=1),1,0)</f>
      </c>
      <c r="E3092" s="6" t="str">
        <f>IF(C3092=1,0,IF(D3091=1,E3091+1,0))</f>
      </c>
      <c r="F3092" s="6" t="str">
        <f>IF(AND(C3092=1,D3091=1),MIN(E3091,3),"")</f>
      </c>
    </row>
    <row r="3093">
      <c r="A3093" s="5">
        <v>55</v>
      </c>
      <c r="B3093" s="5" t="str">
        <f>'Lineal Mixto'!$C$59</f>
      </c>
      <c r="C3093" s="5" t="str">
        <f>IF(AND(B3093&gt;=$B$3034,B3093&lt;=$B$3035),1,0)</f>
      </c>
      <c r="D3093" s="5" t="str">
        <f>IF(OR(D3092=1,C3093=1),1,0)</f>
      </c>
      <c r="E3093" s="5" t="str">
        <f>IF(C3093=1,0,IF(D3092=1,E3092+1,0))</f>
      </c>
      <c r="F3093" s="5" t="str">
        <f>IF(AND(C3093=1,D3092=1),MIN(E3092,3),"")</f>
      </c>
    </row>
    <row r="3094">
      <c r="A3094" s="6">
        <v>56</v>
      </c>
      <c r="B3094" s="6" t="str">
        <f>'Lineal Mixto'!$C$60</f>
      </c>
      <c r="C3094" s="6" t="str">
        <f>IF(AND(B3094&gt;=$B$3034,B3094&lt;=$B$3035),1,0)</f>
      </c>
      <c r="D3094" s="6" t="str">
        <f>IF(OR(D3093=1,C3094=1),1,0)</f>
      </c>
      <c r="E3094" s="6" t="str">
        <f>IF(C3094=1,0,IF(D3093=1,E3093+1,0))</f>
      </c>
      <c r="F3094" s="6" t="str">
        <f>IF(AND(C3094=1,D3093=1),MIN(E3093,3),"")</f>
      </c>
    </row>
    <row r="3095">
      <c r="A3095" s="5">
        <v>57</v>
      </c>
      <c r="B3095" s="5" t="str">
        <f>'Lineal Mixto'!$C$61</f>
      </c>
      <c r="C3095" s="5" t="str">
        <f>IF(AND(B3095&gt;=$B$3034,B3095&lt;=$B$3035),1,0)</f>
      </c>
      <c r="D3095" s="5" t="str">
        <f>IF(OR(D3094=1,C3095=1),1,0)</f>
      </c>
      <c r="E3095" s="5" t="str">
        <f>IF(C3095=1,0,IF(D3094=1,E3094+1,0))</f>
      </c>
      <c r="F3095" s="5" t="str">
        <f>IF(AND(C3095=1,D3094=1),MIN(E3094,3),"")</f>
      </c>
    </row>
    <row r="3096">
      <c r="A3096" s="6">
        <v>58</v>
      </c>
      <c r="B3096" s="6" t="str">
        <f>'Lineal Mixto'!$C$62</f>
      </c>
      <c r="C3096" s="6" t="str">
        <f>IF(AND(B3096&gt;=$B$3034,B3096&lt;=$B$3035),1,0)</f>
      </c>
      <c r="D3096" s="6" t="str">
        <f>IF(OR(D3095=1,C3096=1),1,0)</f>
      </c>
      <c r="E3096" s="6" t="str">
        <f>IF(C3096=1,0,IF(D3095=1,E3095+1,0))</f>
      </c>
      <c r="F3096" s="6" t="str">
        <f>IF(AND(C3096=1,D3095=1),MIN(E3095,3),"")</f>
      </c>
    </row>
    <row r="3097">
      <c r="A3097" s="5">
        <v>59</v>
      </c>
      <c r="B3097" s="5" t="str">
        <f>'Lineal Mixto'!$C$63</f>
      </c>
      <c r="C3097" s="5" t="str">
        <f>IF(AND(B3097&gt;=$B$3034,B3097&lt;=$B$3035),1,0)</f>
      </c>
      <c r="D3097" s="5" t="str">
        <f>IF(OR(D3096=1,C3097=1),1,0)</f>
      </c>
      <c r="E3097" s="5" t="str">
        <f>IF(C3097=1,0,IF(D3096=1,E3096+1,0))</f>
      </c>
      <c r="F3097" s="5" t="str">
        <f>IF(AND(C3097=1,D3096=1),MIN(E3096,3),"")</f>
      </c>
    </row>
    <row r="3098">
      <c r="A3098" s="6">
        <v>60</v>
      </c>
      <c r="B3098" s="6" t="str">
        <f>'Lineal Mixto'!$C$64</f>
      </c>
      <c r="C3098" s="6" t="str">
        <f>IF(AND(B3098&gt;=$B$3034,B3098&lt;=$B$3035),1,0)</f>
      </c>
      <c r="D3098" s="6" t="str">
        <f>IF(OR(D3097=1,C3098=1),1,0)</f>
      </c>
      <c r="E3098" s="6" t="str">
        <f>IF(C3098=1,0,IF(D3097=1,E3097+1,0))</f>
      </c>
      <c r="F3098" s="6" t="str">
        <f>IF(AND(C3098=1,D3097=1),MIN(E3097,3),"")</f>
      </c>
    </row>
    <row r="3099">
      <c r="A3099" s="5">
        <v>61</v>
      </c>
      <c r="B3099" s="5" t="str">
        <f>'Lineal Mixto'!$C$65</f>
      </c>
      <c r="C3099" s="5" t="str">
        <f>IF(AND(B3099&gt;=$B$3034,B3099&lt;=$B$3035),1,0)</f>
      </c>
      <c r="D3099" s="5" t="str">
        <f>IF(OR(D3098=1,C3099=1),1,0)</f>
      </c>
      <c r="E3099" s="5" t="str">
        <f>IF(C3099=1,0,IF(D3098=1,E3098+1,0))</f>
      </c>
      <c r="F3099" s="5" t="str">
        <f>IF(AND(C3099=1,D3098=1),MIN(E3098,3),"")</f>
      </c>
    </row>
    <row r="3100">
      <c r="A3100" s="6">
        <v>62</v>
      </c>
      <c r="B3100" s="6" t="str">
        <f>'Lineal Mixto'!$C$66</f>
      </c>
      <c r="C3100" s="6" t="str">
        <f>IF(AND(B3100&gt;=$B$3034,B3100&lt;=$B$3035),1,0)</f>
      </c>
      <c r="D3100" s="6" t="str">
        <f>IF(OR(D3099=1,C3100=1),1,0)</f>
      </c>
      <c r="E3100" s="6" t="str">
        <f>IF(C3100=1,0,IF(D3099=1,E3099+1,0))</f>
      </c>
      <c r="F3100" s="6" t="str">
        <f>IF(AND(C3100=1,D3099=1),MIN(E3099,3),"")</f>
      </c>
    </row>
    <row r="3101">
      <c r="A3101" s="5">
        <v>63</v>
      </c>
      <c r="B3101" s="5" t="str">
        <f>'Lineal Mixto'!$C$67</f>
      </c>
      <c r="C3101" s="5" t="str">
        <f>IF(AND(B3101&gt;=$B$3034,B3101&lt;=$B$3035),1,0)</f>
      </c>
      <c r="D3101" s="5" t="str">
        <f>IF(OR(D3100=1,C3101=1),1,0)</f>
      </c>
      <c r="E3101" s="5" t="str">
        <f>IF(C3101=1,0,IF(D3100=1,E3100+1,0))</f>
      </c>
      <c r="F3101" s="5" t="str">
        <f>IF(AND(C3101=1,D3100=1),MIN(E3100,3),"")</f>
      </c>
    </row>
    <row r="3102">
      <c r="A3102" s="6">
        <v>64</v>
      </c>
      <c r="B3102" s="6" t="str">
        <f>'Lineal Mixto'!$C$68</f>
      </c>
      <c r="C3102" s="6" t="str">
        <f>IF(AND(B3102&gt;=$B$3034,B3102&lt;=$B$3035),1,0)</f>
      </c>
      <c r="D3102" s="6" t="str">
        <f>IF(OR(D3101=1,C3102=1),1,0)</f>
      </c>
      <c r="E3102" s="6" t="str">
        <f>IF(C3102=1,0,IF(D3101=1,E3101+1,0))</f>
      </c>
      <c r="F3102" s="6" t="str">
        <f>IF(AND(C3102=1,D3101=1),MIN(E3101,3),"")</f>
      </c>
    </row>
    <row r="3103">
      <c r="A3103" s="5">
        <v>65</v>
      </c>
      <c r="B3103" s="5" t="str">
        <f>'Lineal Mixto'!$C$69</f>
      </c>
      <c r="C3103" s="5" t="str">
        <f>IF(AND(B3103&gt;=$B$3034,B3103&lt;=$B$3035),1,0)</f>
      </c>
      <c r="D3103" s="5" t="str">
        <f>IF(OR(D3102=1,C3103=1),1,0)</f>
      </c>
      <c r="E3103" s="5" t="str">
        <f>IF(C3103=1,0,IF(D3102=1,E3102+1,0))</f>
      </c>
      <c r="F3103" s="5" t="str">
        <f>IF(AND(C3103=1,D3102=1),MIN(E3102,3),"")</f>
      </c>
    </row>
    <row r="3104">
      <c r="A3104" s="6">
        <v>66</v>
      </c>
      <c r="B3104" s="6" t="str">
        <f>'Lineal Mixto'!$C$70</f>
      </c>
      <c r="C3104" s="6" t="str">
        <f>IF(AND(B3104&gt;=$B$3034,B3104&lt;=$B$3035),1,0)</f>
      </c>
      <c r="D3104" s="6" t="str">
        <f>IF(OR(D3103=1,C3104=1),1,0)</f>
      </c>
      <c r="E3104" s="6" t="str">
        <f>IF(C3104=1,0,IF(D3103=1,E3103+1,0))</f>
      </c>
      <c r="F3104" s="6" t="str">
        <f>IF(AND(C3104=1,D3103=1),MIN(E3103,3),"")</f>
      </c>
    </row>
    <row r="3105">
      <c r="A3105" s="5">
        <v>67</v>
      </c>
      <c r="B3105" s="5" t="str">
        <f>'Lineal Mixto'!$C$71</f>
      </c>
      <c r="C3105" s="5" t="str">
        <f>IF(AND(B3105&gt;=$B$3034,B3105&lt;=$B$3035),1,0)</f>
      </c>
      <c r="D3105" s="5" t="str">
        <f>IF(OR(D3104=1,C3105=1),1,0)</f>
      </c>
      <c r="E3105" s="5" t="str">
        <f>IF(C3105=1,0,IF(D3104=1,E3104+1,0))</f>
      </c>
      <c r="F3105" s="5" t="str">
        <f>IF(AND(C3105=1,D3104=1),MIN(E3104,3),"")</f>
      </c>
    </row>
    <row r="3106">
      <c r="A3106" s="6">
        <v>68</v>
      </c>
      <c r="B3106" s="6" t="str">
        <f>'Lineal Mixto'!$C$72</f>
      </c>
      <c r="C3106" s="6" t="str">
        <f>IF(AND(B3106&gt;=$B$3034,B3106&lt;=$B$3035),1,0)</f>
      </c>
      <c r="D3106" s="6" t="str">
        <f>IF(OR(D3105=1,C3106=1),1,0)</f>
      </c>
      <c r="E3106" s="6" t="str">
        <f>IF(C3106=1,0,IF(D3105=1,E3105+1,0))</f>
      </c>
      <c r="F3106" s="6" t="str">
        <f>IF(AND(C3106=1,D3105=1),MIN(E3105,3),"")</f>
      </c>
    </row>
    <row r="3107">
      <c r="A3107" s="5">
        <v>69</v>
      </c>
      <c r="B3107" s="5" t="str">
        <f>'Lineal Mixto'!$C$73</f>
      </c>
      <c r="C3107" s="5" t="str">
        <f>IF(AND(B3107&gt;=$B$3034,B3107&lt;=$B$3035),1,0)</f>
      </c>
      <c r="D3107" s="5" t="str">
        <f>IF(OR(D3106=1,C3107=1),1,0)</f>
      </c>
      <c r="E3107" s="5" t="str">
        <f>IF(C3107=1,0,IF(D3106=1,E3106+1,0))</f>
      </c>
      <c r="F3107" s="5" t="str">
        <f>IF(AND(C3107=1,D3106=1),MIN(E3106,3),"")</f>
      </c>
    </row>
    <row r="3108">
      <c r="A3108" s="6">
        <v>70</v>
      </c>
      <c r="B3108" s="6" t="str">
        <f>'Lineal Mixto'!$C$74</f>
      </c>
      <c r="C3108" s="6" t="str">
        <f>IF(AND(B3108&gt;=$B$3034,B3108&lt;=$B$3035),1,0)</f>
      </c>
      <c r="D3108" s="6" t="str">
        <f>IF(OR(D3107=1,C3108=1),1,0)</f>
      </c>
      <c r="E3108" s="6" t="str">
        <f>IF(C3108=1,0,IF(D3107=1,E3107+1,0))</f>
      </c>
      <c r="F3108" s="6" t="str">
        <f>IF(AND(C3108=1,D3107=1),MIN(E3107,3),"")</f>
      </c>
    </row>
    <row r="3109">
      <c r="A3109" s="5">
        <v>71</v>
      </c>
      <c r="B3109" s="5" t="str">
        <f>'Lineal Mixto'!$C$75</f>
      </c>
      <c r="C3109" s="5" t="str">
        <f>IF(AND(B3109&gt;=$B$3034,B3109&lt;=$B$3035),1,0)</f>
      </c>
      <c r="D3109" s="5" t="str">
        <f>IF(OR(D3108=1,C3109=1),1,0)</f>
      </c>
      <c r="E3109" s="5" t="str">
        <f>IF(C3109=1,0,IF(D3108=1,E3108+1,0))</f>
      </c>
      <c r="F3109" s="5" t="str">
        <f>IF(AND(C3109=1,D3108=1),MIN(E3108,3),"")</f>
      </c>
    </row>
    <row r="3110">
      <c r="A3110" s="6">
        <v>72</v>
      </c>
      <c r="B3110" s="6" t="str">
        <f>'Lineal Mixto'!$C$76</f>
      </c>
      <c r="C3110" s="6" t="str">
        <f>IF(AND(B3110&gt;=$B$3034,B3110&lt;=$B$3035),1,0)</f>
      </c>
      <c r="D3110" s="6" t="str">
        <f>IF(OR(D3109=1,C3110=1),1,0)</f>
      </c>
      <c r="E3110" s="6" t="str">
        <f>IF(C3110=1,0,IF(D3109=1,E3109+1,0))</f>
      </c>
      <c r="F3110" s="6" t="str">
        <f>IF(AND(C3110=1,D3109=1),MIN(E3109,3),"")</f>
      </c>
    </row>
    <row r="3111">
      <c r="A3111" s="5">
        <v>73</v>
      </c>
      <c r="B3111" s="5" t="str">
        <f>'Lineal Mixto'!$C$77</f>
      </c>
      <c r="C3111" s="5" t="str">
        <f>IF(AND(B3111&gt;=$B$3034,B3111&lt;=$B$3035),1,0)</f>
      </c>
      <c r="D3111" s="5" t="str">
        <f>IF(OR(D3110=1,C3111=1),1,0)</f>
      </c>
      <c r="E3111" s="5" t="str">
        <f>IF(C3111=1,0,IF(D3110=1,E3110+1,0))</f>
      </c>
      <c r="F3111" s="5" t="str">
        <f>IF(AND(C3111=1,D3110=1),MIN(E3110,3),"")</f>
      </c>
    </row>
    <row r="3112">
      <c r="A3112" s="6">
        <v>74</v>
      </c>
      <c r="B3112" s="6" t="str">
        <f>'Lineal Mixto'!$C$78</f>
      </c>
      <c r="C3112" s="6" t="str">
        <f>IF(AND(B3112&gt;=$B$3034,B3112&lt;=$B$3035),1,0)</f>
      </c>
      <c r="D3112" s="6" t="str">
        <f>IF(OR(D3111=1,C3112=1),1,0)</f>
      </c>
      <c r="E3112" s="6" t="str">
        <f>IF(C3112=1,0,IF(D3111=1,E3111+1,0))</f>
      </c>
      <c r="F3112" s="6" t="str">
        <f>IF(AND(C3112=1,D3111=1),MIN(E3111,3),"")</f>
      </c>
    </row>
    <row r="3113">
      <c r="A3113" s="5">
        <v>75</v>
      </c>
      <c r="B3113" s="5" t="str">
        <f>'Lineal Mixto'!$C$79</f>
      </c>
      <c r="C3113" s="5" t="str">
        <f>IF(AND(B3113&gt;=$B$3034,B3113&lt;=$B$3035),1,0)</f>
      </c>
      <c r="D3113" s="5" t="str">
        <f>IF(OR(D3112=1,C3113=1),1,0)</f>
      </c>
      <c r="E3113" s="5" t="str">
        <f>IF(C3113=1,0,IF(D3112=1,E3112+1,0))</f>
      </c>
      <c r="F3113" s="5" t="str">
        <f>IF(AND(C3113=1,D3112=1),MIN(E3112,3),"")</f>
      </c>
    </row>
    <row r="3114">
      <c r="A3114" s="6">
        <v>76</v>
      </c>
      <c r="B3114" s="6" t="str">
        <f>'Lineal Mixto'!$C$80</f>
      </c>
      <c r="C3114" s="6" t="str">
        <f>IF(AND(B3114&gt;=$B$3034,B3114&lt;=$B$3035),1,0)</f>
      </c>
      <c r="D3114" s="6" t="str">
        <f>IF(OR(D3113=1,C3114=1),1,0)</f>
      </c>
      <c r="E3114" s="6" t="str">
        <f>IF(C3114=1,0,IF(D3113=1,E3113+1,0))</f>
      </c>
      <c r="F3114" s="6" t="str">
        <f>IF(AND(C3114=1,D3113=1),MIN(E3113,3),"")</f>
      </c>
    </row>
    <row r="3115">
      <c r="A3115" s="5">
        <v>77</v>
      </c>
      <c r="B3115" s="5" t="str">
        <f>'Lineal Mixto'!$C$81</f>
      </c>
      <c r="C3115" s="5" t="str">
        <f>IF(AND(B3115&gt;=$B$3034,B3115&lt;=$B$3035),1,0)</f>
      </c>
      <c r="D3115" s="5" t="str">
        <f>IF(OR(D3114=1,C3115=1),1,0)</f>
      </c>
      <c r="E3115" s="5" t="str">
        <f>IF(C3115=1,0,IF(D3114=1,E3114+1,0))</f>
      </c>
      <c r="F3115" s="5" t="str">
        <f>IF(AND(C3115=1,D3114=1),MIN(E3114,3),"")</f>
      </c>
    </row>
    <row r="3116">
      <c r="A3116" s="6">
        <v>78</v>
      </c>
      <c r="B3116" s="6" t="str">
        <f>'Lineal Mixto'!$C$82</f>
      </c>
      <c r="C3116" s="6" t="str">
        <f>IF(AND(B3116&gt;=$B$3034,B3116&lt;=$B$3035),1,0)</f>
      </c>
      <c r="D3116" s="6" t="str">
        <f>IF(OR(D3115=1,C3116=1),1,0)</f>
      </c>
      <c r="E3116" s="6" t="str">
        <f>IF(C3116=1,0,IF(D3115=1,E3115+1,0))</f>
      </c>
      <c r="F3116" s="6" t="str">
        <f>IF(AND(C3116=1,D3115=1),MIN(E3115,3),"")</f>
      </c>
    </row>
    <row r="3117">
      <c r="A3117" s="5">
        <v>79</v>
      </c>
      <c r="B3117" s="5" t="str">
        <f>'Lineal Mixto'!$C$83</f>
      </c>
      <c r="C3117" s="5" t="str">
        <f>IF(AND(B3117&gt;=$B$3034,B3117&lt;=$B$3035),1,0)</f>
      </c>
      <c r="D3117" s="5" t="str">
        <f>IF(OR(D3116=1,C3117=1),1,0)</f>
      </c>
      <c r="E3117" s="5" t="str">
        <f>IF(C3117=1,0,IF(D3116=1,E3116+1,0))</f>
      </c>
      <c r="F3117" s="5" t="str">
        <f>IF(AND(C3117=1,D3116=1),MIN(E3116,3),"")</f>
      </c>
    </row>
    <row r="3118">
      <c r="A3118" s="6">
        <v>80</v>
      </c>
      <c r="B3118" s="6" t="str">
        <f>'Lineal Mixto'!$C$84</f>
      </c>
      <c r="C3118" s="6" t="str">
        <f>IF(AND(B3118&gt;=$B$3034,B3118&lt;=$B$3035),1,0)</f>
      </c>
      <c r="D3118" s="6" t="str">
        <f>IF(OR(D3117=1,C3118=1),1,0)</f>
      </c>
      <c r="E3118" s="6" t="str">
        <f>IF(C3118=1,0,IF(D3117=1,E3117+1,0))</f>
      </c>
      <c r="F3118" s="6" t="str">
        <f>IF(AND(C3118=1,D3117=1),MIN(E3117,3),"")</f>
      </c>
    </row>
    <row r="3119">
      <c r="A3119" s="5">
        <v>81</v>
      </c>
      <c r="B3119" s="5" t="str">
        <f>'Lineal Mixto'!$C$85</f>
      </c>
      <c r="C3119" s="5" t="str">
        <f>IF(AND(B3119&gt;=$B$3034,B3119&lt;=$B$3035),1,0)</f>
      </c>
      <c r="D3119" s="5" t="str">
        <f>IF(OR(D3118=1,C3119=1),1,0)</f>
      </c>
      <c r="E3119" s="5" t="str">
        <f>IF(C3119=1,0,IF(D3118=1,E3118+1,0))</f>
      </c>
      <c r="F3119" s="5" t="str">
        <f>IF(AND(C3119=1,D3118=1),MIN(E3118,3),"")</f>
      </c>
    </row>
    <row r="3120">
      <c r="A3120" s="6">
        <v>82</v>
      </c>
      <c r="B3120" s="6" t="str">
        <f>'Lineal Mixto'!$C$86</f>
      </c>
      <c r="C3120" s="6" t="str">
        <f>IF(AND(B3120&gt;=$B$3034,B3120&lt;=$B$3035),1,0)</f>
      </c>
      <c r="D3120" s="6" t="str">
        <f>IF(OR(D3119=1,C3120=1),1,0)</f>
      </c>
      <c r="E3120" s="6" t="str">
        <f>IF(C3120=1,0,IF(D3119=1,E3119+1,0))</f>
      </c>
      <c r="F3120" s="6" t="str">
        <f>IF(AND(C3120=1,D3119=1),MIN(E3119,3),"")</f>
      </c>
    </row>
    <row r="3121">
      <c r="A3121" s="5">
        <v>83</v>
      </c>
      <c r="B3121" s="5" t="str">
        <f>'Lineal Mixto'!$C$87</f>
      </c>
      <c r="C3121" s="5" t="str">
        <f>IF(AND(B3121&gt;=$B$3034,B3121&lt;=$B$3035),1,0)</f>
      </c>
      <c r="D3121" s="5" t="str">
        <f>IF(OR(D3120=1,C3121=1),1,0)</f>
      </c>
      <c r="E3121" s="5" t="str">
        <f>IF(C3121=1,0,IF(D3120=1,E3120+1,0))</f>
      </c>
      <c r="F3121" s="5" t="str">
        <f>IF(AND(C3121=1,D3120=1),MIN(E3120,3),"")</f>
      </c>
    </row>
    <row r="3122">
      <c r="A3122" s="6">
        <v>84</v>
      </c>
      <c r="B3122" s="6" t="str">
        <f>'Lineal Mixto'!$C$88</f>
      </c>
      <c r="C3122" s="6" t="str">
        <f>IF(AND(B3122&gt;=$B$3034,B3122&lt;=$B$3035),1,0)</f>
      </c>
      <c r="D3122" s="6" t="str">
        <f>IF(OR(D3121=1,C3122=1),1,0)</f>
      </c>
      <c r="E3122" s="6" t="str">
        <f>IF(C3122=1,0,IF(D3121=1,E3121+1,0))</f>
      </c>
      <c r="F3122" s="6" t="str">
        <f>IF(AND(C3122=1,D3121=1),MIN(E3121,3),"")</f>
      </c>
    </row>
    <row r="3123">
      <c r="A3123" s="5">
        <v>85</v>
      </c>
      <c r="B3123" s="5" t="str">
        <f>'Lineal Mixto'!$C$89</f>
      </c>
      <c r="C3123" s="5" t="str">
        <f>IF(AND(B3123&gt;=$B$3034,B3123&lt;=$B$3035),1,0)</f>
      </c>
      <c r="D3123" s="5" t="str">
        <f>IF(OR(D3122=1,C3123=1),1,0)</f>
      </c>
      <c r="E3123" s="5" t="str">
        <f>IF(C3123=1,0,IF(D3122=1,E3122+1,0))</f>
      </c>
      <c r="F3123" s="5" t="str">
        <f>IF(AND(C3123=1,D3122=1),MIN(E3122,3),"")</f>
      </c>
    </row>
    <row r="3124">
      <c r="A3124" s="6">
        <v>86</v>
      </c>
      <c r="B3124" s="6" t="str">
        <f>'Lineal Mixto'!$C$90</f>
      </c>
      <c r="C3124" s="6" t="str">
        <f>IF(AND(B3124&gt;=$B$3034,B3124&lt;=$B$3035),1,0)</f>
      </c>
      <c r="D3124" s="6" t="str">
        <f>IF(OR(D3123=1,C3124=1),1,0)</f>
      </c>
      <c r="E3124" s="6" t="str">
        <f>IF(C3124=1,0,IF(D3123=1,E3123+1,0))</f>
      </c>
      <c r="F3124" s="6" t="str">
        <f>IF(AND(C3124=1,D3123=1),MIN(E3123,3),"")</f>
      </c>
    </row>
    <row r="3125">
      <c r="A3125" s="5">
        <v>87</v>
      </c>
      <c r="B3125" s="5" t="str">
        <f>'Lineal Mixto'!$C$91</f>
      </c>
      <c r="C3125" s="5" t="str">
        <f>IF(AND(B3125&gt;=$B$3034,B3125&lt;=$B$3035),1,0)</f>
      </c>
      <c r="D3125" s="5" t="str">
        <f>IF(OR(D3124=1,C3125=1),1,0)</f>
      </c>
      <c r="E3125" s="5" t="str">
        <f>IF(C3125=1,0,IF(D3124=1,E3124+1,0))</f>
      </c>
      <c r="F3125" s="5" t="str">
        <f>IF(AND(C3125=1,D3124=1),MIN(E3124,3),"")</f>
      </c>
    </row>
    <row r="3126">
      <c r="A3126" s="6">
        <v>88</v>
      </c>
      <c r="B3126" s="6" t="str">
        <f>'Lineal Mixto'!$C$92</f>
      </c>
      <c r="C3126" s="6" t="str">
        <f>IF(AND(B3126&gt;=$B$3034,B3126&lt;=$B$3035),1,0)</f>
      </c>
      <c r="D3126" s="6" t="str">
        <f>IF(OR(D3125=1,C3126=1),1,0)</f>
      </c>
      <c r="E3126" s="6" t="str">
        <f>IF(C3126=1,0,IF(D3125=1,E3125+1,0))</f>
      </c>
      <c r="F3126" s="6" t="str">
        <f>IF(AND(C3126=1,D3125=1),MIN(E3125,3),"")</f>
      </c>
    </row>
    <row r="3127">
      <c r="A3127" s="5">
        <v>89</v>
      </c>
      <c r="B3127" s="5" t="str">
        <f>'Lineal Mixto'!$C$93</f>
      </c>
      <c r="C3127" s="5" t="str">
        <f>IF(AND(B3127&gt;=$B$3034,B3127&lt;=$B$3035),1,0)</f>
      </c>
      <c r="D3127" s="5" t="str">
        <f>IF(OR(D3126=1,C3127=1),1,0)</f>
      </c>
      <c r="E3127" s="5" t="str">
        <f>IF(C3127=1,0,IF(D3126=1,E3126+1,0))</f>
      </c>
      <c r="F3127" s="5" t="str">
        <f>IF(AND(C3127=1,D3126=1),MIN(E3126,3),"")</f>
      </c>
    </row>
    <row r="3128">
      <c r="A3128" s="6">
        <v>90</v>
      </c>
      <c r="B3128" s="6" t="str">
        <f>'Lineal Mixto'!$C$94</f>
      </c>
      <c r="C3128" s="6" t="str">
        <f>IF(AND(B3128&gt;=$B$3034,B3128&lt;=$B$3035),1,0)</f>
      </c>
      <c r="D3128" s="6" t="str">
        <f>IF(OR(D3127=1,C3128=1),1,0)</f>
      </c>
      <c r="E3128" s="6" t="str">
        <f>IF(C3128=1,0,IF(D3127=1,E3127+1,0))</f>
      </c>
      <c r="F3128" s="6" t="str">
        <f>IF(AND(C3128=1,D3127=1),MIN(E3127,3),"")</f>
      </c>
    </row>
    <row r="3129">
      <c r="A3129" s="5">
        <v>91</v>
      </c>
      <c r="B3129" s="5" t="str">
        <f>'Lineal Mixto'!$C$95</f>
      </c>
      <c r="C3129" s="5" t="str">
        <f>IF(AND(B3129&gt;=$B$3034,B3129&lt;=$B$3035),1,0)</f>
      </c>
      <c r="D3129" s="5" t="str">
        <f>IF(OR(D3128=1,C3129=1),1,0)</f>
      </c>
      <c r="E3129" s="5" t="str">
        <f>IF(C3129=1,0,IF(D3128=1,E3128+1,0))</f>
      </c>
      <c r="F3129" s="5" t="str">
        <f>IF(AND(C3129=1,D3128=1),MIN(E3128,3),"")</f>
      </c>
    </row>
    <row r="3130">
      <c r="A3130" s="6">
        <v>92</v>
      </c>
      <c r="B3130" s="6" t="str">
        <f>'Lineal Mixto'!$C$96</f>
      </c>
      <c r="C3130" s="6" t="str">
        <f>IF(AND(B3130&gt;=$B$3034,B3130&lt;=$B$3035),1,0)</f>
      </c>
      <c r="D3130" s="6" t="str">
        <f>IF(OR(D3129=1,C3130=1),1,0)</f>
      </c>
      <c r="E3130" s="6" t="str">
        <f>IF(C3130=1,0,IF(D3129=1,E3129+1,0))</f>
      </c>
      <c r="F3130" s="6" t="str">
        <f>IF(AND(C3130=1,D3129=1),MIN(E3129,3),"")</f>
      </c>
    </row>
    <row r="3131">
      <c r="A3131" s="5">
        <v>93</v>
      </c>
      <c r="B3131" s="5" t="str">
        <f>'Lineal Mixto'!$C$97</f>
      </c>
      <c r="C3131" s="5" t="str">
        <f>IF(AND(B3131&gt;=$B$3034,B3131&lt;=$B$3035),1,0)</f>
      </c>
      <c r="D3131" s="5" t="str">
        <f>IF(OR(D3130=1,C3131=1),1,0)</f>
      </c>
      <c r="E3131" s="5" t="str">
        <f>IF(C3131=1,0,IF(D3130=1,E3130+1,0))</f>
      </c>
      <c r="F3131" s="5" t="str">
        <f>IF(AND(C3131=1,D3130=1),MIN(E3130,3),"")</f>
      </c>
    </row>
    <row r="3132">
      <c r="A3132" s="6">
        <v>94</v>
      </c>
      <c r="B3132" s="6" t="str">
        <f>'Lineal Mixto'!$C$98</f>
      </c>
      <c r="C3132" s="6" t="str">
        <f>IF(AND(B3132&gt;=$B$3034,B3132&lt;=$B$3035),1,0)</f>
      </c>
      <c r="D3132" s="6" t="str">
        <f>IF(OR(D3131=1,C3132=1),1,0)</f>
      </c>
      <c r="E3132" s="6" t="str">
        <f>IF(C3132=1,0,IF(D3131=1,E3131+1,0))</f>
      </c>
      <c r="F3132" s="6" t="str">
        <f>IF(AND(C3132=1,D3131=1),MIN(E3131,3),"")</f>
      </c>
    </row>
    <row r="3133">
      <c r="A3133" s="5">
        <v>95</v>
      </c>
      <c r="B3133" s="5" t="str">
        <f>'Lineal Mixto'!$C$99</f>
      </c>
      <c r="C3133" s="5" t="str">
        <f>IF(AND(B3133&gt;=$B$3034,B3133&lt;=$B$3035),1,0)</f>
      </c>
      <c r="D3133" s="5" t="str">
        <f>IF(OR(D3132=1,C3133=1),1,0)</f>
      </c>
      <c r="E3133" s="5" t="str">
        <f>IF(C3133=1,0,IF(D3132=1,E3132+1,0))</f>
      </c>
      <c r="F3133" s="5" t="str">
        <f>IF(AND(C3133=1,D3132=1),MIN(E3132,3),"")</f>
      </c>
    </row>
    <row r="3134">
      <c r="A3134" s="6">
        <v>96</v>
      </c>
      <c r="B3134" s="6" t="str">
        <f>'Lineal Mixto'!$C$100</f>
      </c>
      <c r="C3134" s="6" t="str">
        <f>IF(AND(B3134&gt;=$B$3034,B3134&lt;=$B$3035),1,0)</f>
      </c>
      <c r="D3134" s="6" t="str">
        <f>IF(OR(D3133=1,C3134=1),1,0)</f>
      </c>
      <c r="E3134" s="6" t="str">
        <f>IF(C3134=1,0,IF(D3133=1,E3133+1,0))</f>
      </c>
      <c r="F3134" s="6" t="str">
        <f>IF(AND(C3134=1,D3133=1),MIN(E3133,3),"")</f>
      </c>
    </row>
    <row r="3135">
      <c r="A3135" s="5">
        <v>97</v>
      </c>
      <c r="B3135" s="5" t="str">
        <f>'Lineal Mixto'!$C$101</f>
      </c>
      <c r="C3135" s="5" t="str">
        <f>IF(AND(B3135&gt;=$B$3034,B3135&lt;=$B$3035),1,0)</f>
      </c>
      <c r="D3135" s="5" t="str">
        <f>IF(OR(D3134=1,C3135=1),1,0)</f>
      </c>
      <c r="E3135" s="5" t="str">
        <f>IF(C3135=1,0,IF(D3134=1,E3134+1,0))</f>
      </c>
      <c r="F3135" s="5" t="str">
        <f>IF(AND(C3135=1,D3134=1),MIN(E3134,3),"")</f>
      </c>
    </row>
    <row r="3136">
      <c r="A3136" s="6">
        <v>98</v>
      </c>
      <c r="B3136" s="6" t="str">
        <f>'Lineal Mixto'!$C$102</f>
      </c>
      <c r="C3136" s="6" t="str">
        <f>IF(AND(B3136&gt;=$B$3034,B3136&lt;=$B$3035),1,0)</f>
      </c>
      <c r="D3136" s="6" t="str">
        <f>IF(OR(D3135=1,C3136=1),1,0)</f>
      </c>
      <c r="E3136" s="6" t="str">
        <f>IF(C3136=1,0,IF(D3135=1,E3135+1,0))</f>
      </c>
      <c r="F3136" s="6" t="str">
        <f>IF(AND(C3136=1,D3135=1),MIN(E3135,3),"")</f>
      </c>
    </row>
    <row r="3137">
      <c r="A3137" s="5">
        <v>99</v>
      </c>
      <c r="B3137" s="5" t="str">
        <f>'Lineal Mixto'!$C$103</f>
      </c>
      <c r="C3137" s="5" t="str">
        <f>IF(AND(B3137&gt;=$B$3034,B3137&lt;=$B$3035),1,0)</f>
      </c>
      <c r="D3137" s="5" t="str">
        <f>IF(OR(D3136=1,C3137=1),1,0)</f>
      </c>
      <c r="E3137" s="5" t="str">
        <f>IF(C3137=1,0,IF(D3136=1,E3136+1,0))</f>
      </c>
      <c r="F3137" s="5" t="str">
        <f>IF(AND(C3137=1,D3136=1),MIN(E3136,3),"")</f>
      </c>
    </row>
    <row r="3138">
      <c r="A3138" s="6">
        <v>100</v>
      </c>
      <c r="B3138" s="6" t="str">
        <f>'Lineal Mixto'!$C$104</f>
      </c>
      <c r="C3138" s="6" t="str">
        <f>IF(AND(B3138&gt;=$B$3034,B3138&lt;=$B$3035),1,0)</f>
      </c>
      <c r="D3138" s="6" t="str">
        <f>IF(OR(D3137=1,C3138=1),1,0)</f>
      </c>
      <c r="E3138" s="6" t="str">
        <f>IF(C3138=1,0,IF(D3137=1,E3137+1,0))</f>
      </c>
      <c r="F3138" s="6" t="str">
        <f>IF(AND(C3138=1,D3137=1),MIN(E3137,3),"")</f>
      </c>
    </row>
    <row r="3139">
      <c r="A3139" s="5">
        <v>101</v>
      </c>
      <c r="B3139" s="5" t="str">
        <f>'Lineal Mixto'!$C$105</f>
      </c>
      <c r="C3139" s="5" t="str">
        <f>IF(AND(B3139&gt;=$B$3034,B3139&lt;=$B$3035),1,0)</f>
      </c>
      <c r="D3139" s="5" t="str">
        <f>IF(OR(D3138=1,C3139=1),1,0)</f>
      </c>
      <c r="E3139" s="5" t="str">
        <f>IF(C3139=1,0,IF(D3138=1,E3138+1,0))</f>
      </c>
      <c r="F3139" s="5" t="str">
        <f>IF(AND(C3139=1,D3138=1),MIN(E3138,3),"")</f>
      </c>
    </row>
    <row r="3140">
      <c r="A3140" s="6">
        <v>102</v>
      </c>
      <c r="B3140" s="6" t="str">
        <f>'Lineal Mixto'!$C$106</f>
      </c>
      <c r="C3140" s="6" t="str">
        <f>IF(AND(B3140&gt;=$B$3034,B3140&lt;=$B$3035),1,0)</f>
      </c>
      <c r="D3140" s="6" t="str">
        <f>IF(OR(D3139=1,C3140=1),1,0)</f>
      </c>
      <c r="E3140" s="6" t="str">
        <f>IF(C3140=1,0,IF(D3139=1,E3139+1,0))</f>
      </c>
      <c r="F3140" s="6" t="str">
        <f>IF(AND(C3140=1,D3139=1),MIN(E3139,3),"")</f>
      </c>
    </row>
    <row r="3141">
      <c r="A3141" s="5">
        <v>103</v>
      </c>
      <c r="B3141" s="5" t="str">
        <f>'Lineal Mixto'!$C$107</f>
      </c>
      <c r="C3141" s="5" t="str">
        <f>IF(AND(B3141&gt;=$B$3034,B3141&lt;=$B$3035),1,0)</f>
      </c>
      <c r="D3141" s="5" t="str">
        <f>IF(OR(D3140=1,C3141=1),1,0)</f>
      </c>
      <c r="E3141" s="5" t="str">
        <f>IF(C3141=1,0,IF(D3140=1,E3140+1,0))</f>
      </c>
      <c r="F3141" s="5" t="str">
        <f>IF(AND(C3141=1,D3140=1),MIN(E3140,3),"")</f>
      </c>
    </row>
    <row r="3142">
      <c r="A3142" s="6">
        <v>104</v>
      </c>
      <c r="B3142" s="6" t="str">
        <f>'Lineal Mixto'!$C$108</f>
      </c>
      <c r="C3142" s="6" t="str">
        <f>IF(AND(B3142&gt;=$B$3034,B3142&lt;=$B$3035),1,0)</f>
      </c>
      <c r="D3142" s="6" t="str">
        <f>IF(OR(D3141=1,C3142=1),1,0)</f>
      </c>
      <c r="E3142" s="6" t="str">
        <f>IF(C3142=1,0,IF(D3141=1,E3141+1,0))</f>
      </c>
      <c r="F3142" s="6" t="str">
        <f>IF(AND(C3142=1,D3141=1),MIN(E3141,3),"")</f>
      </c>
    </row>
    <row r="3143">
      <c r="A3143" s="5">
        <v>105</v>
      </c>
      <c r="B3143" s="5" t="str">
        <f>'Lineal Mixto'!$C$109</f>
      </c>
      <c r="C3143" s="5" t="str">
        <f>IF(AND(B3143&gt;=$B$3034,B3143&lt;=$B$3035),1,0)</f>
      </c>
      <c r="D3143" s="5" t="str">
        <f>IF(OR(D3142=1,C3143=1),1,0)</f>
      </c>
      <c r="E3143" s="5" t="str">
        <f>IF(C3143=1,0,IF(D3142=1,E3142+1,0))</f>
      </c>
      <c r="F3143" s="5" t="str">
        <f>IF(AND(C3143=1,D3142=1),MIN(E3142,3),"")</f>
      </c>
    </row>
    <row r="3144">
      <c r="A3144" s="6">
        <v>106</v>
      </c>
      <c r="B3144" s="6" t="str">
        <f>'Lineal Mixto'!$C$110</f>
      </c>
      <c r="C3144" s="6" t="str">
        <f>IF(AND(B3144&gt;=$B$3034,B3144&lt;=$B$3035),1,0)</f>
      </c>
      <c r="D3144" s="6" t="str">
        <f>IF(OR(D3143=1,C3144=1),1,0)</f>
      </c>
      <c r="E3144" s="6" t="str">
        <f>IF(C3144=1,0,IF(D3143=1,E3143+1,0))</f>
      </c>
      <c r="F3144" s="6" t="str">
        <f>IF(AND(C3144=1,D3143=1),MIN(E3143,3),"")</f>
      </c>
    </row>
    <row r="3145">
      <c r="A3145" s="5">
        <v>107</v>
      </c>
      <c r="B3145" s="5" t="str">
        <f>'Lineal Mixto'!$C$111</f>
      </c>
      <c r="C3145" s="5" t="str">
        <f>IF(AND(B3145&gt;=$B$3034,B3145&lt;=$B$3035),1,0)</f>
      </c>
      <c r="D3145" s="5" t="str">
        <f>IF(OR(D3144=1,C3145=1),1,0)</f>
      </c>
      <c r="E3145" s="5" t="str">
        <f>IF(C3145=1,0,IF(D3144=1,E3144+1,0))</f>
      </c>
      <c r="F3145" s="5" t="str">
        <f>IF(AND(C3145=1,D3144=1),MIN(E3144,3),"")</f>
      </c>
    </row>
    <row r="3146">
      <c r="A3146" s="6">
        <v>108</v>
      </c>
      <c r="B3146" s="6" t="str">
        <f>'Lineal Mixto'!$C$112</f>
      </c>
      <c r="C3146" s="6" t="str">
        <f>IF(AND(B3146&gt;=$B$3034,B3146&lt;=$B$3035),1,0)</f>
      </c>
      <c r="D3146" s="6" t="str">
        <f>IF(OR(D3145=1,C3146=1),1,0)</f>
      </c>
      <c r="E3146" s="6" t="str">
        <f>IF(C3146=1,0,IF(D3145=1,E3145+1,0))</f>
      </c>
      <c r="F3146" s="6" t="str">
        <f>IF(AND(C3146=1,D3145=1),MIN(E3145,3),"")</f>
      </c>
    </row>
    <row r="3147">
      <c r="A3147" s="5">
        <v>109</v>
      </c>
      <c r="B3147" s="5" t="str">
        <f>'Lineal Mixto'!$C$113</f>
      </c>
      <c r="C3147" s="5" t="str">
        <f>IF(AND(B3147&gt;=$B$3034,B3147&lt;=$B$3035),1,0)</f>
      </c>
      <c r="D3147" s="5" t="str">
        <f>IF(OR(D3146=1,C3147=1),1,0)</f>
      </c>
      <c r="E3147" s="5" t="str">
        <f>IF(C3147=1,0,IF(D3146=1,E3146+1,0))</f>
      </c>
      <c r="F3147" s="5" t="str">
        <f>IF(AND(C3147=1,D3146=1),MIN(E3146,3),"")</f>
      </c>
    </row>
    <row r="3148">
      <c r="A3148" s="6">
        <v>110</v>
      </c>
      <c r="B3148" s="6" t="str">
        <f>'Lineal Mixto'!$C$114</f>
      </c>
      <c r="C3148" s="6" t="str">
        <f>IF(AND(B3148&gt;=$B$3034,B3148&lt;=$B$3035),1,0)</f>
      </c>
      <c r="D3148" s="6" t="str">
        <f>IF(OR(D3147=1,C3148=1),1,0)</f>
      </c>
      <c r="E3148" s="6" t="str">
        <f>IF(C3148=1,0,IF(D3147=1,E3147+1,0))</f>
      </c>
      <c r="F3148" s="6" t="str">
        <f>IF(AND(C3148=1,D3147=1),MIN(E3147,3),"")</f>
      </c>
    </row>
    <row r="3149">
      <c r="A3149" s="5">
        <v>111</v>
      </c>
      <c r="B3149" s="5" t="str">
        <f>'Lineal Mixto'!$C$115</f>
      </c>
      <c r="C3149" s="5" t="str">
        <f>IF(AND(B3149&gt;=$B$3034,B3149&lt;=$B$3035),1,0)</f>
      </c>
      <c r="D3149" s="5" t="str">
        <f>IF(OR(D3148=1,C3149=1),1,0)</f>
      </c>
      <c r="E3149" s="5" t="str">
        <f>IF(C3149=1,0,IF(D3148=1,E3148+1,0))</f>
      </c>
      <c r="F3149" s="5" t="str">
        <f>IF(AND(C3149=1,D3148=1),MIN(E3148,3),"")</f>
      </c>
    </row>
    <row r="3150">
      <c r="A3150" s="6">
        <v>112</v>
      </c>
      <c r="B3150" s="6" t="str">
        <f>'Lineal Mixto'!$C$116</f>
      </c>
      <c r="C3150" s="6" t="str">
        <f>IF(AND(B3150&gt;=$B$3034,B3150&lt;=$B$3035),1,0)</f>
      </c>
      <c r="D3150" s="6" t="str">
        <f>IF(OR(D3149=1,C3150=1),1,0)</f>
      </c>
      <c r="E3150" s="6" t="str">
        <f>IF(C3150=1,0,IF(D3149=1,E3149+1,0))</f>
      </c>
      <c r="F3150" s="6" t="str">
        <f>IF(AND(C3150=1,D3149=1),MIN(E3149,3),"")</f>
      </c>
    </row>
    <row r="3151">
      <c r="A3151" s="5">
        <v>113</v>
      </c>
      <c r="B3151" s="5" t="str">
        <f>'Lineal Mixto'!$C$117</f>
      </c>
      <c r="C3151" s="5" t="str">
        <f>IF(AND(B3151&gt;=$B$3034,B3151&lt;=$B$3035),1,0)</f>
      </c>
      <c r="D3151" s="5" t="str">
        <f>IF(OR(D3150=1,C3151=1),1,0)</f>
      </c>
      <c r="E3151" s="5" t="str">
        <f>IF(C3151=1,0,IF(D3150=1,E3150+1,0))</f>
      </c>
      <c r="F3151" s="5" t="str">
        <f>IF(AND(C3151=1,D3150=1),MIN(E3150,3),"")</f>
      </c>
    </row>
    <row r="3152">
      <c r="A3152" s="6">
        <v>114</v>
      </c>
      <c r="B3152" s="6" t="str">
        <f>'Lineal Mixto'!$C$118</f>
      </c>
      <c r="C3152" s="6" t="str">
        <f>IF(AND(B3152&gt;=$B$3034,B3152&lt;=$B$3035),1,0)</f>
      </c>
      <c r="D3152" s="6" t="str">
        <f>IF(OR(D3151=1,C3152=1),1,0)</f>
      </c>
      <c r="E3152" s="6" t="str">
        <f>IF(C3152=1,0,IF(D3151=1,E3151+1,0))</f>
      </c>
      <c r="F3152" s="6" t="str">
        <f>IF(AND(C3152=1,D3151=1),MIN(E3151,3),"")</f>
      </c>
    </row>
    <row r="3153">
      <c r="A3153" s="5">
        <v>115</v>
      </c>
      <c r="B3153" s="5" t="str">
        <f>'Lineal Mixto'!$C$119</f>
      </c>
      <c r="C3153" s="5" t="str">
        <f>IF(AND(B3153&gt;=$B$3034,B3153&lt;=$B$3035),1,0)</f>
      </c>
      <c r="D3153" s="5" t="str">
        <f>IF(OR(D3152=1,C3153=1),1,0)</f>
      </c>
      <c r="E3153" s="5" t="str">
        <f>IF(C3153=1,0,IF(D3152=1,E3152+1,0))</f>
      </c>
      <c r="F3153" s="5" t="str">
        <f>IF(AND(C3153=1,D3152=1),MIN(E3152,3),"")</f>
      </c>
    </row>
    <row r="3154">
      <c r="A3154" s="6">
        <v>116</v>
      </c>
      <c r="B3154" s="6" t="str">
        <f>'Lineal Mixto'!$C$120</f>
      </c>
      <c r="C3154" s="6" t="str">
        <f>IF(AND(B3154&gt;=$B$3034,B3154&lt;=$B$3035),1,0)</f>
      </c>
      <c r="D3154" s="6" t="str">
        <f>IF(OR(D3153=1,C3154=1),1,0)</f>
      </c>
      <c r="E3154" s="6" t="str">
        <f>IF(C3154=1,0,IF(D3153=1,E3153+1,0))</f>
      </c>
      <c r="F3154" s="6" t="str">
        <f>IF(AND(C3154=1,D3153=1),MIN(E3153,3),"")</f>
      </c>
    </row>
    <row r="3155">
      <c r="A3155" s="5">
        <v>117</v>
      </c>
      <c r="B3155" s="5" t="str">
        <f>'Lineal Mixto'!$C$121</f>
      </c>
      <c r="C3155" s="5" t="str">
        <f>IF(AND(B3155&gt;=$B$3034,B3155&lt;=$B$3035),1,0)</f>
      </c>
      <c r="D3155" s="5" t="str">
        <f>IF(OR(D3154=1,C3155=1),1,0)</f>
      </c>
      <c r="E3155" s="5" t="str">
        <f>IF(C3155=1,0,IF(D3154=1,E3154+1,0))</f>
      </c>
      <c r="F3155" s="5" t="str">
        <f>IF(AND(C3155=1,D3154=1),MIN(E3154,3),"")</f>
      </c>
    </row>
    <row r="3156">
      <c r="A3156" s="6">
        <v>118</v>
      </c>
      <c r="B3156" s="6" t="str">
        <f>'Lineal Mixto'!$C$122</f>
      </c>
      <c r="C3156" s="6" t="str">
        <f>IF(AND(B3156&gt;=$B$3034,B3156&lt;=$B$3035),1,0)</f>
      </c>
      <c r="D3156" s="6" t="str">
        <f>IF(OR(D3155=1,C3156=1),1,0)</f>
      </c>
      <c r="E3156" s="6" t="str">
        <f>IF(C3156=1,0,IF(D3155=1,E3155+1,0))</f>
      </c>
      <c r="F3156" s="6" t="str">
        <f>IF(AND(C3156=1,D3155=1),MIN(E3155,3),"")</f>
      </c>
    </row>
    <row r="3157">
      <c r="A3157" s="5">
        <v>119</v>
      </c>
      <c r="B3157" s="5" t="str">
        <f>'Lineal Mixto'!$C$123</f>
      </c>
      <c r="C3157" s="5" t="str">
        <f>IF(AND(B3157&gt;=$B$3034,B3157&lt;=$B$3035),1,0)</f>
      </c>
      <c r="D3157" s="5" t="str">
        <f>IF(OR(D3156=1,C3157=1),1,0)</f>
      </c>
      <c r="E3157" s="5" t="str">
        <f>IF(C3157=1,0,IF(D3156=1,E3156+1,0))</f>
      </c>
      <c r="F3157" s="5" t="str">
        <f>IF(AND(C3157=1,D3156=1),MIN(E3156,3),"")</f>
      </c>
    </row>
    <row r="3158">
      <c r="A3158" s="6">
        <v>120</v>
      </c>
      <c r="B3158" s="6" t="str">
        <f>'Lineal Mixto'!$C$124</f>
      </c>
      <c r="C3158" s="6" t="str">
        <f>IF(AND(B3158&gt;=$B$3034,B3158&lt;=$B$3035),1,0)</f>
      </c>
      <c r="D3158" s="6" t="str">
        <f>IF(OR(D3157=1,C3158=1),1,0)</f>
      </c>
      <c r="E3158" s="6" t="str">
        <f>IF(C3158=1,0,IF(D3157=1,E3157+1,0))</f>
      </c>
      <c r="F3158" s="6" t="str">
        <f>IF(AND(C3158=1,D3157=1),MIN(E3157,3),"")</f>
      </c>
    </row>
    <row r="3159">
      <c r="A3159" s="5">
        <v>121</v>
      </c>
      <c r="B3159" s="5" t="str">
        <f>'Lineal Mixto'!$C$125</f>
      </c>
      <c r="C3159" s="5" t="str">
        <f>IF(AND(B3159&gt;=$B$3034,B3159&lt;=$B$3035),1,0)</f>
      </c>
      <c r="D3159" s="5" t="str">
        <f>IF(OR(D3158=1,C3159=1),1,0)</f>
      </c>
      <c r="E3159" s="5" t="str">
        <f>IF(C3159=1,0,IF(D3158=1,E3158+1,0))</f>
      </c>
      <c r="F3159" s="5" t="str">
        <f>IF(AND(C3159=1,D3158=1),MIN(E3158,3),"")</f>
      </c>
    </row>
    <row r="3160">
      <c r="A3160" s="6">
        <v>122</v>
      </c>
      <c r="B3160" s="6" t="str">
        <f>'Lineal Mixto'!$C$126</f>
      </c>
      <c r="C3160" s="6" t="str">
        <f>IF(AND(B3160&gt;=$B$3034,B3160&lt;=$B$3035),1,0)</f>
      </c>
      <c r="D3160" s="6" t="str">
        <f>IF(OR(D3159=1,C3160=1),1,0)</f>
      </c>
      <c r="E3160" s="6" t="str">
        <f>IF(C3160=1,0,IF(D3159=1,E3159+1,0))</f>
      </c>
      <c r="F3160" s="6" t="str">
        <f>IF(AND(C3160=1,D3159=1),MIN(E3159,3),"")</f>
      </c>
    </row>
    <row r="3161">
      <c r="A3161" s="5">
        <v>123</v>
      </c>
      <c r="B3161" s="5" t="str">
        <f>'Lineal Mixto'!$C$127</f>
      </c>
      <c r="C3161" s="5" t="str">
        <f>IF(AND(B3161&gt;=$B$3034,B3161&lt;=$B$3035),1,0)</f>
      </c>
      <c r="D3161" s="5" t="str">
        <f>IF(OR(D3160=1,C3161=1),1,0)</f>
      </c>
      <c r="E3161" s="5" t="str">
        <f>IF(C3161=1,0,IF(D3160=1,E3160+1,0))</f>
      </c>
      <c r="F3161" s="5" t="str">
        <f>IF(AND(C3161=1,D3160=1),MIN(E3160,3),"")</f>
      </c>
    </row>
    <row r="3162">
      <c r="A3162" s="6">
        <v>124</v>
      </c>
      <c r="B3162" s="6" t="str">
        <f>'Lineal Mixto'!$C$128</f>
      </c>
      <c r="C3162" s="6" t="str">
        <f>IF(AND(B3162&gt;=$B$3034,B3162&lt;=$B$3035),1,0)</f>
      </c>
      <c r="D3162" s="6" t="str">
        <f>IF(OR(D3161=1,C3162=1),1,0)</f>
      </c>
      <c r="E3162" s="6" t="str">
        <f>IF(C3162=1,0,IF(D3161=1,E3161+1,0))</f>
      </c>
      <c r="F3162" s="6" t="str">
        <f>IF(AND(C3162=1,D3161=1),MIN(E3161,3),"")</f>
      </c>
    </row>
    <row r="3163">
      <c r="A3163" s="5">
        <v>125</v>
      </c>
      <c r="B3163" s="5" t="str">
        <f>'Lineal Mixto'!$C$129</f>
      </c>
      <c r="C3163" s="5" t="str">
        <f>IF(AND(B3163&gt;=$B$3034,B3163&lt;=$B$3035),1,0)</f>
      </c>
      <c r="D3163" s="5" t="str">
        <f>IF(OR(D3162=1,C3163=1),1,0)</f>
      </c>
      <c r="E3163" s="5" t="str">
        <f>IF(C3163=1,0,IF(D3162=1,E3162+1,0))</f>
      </c>
      <c r="F3163" s="5" t="str">
        <f>IF(AND(C3163=1,D3162=1),MIN(E3162,3),"")</f>
      </c>
    </row>
    <row r="3164">
      <c r="A3164" s="6">
        <v>126</v>
      </c>
      <c r="B3164" s="6" t="str">
        <f>'Lineal Mixto'!$C$130</f>
      </c>
      <c r="C3164" s="6" t="str">
        <f>IF(AND(B3164&gt;=$B$3034,B3164&lt;=$B$3035),1,0)</f>
      </c>
      <c r="D3164" s="6" t="str">
        <f>IF(OR(D3163=1,C3164=1),1,0)</f>
      </c>
      <c r="E3164" s="6" t="str">
        <f>IF(C3164=1,0,IF(D3163=1,E3163+1,0))</f>
      </c>
      <c r="F3164" s="6" t="str">
        <f>IF(AND(C3164=1,D3163=1),MIN(E3163,3),"")</f>
      </c>
    </row>
    <row r="3165">
      <c r="A3165" s="5">
        <v>127</v>
      </c>
      <c r="B3165" s="5" t="str">
        <f>'Lineal Mixto'!$C$131</f>
      </c>
      <c r="C3165" s="5" t="str">
        <f>IF(AND(B3165&gt;=$B$3034,B3165&lt;=$B$3035),1,0)</f>
      </c>
      <c r="D3165" s="5" t="str">
        <f>IF(OR(D3164=1,C3165=1),1,0)</f>
      </c>
      <c r="E3165" s="5" t="str">
        <f>IF(C3165=1,0,IF(D3164=1,E3164+1,0))</f>
      </c>
      <c r="F3165" s="5" t="str">
        <f>IF(AND(C3165=1,D3164=1),MIN(E3164,3),"")</f>
      </c>
    </row>
    <row r="3166">
      <c r="A3166" s="6">
        <v>128</v>
      </c>
      <c r="B3166" s="6" t="str">
        <f>'Lineal Mixto'!$C$132</f>
      </c>
      <c r="C3166" s="6" t="str">
        <f>IF(AND(B3166&gt;=$B$3034,B3166&lt;=$B$3035),1,0)</f>
      </c>
      <c r="D3166" s="6" t="str">
        <f>IF(OR(D3165=1,C3166=1),1,0)</f>
      </c>
      <c r="E3166" s="6" t="str">
        <f>IF(C3166=1,0,IF(D3165=1,E3165+1,0))</f>
      </c>
      <c r="F3166" s="6" t="str">
        <f>IF(AND(C3166=1,D3165=1),MIN(E3165,3),"")</f>
      </c>
    </row>
    <row r="3167">
      <c r="A3167" s="5">
        <v>129</v>
      </c>
      <c r="B3167" s="5" t="str">
        <f>'Lineal Mixto'!$C$133</f>
      </c>
      <c r="C3167" s="5" t="str">
        <f>IF(AND(B3167&gt;=$B$3034,B3167&lt;=$B$3035),1,0)</f>
      </c>
      <c r="D3167" s="5" t="str">
        <f>IF(OR(D3166=1,C3167=1),1,0)</f>
      </c>
      <c r="E3167" s="5" t="str">
        <f>IF(C3167=1,0,IF(D3166=1,E3166+1,0))</f>
      </c>
      <c r="F3167" s="5" t="str">
        <f>IF(AND(C3167=1,D3166=1),MIN(E3166,3),"")</f>
      </c>
    </row>
    <row r="3168">
      <c r="A3168" s="6">
        <v>130</v>
      </c>
      <c r="B3168" s="6" t="str">
        <f>'Lineal Mixto'!$C$134</f>
      </c>
      <c r="C3168" s="6" t="str">
        <f>IF(AND(B3168&gt;=$B$3034,B3168&lt;=$B$3035),1,0)</f>
      </c>
      <c r="D3168" s="6" t="str">
        <f>IF(OR(D3167=1,C3168=1),1,0)</f>
      </c>
      <c r="E3168" s="6" t="str">
        <f>IF(C3168=1,0,IF(D3167=1,E3167+1,0))</f>
      </c>
      <c r="F3168" s="6" t="str">
        <f>IF(AND(C3168=1,D3167=1),MIN(E3167,3),"")</f>
      </c>
    </row>
    <row r="3169">
      <c r="A3169" s="5">
        <v>131</v>
      </c>
      <c r="B3169" s="5" t="str">
        <f>'Lineal Mixto'!$C$135</f>
      </c>
      <c r="C3169" s="5" t="str">
        <f>IF(AND(B3169&gt;=$B$3034,B3169&lt;=$B$3035),1,0)</f>
      </c>
      <c r="D3169" s="5" t="str">
        <f>IF(OR(D3168=1,C3169=1),1,0)</f>
      </c>
      <c r="E3169" s="5" t="str">
        <f>IF(C3169=1,0,IF(D3168=1,E3168+1,0))</f>
      </c>
      <c r="F3169" s="5" t="str">
        <f>IF(AND(C3169=1,D3168=1),MIN(E3168,3),"")</f>
      </c>
    </row>
    <row r="3170">
      <c r="A3170" s="6">
        <v>132</v>
      </c>
      <c r="B3170" s="6" t="str">
        <f>'Lineal Mixto'!$C$136</f>
      </c>
      <c r="C3170" s="6" t="str">
        <f>IF(AND(B3170&gt;=$B$3034,B3170&lt;=$B$3035),1,0)</f>
      </c>
      <c r="D3170" s="6" t="str">
        <f>IF(OR(D3169=1,C3170=1),1,0)</f>
      </c>
      <c r="E3170" s="6" t="str">
        <f>IF(C3170=1,0,IF(D3169=1,E3169+1,0))</f>
      </c>
      <c r="F3170" s="6" t="str">
        <f>IF(AND(C3170=1,D3169=1),MIN(E3169,3),"")</f>
      </c>
    </row>
    <row r="3171">
      <c r="A3171" s="5">
        <v>133</v>
      </c>
      <c r="B3171" s="5" t="str">
        <f>'Lineal Mixto'!$C$137</f>
      </c>
      <c r="C3171" s="5" t="str">
        <f>IF(AND(B3171&gt;=$B$3034,B3171&lt;=$B$3035),1,0)</f>
      </c>
      <c r="D3171" s="5" t="str">
        <f>IF(OR(D3170=1,C3171=1),1,0)</f>
      </c>
      <c r="E3171" s="5" t="str">
        <f>IF(C3171=1,0,IF(D3170=1,E3170+1,0))</f>
      </c>
      <c r="F3171" s="5" t="str">
        <f>IF(AND(C3171=1,D3170=1),MIN(E3170,3),"")</f>
      </c>
    </row>
    <row r="3172">
      <c r="A3172" s="6">
        <v>134</v>
      </c>
      <c r="B3172" s="6" t="str">
        <f>'Lineal Mixto'!$C$138</f>
      </c>
      <c r="C3172" s="6" t="str">
        <f>IF(AND(B3172&gt;=$B$3034,B3172&lt;=$B$3035),1,0)</f>
      </c>
      <c r="D3172" s="6" t="str">
        <f>IF(OR(D3171=1,C3172=1),1,0)</f>
      </c>
      <c r="E3172" s="6" t="str">
        <f>IF(C3172=1,0,IF(D3171=1,E3171+1,0))</f>
      </c>
      <c r="F3172" s="6" t="str">
        <f>IF(AND(C3172=1,D3171=1),MIN(E3171,3),"")</f>
      </c>
    </row>
    <row r="3173">
      <c r="A3173" s="5">
        <v>135</v>
      </c>
      <c r="B3173" s="5" t="str">
        <f>'Lineal Mixto'!$C$139</f>
      </c>
      <c r="C3173" s="5" t="str">
        <f>IF(AND(B3173&gt;=$B$3034,B3173&lt;=$B$3035),1,0)</f>
      </c>
      <c r="D3173" s="5" t="str">
        <f>IF(OR(D3172=1,C3173=1),1,0)</f>
      </c>
      <c r="E3173" s="5" t="str">
        <f>IF(C3173=1,0,IF(D3172=1,E3172+1,0))</f>
      </c>
      <c r="F3173" s="5" t="str">
        <f>IF(AND(C3173=1,D3172=1),MIN(E3172,3),"")</f>
      </c>
    </row>
    <row r="3174">
      <c r="A3174" s="6">
        <v>136</v>
      </c>
      <c r="B3174" s="6" t="str">
        <f>'Lineal Mixto'!$C$140</f>
      </c>
      <c r="C3174" s="6" t="str">
        <f>IF(AND(B3174&gt;=$B$3034,B3174&lt;=$B$3035),1,0)</f>
      </c>
      <c r="D3174" s="6" t="str">
        <f>IF(OR(D3173=1,C3174=1),1,0)</f>
      </c>
      <c r="E3174" s="6" t="str">
        <f>IF(C3174=1,0,IF(D3173=1,E3173+1,0))</f>
      </c>
      <c r="F3174" s="6" t="str">
        <f>IF(AND(C3174=1,D3173=1),MIN(E3173,3),"")</f>
      </c>
    </row>
    <row r="3175">
      <c r="A3175" s="5">
        <v>137</v>
      </c>
      <c r="B3175" s="5" t="str">
        <f>'Lineal Mixto'!$C$141</f>
      </c>
      <c r="C3175" s="5" t="str">
        <f>IF(AND(B3175&gt;=$B$3034,B3175&lt;=$B$3035),1,0)</f>
      </c>
      <c r="D3175" s="5" t="str">
        <f>IF(OR(D3174=1,C3175=1),1,0)</f>
      </c>
      <c r="E3175" s="5" t="str">
        <f>IF(C3175=1,0,IF(D3174=1,E3174+1,0))</f>
      </c>
      <c r="F3175" s="5" t="str">
        <f>IF(AND(C3175=1,D3174=1),MIN(E3174,3),"")</f>
      </c>
    </row>
    <row r="3176">
      <c r="A3176" s="6">
        <v>138</v>
      </c>
      <c r="B3176" s="6" t="str">
        <f>'Lineal Mixto'!$C$142</f>
      </c>
      <c r="C3176" s="6" t="str">
        <f>IF(AND(B3176&gt;=$B$3034,B3176&lt;=$B$3035),1,0)</f>
      </c>
      <c r="D3176" s="6" t="str">
        <f>IF(OR(D3175=1,C3176=1),1,0)</f>
      </c>
      <c r="E3176" s="6" t="str">
        <f>IF(C3176=1,0,IF(D3175=1,E3175+1,0))</f>
      </c>
      <c r="F3176" s="6" t="str">
        <f>IF(AND(C3176=1,D3175=1),MIN(E3175,3),"")</f>
      </c>
    </row>
    <row r="3177">
      <c r="A3177" s="5">
        <v>139</v>
      </c>
      <c r="B3177" s="5" t="str">
        <f>'Lineal Mixto'!$C$143</f>
      </c>
      <c r="C3177" s="5" t="str">
        <f>IF(AND(B3177&gt;=$B$3034,B3177&lt;=$B$3035),1,0)</f>
      </c>
      <c r="D3177" s="5" t="str">
        <f>IF(OR(D3176=1,C3177=1),1,0)</f>
      </c>
      <c r="E3177" s="5" t="str">
        <f>IF(C3177=1,0,IF(D3176=1,E3176+1,0))</f>
      </c>
      <c r="F3177" s="5" t="str">
        <f>IF(AND(C3177=1,D3176=1),MIN(E3176,3),"")</f>
      </c>
    </row>
    <row r="3178">
      <c r="A3178" s="6">
        <v>140</v>
      </c>
      <c r="B3178" s="6" t="str">
        <f>'Lineal Mixto'!$C$144</f>
      </c>
      <c r="C3178" s="6" t="str">
        <f>IF(AND(B3178&gt;=$B$3034,B3178&lt;=$B$3035),1,0)</f>
      </c>
      <c r="D3178" s="6" t="str">
        <f>IF(OR(D3177=1,C3178=1),1,0)</f>
      </c>
      <c r="E3178" s="6" t="str">
        <f>IF(C3178=1,0,IF(D3177=1,E3177+1,0))</f>
      </c>
      <c r="F3178" s="6" t="str">
        <f>IF(AND(C3178=1,D3177=1),MIN(E3177,3),"")</f>
      </c>
    </row>
    <row r="3179">
      <c r="A3179" s="5">
        <v>141</v>
      </c>
      <c r="B3179" s="5" t="str">
        <f>'Lineal Mixto'!$C$145</f>
      </c>
      <c r="C3179" s="5" t="str">
        <f>IF(AND(B3179&gt;=$B$3034,B3179&lt;=$B$3035),1,0)</f>
      </c>
      <c r="D3179" s="5" t="str">
        <f>IF(OR(D3178=1,C3179=1),1,0)</f>
      </c>
      <c r="E3179" s="5" t="str">
        <f>IF(C3179=1,0,IF(D3178=1,E3178+1,0))</f>
      </c>
      <c r="F3179" s="5" t="str">
        <f>IF(AND(C3179=1,D3178=1),MIN(E3178,3),"")</f>
      </c>
    </row>
    <row r="3180">
      <c r="A3180" s="6">
        <v>142</v>
      </c>
      <c r="B3180" s="6" t="str">
        <f>'Lineal Mixto'!$C$146</f>
      </c>
      <c r="C3180" s="6" t="str">
        <f>IF(AND(B3180&gt;=$B$3034,B3180&lt;=$B$3035),1,0)</f>
      </c>
      <c r="D3180" s="6" t="str">
        <f>IF(OR(D3179=1,C3180=1),1,0)</f>
      </c>
      <c r="E3180" s="6" t="str">
        <f>IF(C3180=1,0,IF(D3179=1,E3179+1,0))</f>
      </c>
      <c r="F3180" s="6" t="str">
        <f>IF(AND(C3180=1,D3179=1),MIN(E3179,3),"")</f>
      </c>
    </row>
    <row r="3181">
      <c r="A3181" s="5">
        <v>143</v>
      </c>
      <c r="B3181" s="5" t="str">
        <f>'Lineal Mixto'!$C$147</f>
      </c>
      <c r="C3181" s="5" t="str">
        <f>IF(AND(B3181&gt;=$B$3034,B3181&lt;=$B$3035),1,0)</f>
      </c>
      <c r="D3181" s="5" t="str">
        <f>IF(OR(D3180=1,C3181=1),1,0)</f>
      </c>
      <c r="E3181" s="5" t="str">
        <f>IF(C3181=1,0,IF(D3180=1,E3180+1,0))</f>
      </c>
      <c r="F3181" s="5" t="str">
        <f>IF(AND(C3181=1,D3180=1),MIN(E3180,3),"")</f>
      </c>
    </row>
    <row r="3182">
      <c r="A3182" s="6">
        <v>144</v>
      </c>
      <c r="B3182" s="6" t="str">
        <f>'Lineal Mixto'!$C$148</f>
      </c>
      <c r="C3182" s="6" t="str">
        <f>IF(AND(B3182&gt;=$B$3034,B3182&lt;=$B$3035),1,0)</f>
      </c>
      <c r="D3182" s="6" t="str">
        <f>IF(OR(D3181=1,C3182=1),1,0)</f>
      </c>
      <c r="E3182" s="6" t="str">
        <f>IF(C3182=1,0,IF(D3181=1,E3181+1,0))</f>
      </c>
      <c r="F3182" s="6" t="str">
        <f>IF(AND(C3182=1,D3181=1),MIN(E3181,3),"")</f>
      </c>
    </row>
    <row r="3183">
      <c r="A3183" s="5">
        <v>145</v>
      </c>
      <c r="B3183" s="5" t="str">
        <f>'Lineal Mixto'!$C$149</f>
      </c>
      <c r="C3183" s="5" t="str">
        <f>IF(AND(B3183&gt;=$B$3034,B3183&lt;=$B$3035),1,0)</f>
      </c>
      <c r="D3183" s="5" t="str">
        <f>IF(OR(D3182=1,C3183=1),1,0)</f>
      </c>
      <c r="E3183" s="5" t="str">
        <f>IF(C3183=1,0,IF(D3182=1,E3182+1,0))</f>
      </c>
      <c r="F3183" s="5" t="str">
        <f>IF(AND(C3183=1,D3182=1),MIN(E3182,3),"")</f>
      </c>
    </row>
    <row r="3184">
      <c r="A3184" s="6">
        <v>146</v>
      </c>
      <c r="B3184" s="6" t="str">
        <f>'Lineal Mixto'!$C$150</f>
      </c>
      <c r="C3184" s="6" t="str">
        <f>IF(AND(B3184&gt;=$B$3034,B3184&lt;=$B$3035),1,0)</f>
      </c>
      <c r="D3184" s="6" t="str">
        <f>IF(OR(D3183=1,C3184=1),1,0)</f>
      </c>
      <c r="E3184" s="6" t="str">
        <f>IF(C3184=1,0,IF(D3183=1,E3183+1,0))</f>
      </c>
      <c r="F3184" s="6" t="str">
        <f>IF(AND(C3184=1,D3183=1),MIN(E3183,3),"")</f>
      </c>
    </row>
    <row r="3185">
      <c r="A3185" s="5">
        <v>147</v>
      </c>
      <c r="B3185" s="5" t="str">
        <f>'Lineal Mixto'!$C$151</f>
      </c>
      <c r="C3185" s="5" t="str">
        <f>IF(AND(B3185&gt;=$B$3034,B3185&lt;=$B$3035),1,0)</f>
      </c>
      <c r="D3185" s="5" t="str">
        <f>IF(OR(D3184=1,C3185=1),1,0)</f>
      </c>
      <c r="E3185" s="5" t="str">
        <f>IF(C3185=1,0,IF(D3184=1,E3184+1,0))</f>
      </c>
      <c r="F3185" s="5" t="str">
        <f>IF(AND(C3185=1,D3184=1),MIN(E3184,3),"")</f>
      </c>
    </row>
    <row r="3186">
      <c r="A3186" s="6">
        <v>148</v>
      </c>
      <c r="B3186" s="6" t="str">
        <f>'Lineal Mixto'!$C$152</f>
      </c>
      <c r="C3186" s="6" t="str">
        <f>IF(AND(B3186&gt;=$B$3034,B3186&lt;=$B$3035),1,0)</f>
      </c>
      <c r="D3186" s="6" t="str">
        <f>IF(OR(D3185=1,C3186=1),1,0)</f>
      </c>
      <c r="E3186" s="6" t="str">
        <f>IF(C3186=1,0,IF(D3185=1,E3185+1,0))</f>
      </c>
      <c r="F3186" s="6" t="str">
        <f>IF(AND(C3186=1,D3185=1),MIN(E3185,3),"")</f>
      </c>
    </row>
    <row r="3187">
      <c r="A3187" s="5">
        <v>149</v>
      </c>
      <c r="B3187" s="5" t="str">
        <f>'Lineal Mixto'!$C$153</f>
      </c>
      <c r="C3187" s="5" t="str">
        <f>IF(AND(B3187&gt;=$B$3034,B3187&lt;=$B$3035),1,0)</f>
      </c>
      <c r="D3187" s="5" t="str">
        <f>IF(OR(D3186=1,C3187=1),1,0)</f>
      </c>
      <c r="E3187" s="5" t="str">
        <f>IF(C3187=1,0,IF(D3186=1,E3186+1,0))</f>
      </c>
      <c r="F3187" s="5" t="str">
        <f>IF(AND(C3187=1,D3186=1),MIN(E3186,3),"")</f>
      </c>
    </row>
    <row r="3188">
      <c r="A3188" s="6">
        <v>150</v>
      </c>
      <c r="B3188" s="6" t="str">
        <f>'Lineal Mixto'!$C$154</f>
      </c>
      <c r="C3188" s="6" t="str">
        <f>IF(AND(B3188&gt;=$B$3034,B3188&lt;=$B$3035),1,0)</f>
      </c>
      <c r="D3188" s="6" t="str">
        <f>IF(OR(D3187=1,C3188=1),1,0)</f>
      </c>
      <c r="E3188" s="6" t="str">
        <f>IF(C3188=1,0,IF(D3187=1,E3187+1,0))</f>
      </c>
      <c r="F3188" s="6" t="str">
        <f>IF(AND(C3188=1,D3187=1),MIN(E3187,3),"")</f>
      </c>
    </row>
    <row r="3189">
      <c r="A3189" s="5">
        <v>151</v>
      </c>
      <c r="B3189" s="5" t="str">
        <f>'Lineal Mixto'!$C$155</f>
      </c>
      <c r="C3189" s="5" t="str">
        <f>IF(AND(B3189&gt;=$B$3034,B3189&lt;=$B$3035),1,0)</f>
      </c>
      <c r="D3189" s="5" t="str">
        <f>IF(OR(D3188=1,C3189=1),1,0)</f>
      </c>
      <c r="E3189" s="5" t="str">
        <f>IF(C3189=1,0,IF(D3188=1,E3188+1,0))</f>
      </c>
      <c r="F3189" s="5" t="str">
        <f>IF(AND(C3189=1,D3188=1),MIN(E3188,3),"")</f>
      </c>
    </row>
    <row r="3190">
      <c r="A3190" s="6">
        <v>152</v>
      </c>
      <c r="B3190" s="6" t="str">
        <f>'Lineal Mixto'!$C$156</f>
      </c>
      <c r="C3190" s="6" t="str">
        <f>IF(AND(B3190&gt;=$B$3034,B3190&lt;=$B$3035),1,0)</f>
      </c>
      <c r="D3190" s="6" t="str">
        <f>IF(OR(D3189=1,C3190=1),1,0)</f>
      </c>
      <c r="E3190" s="6" t="str">
        <f>IF(C3190=1,0,IF(D3189=1,E3189+1,0))</f>
      </c>
      <c r="F3190" s="6" t="str">
        <f>IF(AND(C3190=1,D3189=1),MIN(E3189,3),"")</f>
      </c>
    </row>
    <row r="3191">
      <c r="A3191" s="5">
        <v>153</v>
      </c>
      <c r="B3191" s="5" t="str">
        <f>'Lineal Mixto'!$C$157</f>
      </c>
      <c r="C3191" s="5" t="str">
        <f>IF(AND(B3191&gt;=$B$3034,B3191&lt;=$B$3035),1,0)</f>
      </c>
      <c r="D3191" s="5" t="str">
        <f>IF(OR(D3190=1,C3191=1),1,0)</f>
      </c>
      <c r="E3191" s="5" t="str">
        <f>IF(C3191=1,0,IF(D3190=1,E3190+1,0))</f>
      </c>
      <c r="F3191" s="5" t="str">
        <f>IF(AND(C3191=1,D3190=1),MIN(E3190,3),"")</f>
      </c>
    </row>
    <row r="3192">
      <c r="A3192" s="6">
        <v>154</v>
      </c>
      <c r="B3192" s="6" t="str">
        <f>'Lineal Mixto'!$C$158</f>
      </c>
      <c r="C3192" s="6" t="str">
        <f>IF(AND(B3192&gt;=$B$3034,B3192&lt;=$B$3035),1,0)</f>
      </c>
      <c r="D3192" s="6" t="str">
        <f>IF(OR(D3191=1,C3192=1),1,0)</f>
      </c>
      <c r="E3192" s="6" t="str">
        <f>IF(C3192=1,0,IF(D3191=1,E3191+1,0))</f>
      </c>
      <c r="F3192" s="6" t="str">
        <f>IF(AND(C3192=1,D3191=1),MIN(E3191,3),"")</f>
      </c>
    </row>
    <row r="3193">
      <c r="A3193" s="5">
        <v>155</v>
      </c>
      <c r="B3193" s="5" t="str">
        <f>'Lineal Mixto'!$C$159</f>
      </c>
      <c r="C3193" s="5" t="str">
        <f>IF(AND(B3193&gt;=$B$3034,B3193&lt;=$B$3035),1,0)</f>
      </c>
      <c r="D3193" s="5" t="str">
        <f>IF(OR(D3192=1,C3193=1),1,0)</f>
      </c>
      <c r="E3193" s="5" t="str">
        <f>IF(C3193=1,0,IF(D3192=1,E3192+1,0))</f>
      </c>
      <c r="F3193" s="5" t="str">
        <f>IF(AND(C3193=1,D3192=1),MIN(E3192,3),"")</f>
      </c>
    </row>
    <row r="3194">
      <c r="A3194" s="6">
        <v>156</v>
      </c>
      <c r="B3194" s="6" t="str">
        <f>'Lineal Mixto'!$C$160</f>
      </c>
      <c r="C3194" s="6" t="str">
        <f>IF(AND(B3194&gt;=$B$3034,B3194&lt;=$B$3035),1,0)</f>
      </c>
      <c r="D3194" s="6" t="str">
        <f>IF(OR(D3193=1,C3194=1),1,0)</f>
      </c>
      <c r="E3194" s="6" t="str">
        <f>IF(C3194=1,0,IF(D3193=1,E3193+1,0))</f>
      </c>
      <c r="F3194" s="6" t="str">
        <f>IF(AND(C3194=1,D3193=1),MIN(E3193,3),"")</f>
      </c>
    </row>
    <row r="3195">
      <c r="A3195" s="5">
        <v>157</v>
      </c>
      <c r="B3195" s="5" t="str">
        <f>'Lineal Mixto'!$C$161</f>
      </c>
      <c r="C3195" s="5" t="str">
        <f>IF(AND(B3195&gt;=$B$3034,B3195&lt;=$B$3035),1,0)</f>
      </c>
      <c r="D3195" s="5" t="str">
        <f>IF(OR(D3194=1,C3195=1),1,0)</f>
      </c>
      <c r="E3195" s="5" t="str">
        <f>IF(C3195=1,0,IF(D3194=1,E3194+1,0))</f>
      </c>
      <c r="F3195" s="5" t="str">
        <f>IF(AND(C3195=1,D3194=1),MIN(E3194,3),"")</f>
      </c>
    </row>
    <row r="3196">
      <c r="A3196" s="6">
        <v>158</v>
      </c>
      <c r="B3196" s="6" t="str">
        <f>'Lineal Mixto'!$C$162</f>
      </c>
      <c r="C3196" s="6" t="str">
        <f>IF(AND(B3196&gt;=$B$3034,B3196&lt;=$B$3035),1,0)</f>
      </c>
      <c r="D3196" s="6" t="str">
        <f>IF(OR(D3195=1,C3196=1),1,0)</f>
      </c>
      <c r="E3196" s="6" t="str">
        <f>IF(C3196=1,0,IF(D3195=1,E3195+1,0))</f>
      </c>
      <c r="F3196" s="6" t="str">
        <f>IF(AND(C3196=1,D3195=1),MIN(E3195,3),"")</f>
      </c>
    </row>
    <row r="3197">
      <c r="A3197" s="5">
        <v>159</v>
      </c>
      <c r="B3197" s="5" t="str">
        <f>'Lineal Mixto'!$C$163</f>
      </c>
      <c r="C3197" s="5" t="str">
        <f>IF(AND(B3197&gt;=$B$3034,B3197&lt;=$B$3035),1,0)</f>
      </c>
      <c r="D3197" s="5" t="str">
        <f>IF(OR(D3196=1,C3197=1),1,0)</f>
      </c>
      <c r="E3197" s="5" t="str">
        <f>IF(C3197=1,0,IF(D3196=1,E3196+1,0))</f>
      </c>
      <c r="F3197" s="5" t="str">
        <f>IF(AND(C3197=1,D3196=1),MIN(E3196,3),"")</f>
      </c>
    </row>
    <row r="3198">
      <c r="A3198" s="6">
        <v>160</v>
      </c>
      <c r="B3198" s="6" t="str">
        <f>'Lineal Mixto'!$C$164</f>
      </c>
      <c r="C3198" s="6" t="str">
        <f>IF(AND(B3198&gt;=$B$3034,B3198&lt;=$B$3035),1,0)</f>
      </c>
      <c r="D3198" s="6" t="str">
        <f>IF(OR(D3197=1,C3198=1),1,0)</f>
      </c>
      <c r="E3198" s="6" t="str">
        <f>IF(C3198=1,0,IF(D3197=1,E3197+1,0))</f>
      </c>
      <c r="F3198" s="6" t="str">
        <f>IF(AND(C3198=1,D3197=1),MIN(E3197,3),"")</f>
      </c>
    </row>
    <row r="3199">
      <c r="A3199" s="5">
        <v>161</v>
      </c>
      <c r="B3199" s="5" t="str">
        <f>'Lineal Mixto'!$C$165</f>
      </c>
      <c r="C3199" s="5" t="str">
        <f>IF(AND(B3199&gt;=$B$3034,B3199&lt;=$B$3035),1,0)</f>
      </c>
      <c r="D3199" s="5" t="str">
        <f>IF(OR(D3198=1,C3199=1),1,0)</f>
      </c>
      <c r="E3199" s="5" t="str">
        <f>IF(C3199=1,0,IF(D3198=1,E3198+1,0))</f>
      </c>
      <c r="F3199" s="5" t="str">
        <f>IF(AND(C3199=1,D3198=1),MIN(E3198,3),"")</f>
      </c>
    </row>
    <row r="3200">
      <c r="A3200" s="6">
        <v>162</v>
      </c>
      <c r="B3200" s="6" t="str">
        <f>'Lineal Mixto'!$C$166</f>
      </c>
      <c r="C3200" s="6" t="str">
        <f>IF(AND(B3200&gt;=$B$3034,B3200&lt;=$B$3035),1,0)</f>
      </c>
      <c r="D3200" s="6" t="str">
        <f>IF(OR(D3199=1,C3200=1),1,0)</f>
      </c>
      <c r="E3200" s="6" t="str">
        <f>IF(C3200=1,0,IF(D3199=1,E3199+1,0))</f>
      </c>
      <c r="F3200" s="6" t="str">
        <f>IF(AND(C3200=1,D3199=1),MIN(E3199,3),"")</f>
      </c>
    </row>
    <row r="3201">
      <c r="A3201" s="5">
        <v>163</v>
      </c>
      <c r="B3201" s="5" t="str">
        <f>'Lineal Mixto'!$C$167</f>
      </c>
      <c r="C3201" s="5" t="str">
        <f>IF(AND(B3201&gt;=$B$3034,B3201&lt;=$B$3035),1,0)</f>
      </c>
      <c r="D3201" s="5" t="str">
        <f>IF(OR(D3200=1,C3201=1),1,0)</f>
      </c>
      <c r="E3201" s="5" t="str">
        <f>IF(C3201=1,0,IF(D3200=1,E3200+1,0))</f>
      </c>
      <c r="F3201" s="5" t="str">
        <f>IF(AND(C3201=1,D3200=1),MIN(E3200,3),"")</f>
      </c>
    </row>
    <row r="3202">
      <c r="A3202" s="6">
        <v>164</v>
      </c>
      <c r="B3202" s="6" t="str">
        <f>'Lineal Mixto'!$C$168</f>
      </c>
      <c r="C3202" s="6" t="str">
        <f>IF(AND(B3202&gt;=$B$3034,B3202&lt;=$B$3035),1,0)</f>
      </c>
      <c r="D3202" s="6" t="str">
        <f>IF(OR(D3201=1,C3202=1),1,0)</f>
      </c>
      <c r="E3202" s="6" t="str">
        <f>IF(C3202=1,0,IF(D3201=1,E3201+1,0))</f>
      </c>
      <c r="F3202" s="6" t="str">
        <f>IF(AND(C3202=1,D3201=1),MIN(E3201,3),"")</f>
      </c>
    </row>
    <row r="3203">
      <c r="A3203" s="5">
        <v>165</v>
      </c>
      <c r="B3203" s="5" t="str">
        <f>'Lineal Mixto'!$C$169</f>
      </c>
      <c r="C3203" s="5" t="str">
        <f>IF(AND(B3203&gt;=$B$3034,B3203&lt;=$B$3035),1,0)</f>
      </c>
      <c r="D3203" s="5" t="str">
        <f>IF(OR(D3202=1,C3203=1),1,0)</f>
      </c>
      <c r="E3203" s="5" t="str">
        <f>IF(C3203=1,0,IF(D3202=1,E3202+1,0))</f>
      </c>
      <c r="F3203" s="5" t="str">
        <f>IF(AND(C3203=1,D3202=1),MIN(E3202,3),"")</f>
      </c>
    </row>
    <row r="3204">
      <c r="A3204" s="6">
        <v>166</v>
      </c>
      <c r="B3204" s="6" t="str">
        <f>'Lineal Mixto'!$C$170</f>
      </c>
      <c r="C3204" s="6" t="str">
        <f>IF(AND(B3204&gt;=$B$3034,B3204&lt;=$B$3035),1,0)</f>
      </c>
      <c r="D3204" s="6" t="str">
        <f>IF(OR(D3203=1,C3204=1),1,0)</f>
      </c>
      <c r="E3204" s="6" t="str">
        <f>IF(C3204=1,0,IF(D3203=1,E3203+1,0))</f>
      </c>
      <c r="F3204" s="6" t="str">
        <f>IF(AND(C3204=1,D3203=1),MIN(E3203,3),"")</f>
      </c>
    </row>
    <row r="3205">
      <c r="A3205" s="5">
        <v>167</v>
      </c>
      <c r="B3205" s="5" t="str">
        <f>'Lineal Mixto'!$C$171</f>
      </c>
      <c r="C3205" s="5" t="str">
        <f>IF(AND(B3205&gt;=$B$3034,B3205&lt;=$B$3035),1,0)</f>
      </c>
      <c r="D3205" s="5" t="str">
        <f>IF(OR(D3204=1,C3205=1),1,0)</f>
      </c>
      <c r="E3205" s="5" t="str">
        <f>IF(C3205=1,0,IF(D3204=1,E3204+1,0))</f>
      </c>
      <c r="F3205" s="5" t="str">
        <f>IF(AND(C3205=1,D3204=1),MIN(E3204,3),"")</f>
      </c>
    </row>
    <row r="3206">
      <c r="A3206" s="6">
        <v>168</v>
      </c>
      <c r="B3206" s="6" t="str">
        <f>'Lineal Mixto'!$C$172</f>
      </c>
      <c r="C3206" s="6" t="str">
        <f>IF(AND(B3206&gt;=$B$3034,B3206&lt;=$B$3035),1,0)</f>
      </c>
      <c r="D3206" s="6" t="str">
        <f>IF(OR(D3205=1,C3206=1),1,0)</f>
      </c>
      <c r="E3206" s="6" t="str">
        <f>IF(C3206=1,0,IF(D3205=1,E3205+1,0))</f>
      </c>
      <c r="F3206" s="6" t="str">
        <f>IF(AND(C3206=1,D3205=1),MIN(E3205,3),"")</f>
      </c>
    </row>
    <row r="3207">
      <c r="A3207" s="5">
        <v>169</v>
      </c>
      <c r="B3207" s="5" t="str">
        <f>'Lineal Mixto'!$C$173</f>
      </c>
      <c r="C3207" s="5" t="str">
        <f>IF(AND(B3207&gt;=$B$3034,B3207&lt;=$B$3035),1,0)</f>
      </c>
      <c r="D3207" s="5" t="str">
        <f>IF(OR(D3206=1,C3207=1),1,0)</f>
      </c>
      <c r="E3207" s="5" t="str">
        <f>IF(C3207=1,0,IF(D3206=1,E3206+1,0))</f>
      </c>
      <c r="F3207" s="5" t="str">
        <f>IF(AND(C3207=1,D3206=1),MIN(E3206,3),"")</f>
      </c>
    </row>
    <row r="3208">
      <c r="A3208" s="6">
        <v>170</v>
      </c>
      <c r="B3208" s="6" t="str">
        <f>'Lineal Mixto'!$C$174</f>
      </c>
      <c r="C3208" s="6" t="str">
        <f>IF(AND(B3208&gt;=$B$3034,B3208&lt;=$B$3035),1,0)</f>
      </c>
      <c r="D3208" s="6" t="str">
        <f>IF(OR(D3207=1,C3208=1),1,0)</f>
      </c>
      <c r="E3208" s="6" t="str">
        <f>IF(C3208=1,0,IF(D3207=1,E3207+1,0))</f>
      </c>
      <c r="F3208" s="6" t="str">
        <f>IF(AND(C3208=1,D3207=1),MIN(E3207,3),"")</f>
      </c>
    </row>
    <row r="3209">
      <c r="A3209" s="5">
        <v>171</v>
      </c>
      <c r="B3209" s="5" t="str">
        <f>'Lineal Mixto'!$C$175</f>
      </c>
      <c r="C3209" s="5" t="str">
        <f>IF(AND(B3209&gt;=$B$3034,B3209&lt;=$B$3035),1,0)</f>
      </c>
      <c r="D3209" s="5" t="str">
        <f>IF(OR(D3208=1,C3209=1),1,0)</f>
      </c>
      <c r="E3209" s="5" t="str">
        <f>IF(C3209=1,0,IF(D3208=1,E3208+1,0))</f>
      </c>
      <c r="F3209" s="5" t="str">
        <f>IF(AND(C3209=1,D3208=1),MIN(E3208,3),"")</f>
      </c>
    </row>
    <row r="3210">
      <c r="A3210" s="6">
        <v>172</v>
      </c>
      <c r="B3210" s="6" t="str">
        <f>'Lineal Mixto'!$C$176</f>
      </c>
      <c r="C3210" s="6" t="str">
        <f>IF(AND(B3210&gt;=$B$3034,B3210&lt;=$B$3035),1,0)</f>
      </c>
      <c r="D3210" s="6" t="str">
        <f>IF(OR(D3209=1,C3210=1),1,0)</f>
      </c>
      <c r="E3210" s="6" t="str">
        <f>IF(C3210=1,0,IF(D3209=1,E3209+1,0))</f>
      </c>
      <c r="F3210" s="6" t="str">
        <f>IF(AND(C3210=1,D3209=1),MIN(E3209,3),"")</f>
      </c>
    </row>
    <row r="3211">
      <c r="A3211" s="5">
        <v>173</v>
      </c>
      <c r="B3211" s="5" t="str">
        <f>'Lineal Mixto'!$C$177</f>
      </c>
      <c r="C3211" s="5" t="str">
        <f>IF(AND(B3211&gt;=$B$3034,B3211&lt;=$B$3035),1,0)</f>
      </c>
      <c r="D3211" s="5" t="str">
        <f>IF(OR(D3210=1,C3211=1),1,0)</f>
      </c>
      <c r="E3211" s="5" t="str">
        <f>IF(C3211=1,0,IF(D3210=1,E3210+1,0))</f>
      </c>
      <c r="F3211" s="5" t="str">
        <f>IF(AND(C3211=1,D3210=1),MIN(E3210,3),"")</f>
      </c>
    </row>
    <row r="3212">
      <c r="A3212" s="6">
        <v>174</v>
      </c>
      <c r="B3212" s="6" t="str">
        <f>'Lineal Mixto'!$C$178</f>
      </c>
      <c r="C3212" s="6" t="str">
        <f>IF(AND(B3212&gt;=$B$3034,B3212&lt;=$B$3035),1,0)</f>
      </c>
      <c r="D3212" s="6" t="str">
        <f>IF(OR(D3211=1,C3212=1),1,0)</f>
      </c>
      <c r="E3212" s="6" t="str">
        <f>IF(C3212=1,0,IF(D3211=1,E3211+1,0))</f>
      </c>
      <c r="F3212" s="6" t="str">
        <f>IF(AND(C3212=1,D3211=1),MIN(E3211,3),"")</f>
      </c>
    </row>
    <row r="3213">
      <c r="A3213" s="5">
        <v>175</v>
      </c>
      <c r="B3213" s="5" t="str">
        <f>'Lineal Mixto'!$C$179</f>
      </c>
      <c r="C3213" s="5" t="str">
        <f>IF(AND(B3213&gt;=$B$3034,B3213&lt;=$B$3035),1,0)</f>
      </c>
      <c r="D3213" s="5" t="str">
        <f>IF(OR(D3212=1,C3213=1),1,0)</f>
      </c>
      <c r="E3213" s="5" t="str">
        <f>IF(C3213=1,0,IF(D3212=1,E3212+1,0))</f>
      </c>
      <c r="F3213" s="5" t="str">
        <f>IF(AND(C3213=1,D3212=1),MIN(E3212,3),"")</f>
      </c>
    </row>
    <row r="3214">
      <c r="A3214" s="6">
        <v>176</v>
      </c>
      <c r="B3214" s="6" t="str">
        <f>'Lineal Mixto'!$C$180</f>
      </c>
      <c r="C3214" s="6" t="str">
        <f>IF(AND(B3214&gt;=$B$3034,B3214&lt;=$B$3035),1,0)</f>
      </c>
      <c r="D3214" s="6" t="str">
        <f>IF(OR(D3213=1,C3214=1),1,0)</f>
      </c>
      <c r="E3214" s="6" t="str">
        <f>IF(C3214=1,0,IF(D3213=1,E3213+1,0))</f>
      </c>
      <c r="F3214" s="6" t="str">
        <f>IF(AND(C3214=1,D3213=1),MIN(E3213,3),"")</f>
      </c>
    </row>
    <row r="3215">
      <c r="A3215" s="5">
        <v>177</v>
      </c>
      <c r="B3215" s="5" t="str">
        <f>'Lineal Mixto'!$C$181</f>
      </c>
      <c r="C3215" s="5" t="str">
        <f>IF(AND(B3215&gt;=$B$3034,B3215&lt;=$B$3035),1,0)</f>
      </c>
      <c r="D3215" s="5" t="str">
        <f>IF(OR(D3214=1,C3215=1),1,0)</f>
      </c>
      <c r="E3215" s="5" t="str">
        <f>IF(C3215=1,0,IF(D3214=1,E3214+1,0))</f>
      </c>
      <c r="F3215" s="5" t="str">
        <f>IF(AND(C3215=1,D3214=1),MIN(E3214,3),"")</f>
      </c>
    </row>
    <row r="3216">
      <c r="A3216" s="6">
        <v>178</v>
      </c>
      <c r="B3216" s="6" t="str">
        <f>'Lineal Mixto'!$C$182</f>
      </c>
      <c r="C3216" s="6" t="str">
        <f>IF(AND(B3216&gt;=$B$3034,B3216&lt;=$B$3035),1,0)</f>
      </c>
      <c r="D3216" s="6" t="str">
        <f>IF(OR(D3215=1,C3216=1),1,0)</f>
      </c>
      <c r="E3216" s="6" t="str">
        <f>IF(C3216=1,0,IF(D3215=1,E3215+1,0))</f>
      </c>
      <c r="F3216" s="6" t="str">
        <f>IF(AND(C3216=1,D3215=1),MIN(E3215,3),"")</f>
      </c>
    </row>
    <row r="3217">
      <c r="A3217" s="5">
        <v>179</v>
      </c>
      <c r="B3217" s="5" t="str">
        <f>'Lineal Mixto'!$C$183</f>
      </c>
      <c r="C3217" s="5" t="str">
        <f>IF(AND(B3217&gt;=$B$3034,B3217&lt;=$B$3035),1,0)</f>
      </c>
      <c r="D3217" s="5" t="str">
        <f>IF(OR(D3216=1,C3217=1),1,0)</f>
      </c>
      <c r="E3217" s="5" t="str">
        <f>IF(C3217=1,0,IF(D3216=1,E3216+1,0))</f>
      </c>
      <c r="F3217" s="5" t="str">
        <f>IF(AND(C3217=1,D3216=1),MIN(E3216,3),"")</f>
      </c>
    </row>
    <row r="3218">
      <c r="A3218" s="6">
        <v>180</v>
      </c>
      <c r="B3218" s="6" t="str">
        <f>'Lineal Mixto'!$C$184</f>
      </c>
      <c r="C3218" s="6" t="str">
        <f>IF(AND(B3218&gt;=$B$3034,B3218&lt;=$B$3035),1,0)</f>
      </c>
      <c r="D3218" s="6" t="str">
        <f>IF(OR(D3217=1,C3218=1),1,0)</f>
      </c>
      <c r="E3218" s="6" t="str">
        <f>IF(C3218=1,0,IF(D3217=1,E3217+1,0))</f>
      </c>
      <c r="F3218" s="6" t="str">
        <f>IF(AND(C3218=1,D3217=1),MIN(E3217,3),"")</f>
      </c>
    </row>
    <row r="3219">
      <c r="A3219" s="5">
        <v>181</v>
      </c>
      <c r="B3219" s="5" t="str">
        <f>'Lineal Mixto'!$C$185</f>
      </c>
      <c r="C3219" s="5" t="str">
        <f>IF(AND(B3219&gt;=$B$3034,B3219&lt;=$B$3035),1,0)</f>
      </c>
      <c r="D3219" s="5" t="str">
        <f>IF(OR(D3218=1,C3219=1),1,0)</f>
      </c>
      <c r="E3219" s="5" t="str">
        <f>IF(C3219=1,0,IF(D3218=1,E3218+1,0))</f>
      </c>
      <c r="F3219" s="5" t="str">
        <f>IF(AND(C3219=1,D3218=1),MIN(E3218,3),"")</f>
      </c>
    </row>
    <row r="3220">
      <c r="A3220" s="6">
        <v>182</v>
      </c>
      <c r="B3220" s="6" t="str">
        <f>'Lineal Mixto'!$C$186</f>
      </c>
      <c r="C3220" s="6" t="str">
        <f>IF(AND(B3220&gt;=$B$3034,B3220&lt;=$B$3035),1,0)</f>
      </c>
      <c r="D3220" s="6" t="str">
        <f>IF(OR(D3219=1,C3220=1),1,0)</f>
      </c>
      <c r="E3220" s="6" t="str">
        <f>IF(C3220=1,0,IF(D3219=1,E3219+1,0))</f>
      </c>
      <c r="F3220" s="6" t="str">
        <f>IF(AND(C3220=1,D3219=1),MIN(E3219,3),"")</f>
      </c>
    </row>
    <row r="3221">
      <c r="A3221" s="5">
        <v>183</v>
      </c>
      <c r="B3221" s="5" t="str">
        <f>'Lineal Mixto'!$C$187</f>
      </c>
      <c r="C3221" s="5" t="str">
        <f>IF(AND(B3221&gt;=$B$3034,B3221&lt;=$B$3035),1,0)</f>
      </c>
      <c r="D3221" s="5" t="str">
        <f>IF(OR(D3220=1,C3221=1),1,0)</f>
      </c>
      <c r="E3221" s="5" t="str">
        <f>IF(C3221=1,0,IF(D3220=1,E3220+1,0))</f>
      </c>
      <c r="F3221" s="5" t="str">
        <f>IF(AND(C3221=1,D3220=1),MIN(E3220,3),"")</f>
      </c>
    </row>
    <row r="3222">
      <c r="A3222" s="6">
        <v>184</v>
      </c>
      <c r="B3222" s="6" t="str">
        <f>'Lineal Mixto'!$C$188</f>
      </c>
      <c r="C3222" s="6" t="str">
        <f>IF(AND(B3222&gt;=$B$3034,B3222&lt;=$B$3035),1,0)</f>
      </c>
      <c r="D3222" s="6" t="str">
        <f>IF(OR(D3221=1,C3222=1),1,0)</f>
      </c>
      <c r="E3222" s="6" t="str">
        <f>IF(C3222=1,0,IF(D3221=1,E3221+1,0))</f>
      </c>
      <c r="F3222" s="6" t="str">
        <f>IF(AND(C3222=1,D3221=1),MIN(E3221,3),"")</f>
      </c>
    </row>
    <row r="3223">
      <c r="A3223" s="5">
        <v>185</v>
      </c>
      <c r="B3223" s="5" t="str">
        <f>'Lineal Mixto'!$C$189</f>
      </c>
      <c r="C3223" s="5" t="str">
        <f>IF(AND(B3223&gt;=$B$3034,B3223&lt;=$B$3035),1,0)</f>
      </c>
      <c r="D3223" s="5" t="str">
        <f>IF(OR(D3222=1,C3223=1),1,0)</f>
      </c>
      <c r="E3223" s="5" t="str">
        <f>IF(C3223=1,0,IF(D3222=1,E3222+1,0))</f>
      </c>
      <c r="F3223" s="5" t="str">
        <f>IF(AND(C3223=1,D3222=1),MIN(E3222,3),"")</f>
      </c>
    </row>
    <row r="3224">
      <c r="A3224" s="6">
        <v>186</v>
      </c>
      <c r="B3224" s="6" t="str">
        <f>'Lineal Mixto'!$C$190</f>
      </c>
      <c r="C3224" s="6" t="str">
        <f>IF(AND(B3224&gt;=$B$3034,B3224&lt;=$B$3035),1,0)</f>
      </c>
      <c r="D3224" s="6" t="str">
        <f>IF(OR(D3223=1,C3224=1),1,0)</f>
      </c>
      <c r="E3224" s="6" t="str">
        <f>IF(C3224=1,0,IF(D3223=1,E3223+1,0))</f>
      </c>
      <c r="F3224" s="6" t="str">
        <f>IF(AND(C3224=1,D3223=1),MIN(E3223,3),"")</f>
      </c>
    </row>
    <row r="3225">
      <c r="A3225" s="5">
        <v>187</v>
      </c>
      <c r="B3225" s="5" t="str">
        <f>'Lineal Mixto'!$C$191</f>
      </c>
      <c r="C3225" s="5" t="str">
        <f>IF(AND(B3225&gt;=$B$3034,B3225&lt;=$B$3035),1,0)</f>
      </c>
      <c r="D3225" s="5" t="str">
        <f>IF(OR(D3224=1,C3225=1),1,0)</f>
      </c>
      <c r="E3225" s="5" t="str">
        <f>IF(C3225=1,0,IF(D3224=1,E3224+1,0))</f>
      </c>
      <c r="F3225" s="5" t="str">
        <f>IF(AND(C3225=1,D3224=1),MIN(E3224,3),"")</f>
      </c>
    </row>
    <row r="3226">
      <c r="A3226" s="6">
        <v>188</v>
      </c>
      <c r="B3226" s="6" t="str">
        <f>'Lineal Mixto'!$C$192</f>
      </c>
      <c r="C3226" s="6" t="str">
        <f>IF(AND(B3226&gt;=$B$3034,B3226&lt;=$B$3035),1,0)</f>
      </c>
      <c r="D3226" s="6" t="str">
        <f>IF(OR(D3225=1,C3226=1),1,0)</f>
      </c>
      <c r="E3226" s="6" t="str">
        <f>IF(C3226=1,0,IF(D3225=1,E3225+1,0))</f>
      </c>
      <c r="F3226" s="6" t="str">
        <f>IF(AND(C3226=1,D3225=1),MIN(E3225,3),"")</f>
      </c>
    </row>
    <row r="3227">
      <c r="A3227" s="5">
        <v>189</v>
      </c>
      <c r="B3227" s="5" t="str">
        <f>'Lineal Mixto'!$C$193</f>
      </c>
      <c r="C3227" s="5" t="str">
        <f>IF(AND(B3227&gt;=$B$3034,B3227&lt;=$B$3035),1,0)</f>
      </c>
      <c r="D3227" s="5" t="str">
        <f>IF(OR(D3226=1,C3227=1),1,0)</f>
      </c>
      <c r="E3227" s="5" t="str">
        <f>IF(C3227=1,0,IF(D3226=1,E3226+1,0))</f>
      </c>
      <c r="F3227" s="5" t="str">
        <f>IF(AND(C3227=1,D3226=1),MIN(E3226,3),"")</f>
      </c>
    </row>
    <row r="3228">
      <c r="A3228" s="6">
        <v>190</v>
      </c>
      <c r="B3228" s="6" t="str">
        <f>'Lineal Mixto'!$C$194</f>
      </c>
      <c r="C3228" s="6" t="str">
        <f>IF(AND(B3228&gt;=$B$3034,B3228&lt;=$B$3035),1,0)</f>
      </c>
      <c r="D3228" s="6" t="str">
        <f>IF(OR(D3227=1,C3228=1),1,0)</f>
      </c>
      <c r="E3228" s="6" t="str">
        <f>IF(C3228=1,0,IF(D3227=1,E3227+1,0))</f>
      </c>
      <c r="F3228" s="6" t="str">
        <f>IF(AND(C3228=1,D3227=1),MIN(E3227,3),"")</f>
      </c>
    </row>
    <row r="3229">
      <c r="A3229" s="5">
        <v>191</v>
      </c>
      <c r="B3229" s="5" t="str">
        <f>'Lineal Mixto'!$C$195</f>
      </c>
      <c r="C3229" s="5" t="str">
        <f>IF(AND(B3229&gt;=$B$3034,B3229&lt;=$B$3035),1,0)</f>
      </c>
      <c r="D3229" s="5" t="str">
        <f>IF(OR(D3228=1,C3229=1),1,0)</f>
      </c>
      <c r="E3229" s="5" t="str">
        <f>IF(C3229=1,0,IF(D3228=1,E3228+1,0))</f>
      </c>
      <c r="F3229" s="5" t="str">
        <f>IF(AND(C3229=1,D3228=1),MIN(E3228,3),"")</f>
      </c>
    </row>
    <row r="3230">
      <c r="A3230" s="6">
        <v>192</v>
      </c>
      <c r="B3230" s="6" t="str">
        <f>'Lineal Mixto'!$C$196</f>
      </c>
      <c r="C3230" s="6" t="str">
        <f>IF(AND(B3230&gt;=$B$3034,B3230&lt;=$B$3035),1,0)</f>
      </c>
      <c r="D3230" s="6" t="str">
        <f>IF(OR(D3229=1,C3230=1),1,0)</f>
      </c>
      <c r="E3230" s="6" t="str">
        <f>IF(C3230=1,0,IF(D3229=1,E3229+1,0))</f>
      </c>
      <c r="F3230" s="6" t="str">
        <f>IF(AND(C3230=1,D3229=1),MIN(E3229,3),"")</f>
      </c>
    </row>
    <row r="3231">
      <c r="A3231" s="5">
        <v>193</v>
      </c>
      <c r="B3231" s="5" t="str">
        <f>'Lineal Mixto'!$C$197</f>
      </c>
      <c r="C3231" s="5" t="str">
        <f>IF(AND(B3231&gt;=$B$3034,B3231&lt;=$B$3035),1,0)</f>
      </c>
      <c r="D3231" s="5" t="str">
        <f>IF(OR(D3230=1,C3231=1),1,0)</f>
      </c>
      <c r="E3231" s="5" t="str">
        <f>IF(C3231=1,0,IF(D3230=1,E3230+1,0))</f>
      </c>
      <c r="F3231" s="5" t="str">
        <f>IF(AND(C3231=1,D3230=1),MIN(E3230,3),"")</f>
      </c>
    </row>
    <row r="3232">
      <c r="A3232" s="6">
        <v>194</v>
      </c>
      <c r="B3232" s="6" t="str">
        <f>'Lineal Mixto'!$C$198</f>
      </c>
      <c r="C3232" s="6" t="str">
        <f>IF(AND(B3232&gt;=$B$3034,B3232&lt;=$B$3035),1,0)</f>
      </c>
      <c r="D3232" s="6" t="str">
        <f>IF(OR(D3231=1,C3232=1),1,0)</f>
      </c>
      <c r="E3232" s="6" t="str">
        <f>IF(C3232=1,0,IF(D3231=1,E3231+1,0))</f>
      </c>
      <c r="F3232" s="6" t="str">
        <f>IF(AND(C3232=1,D3231=1),MIN(E3231,3),"")</f>
      </c>
    </row>
    <row r="3233">
      <c r="A3233" s="5">
        <v>195</v>
      </c>
      <c r="B3233" s="5" t="str">
        <f>'Lineal Mixto'!$C$199</f>
      </c>
      <c r="C3233" s="5" t="str">
        <f>IF(AND(B3233&gt;=$B$3034,B3233&lt;=$B$3035),1,0)</f>
      </c>
      <c r="D3233" s="5" t="str">
        <f>IF(OR(D3232=1,C3233=1),1,0)</f>
      </c>
      <c r="E3233" s="5" t="str">
        <f>IF(C3233=1,0,IF(D3232=1,E3232+1,0))</f>
      </c>
      <c r="F3233" s="5" t="str">
        <f>IF(AND(C3233=1,D3232=1),MIN(E3232,3),"")</f>
      </c>
    </row>
    <row r="3234">
      <c r="A3234" s="6">
        <v>196</v>
      </c>
      <c r="B3234" s="6" t="str">
        <f>'Lineal Mixto'!$C$200</f>
      </c>
      <c r="C3234" s="6" t="str">
        <f>IF(AND(B3234&gt;=$B$3034,B3234&lt;=$B$3035),1,0)</f>
      </c>
      <c r="D3234" s="6" t="str">
        <f>IF(OR(D3233=1,C3234=1),1,0)</f>
      </c>
      <c r="E3234" s="6" t="str">
        <f>IF(C3234=1,0,IF(D3233=1,E3233+1,0))</f>
      </c>
      <c r="F3234" s="6" t="str">
        <f>IF(AND(C3234=1,D3233=1),MIN(E3233,3),"")</f>
      </c>
    </row>
    <row r="3235">
      <c r="A3235" s="5">
        <v>197</v>
      </c>
      <c r="B3235" s="5" t="str">
        <f>'Lineal Mixto'!$C$201</f>
      </c>
      <c r="C3235" s="5" t="str">
        <f>IF(AND(B3235&gt;=$B$3034,B3235&lt;=$B$3035),1,0)</f>
      </c>
      <c r="D3235" s="5" t="str">
        <f>IF(OR(D3234=1,C3235=1),1,0)</f>
      </c>
      <c r="E3235" s="5" t="str">
        <f>IF(C3235=1,0,IF(D3234=1,E3234+1,0))</f>
      </c>
      <c r="F3235" s="5" t="str">
        <f>IF(AND(C3235=1,D3234=1),MIN(E3234,3),"")</f>
      </c>
    </row>
    <row r="3236">
      <c r="A3236" s="6">
        <v>198</v>
      </c>
      <c r="B3236" s="6" t="str">
        <f>'Lineal Mixto'!$C$202</f>
      </c>
      <c r="C3236" s="6" t="str">
        <f>IF(AND(B3236&gt;=$B$3034,B3236&lt;=$B$3035),1,0)</f>
      </c>
      <c r="D3236" s="6" t="str">
        <f>IF(OR(D3235=1,C3236=1),1,0)</f>
      </c>
      <c r="E3236" s="6" t="str">
        <f>IF(C3236=1,0,IF(D3235=1,E3235+1,0))</f>
      </c>
      <c r="F3236" s="6" t="str">
        <f>IF(AND(C3236=1,D3235=1),MIN(E3235,3),"")</f>
      </c>
    </row>
    <row r="3237">
      <c r="A3237" s="5">
        <v>199</v>
      </c>
      <c r="B3237" s="5" t="str">
        <f>'Lineal Mixto'!$C$203</f>
      </c>
      <c r="C3237" s="5" t="str">
        <f>IF(AND(B3237&gt;=$B$3034,B3237&lt;=$B$3035),1,0)</f>
      </c>
      <c r="D3237" s="5" t="str">
        <f>IF(OR(D3236=1,C3237=1),1,0)</f>
      </c>
      <c r="E3237" s="5" t="str">
        <f>IF(C3237=1,0,IF(D3236=1,E3236+1,0))</f>
      </c>
      <c r="F3237" s="5" t="str">
        <f>IF(AND(C3237=1,D3236=1),MIN(E3236,3),"")</f>
      </c>
    </row>
    <row r="3238">
      <c r="A3238" s="6">
        <v>200</v>
      </c>
      <c r="B3238" s="6" t="str">
        <f>'Lineal Mixto'!$C$204</f>
      </c>
      <c r="C3238" s="6" t="str">
        <f>IF(AND(B3238&gt;=$B$3034,B3238&lt;=$B$3035),1,0)</f>
      </c>
      <c r="D3238" s="6" t="str">
        <f>IF(OR(D3237=1,C3238=1),1,0)</f>
      </c>
      <c r="E3238" s="6" t="str">
        <f>IF(C3238=1,0,IF(D3237=1,E3237+1,0))</f>
      </c>
      <c r="F3238" s="6" t="str">
        <f>IF(AND(C3238=1,D3237=1),MIN(E3237,3),"")</f>
      </c>
    </row>
    <row r="3239">
      <c r="A3239" s="5">
        <v>201</v>
      </c>
      <c r="B3239" s="5" t="str">
        <f>'Lineal Mixto'!$C$205</f>
      </c>
      <c r="C3239" s="5" t="str">
        <f>IF(AND(B3239&gt;=$B$3034,B3239&lt;=$B$3035),1,0)</f>
      </c>
      <c r="D3239" s="5" t="str">
        <f>IF(OR(D3238=1,C3239=1),1,0)</f>
      </c>
      <c r="E3239" s="5" t="str">
        <f>IF(C3239=1,0,IF(D3238=1,E3238+1,0))</f>
      </c>
      <c r="F3239" s="5" t="str">
        <f>IF(AND(C3239=1,D3238=1),MIN(E3238,3),"")</f>
      </c>
    </row>
    <row r="3240">
      <c r="A3240" s="6">
        <v>202</v>
      </c>
      <c r="B3240" s="6" t="str">
        <f>'Lineal Mixto'!$C$206</f>
      </c>
      <c r="C3240" s="6" t="str">
        <f>IF(AND(B3240&gt;=$B$3034,B3240&lt;=$B$3035),1,0)</f>
      </c>
      <c r="D3240" s="6" t="str">
        <f>IF(OR(D3239=1,C3240=1),1,0)</f>
      </c>
      <c r="E3240" s="6" t="str">
        <f>IF(C3240=1,0,IF(D3239=1,E3239+1,0))</f>
      </c>
      <c r="F3240" s="6" t="str">
        <f>IF(AND(C3240=1,D3239=1),MIN(E3239,3),"")</f>
      </c>
    </row>
    <row r="3241">
      <c r="A3241" s="5">
        <v>203</v>
      </c>
      <c r="B3241" s="5" t="str">
        <f>'Lineal Mixto'!$C$207</f>
      </c>
      <c r="C3241" s="5" t="str">
        <f>IF(AND(B3241&gt;=$B$3034,B3241&lt;=$B$3035),1,0)</f>
      </c>
      <c r="D3241" s="5" t="str">
        <f>IF(OR(D3240=1,C3241=1),1,0)</f>
      </c>
      <c r="E3241" s="5" t="str">
        <f>IF(C3241=1,0,IF(D3240=1,E3240+1,0))</f>
      </c>
      <c r="F3241" s="5" t="str">
        <f>IF(AND(C3241=1,D3240=1),MIN(E3240,3),"")</f>
      </c>
    </row>
    <row r="3242">
      <c r="A3242" s="6">
        <v>204</v>
      </c>
      <c r="B3242" s="6" t="str">
        <f>'Lineal Mixto'!$C$208</f>
      </c>
      <c r="C3242" s="6" t="str">
        <f>IF(AND(B3242&gt;=$B$3034,B3242&lt;=$B$3035),1,0)</f>
      </c>
      <c r="D3242" s="6" t="str">
        <f>IF(OR(D3241=1,C3242=1),1,0)</f>
      </c>
      <c r="E3242" s="6" t="str">
        <f>IF(C3242=1,0,IF(D3241=1,E3241+1,0))</f>
      </c>
      <c r="F3242" s="6" t="str">
        <f>IF(AND(C3242=1,D3241=1),MIN(E3241,3),"")</f>
      </c>
    </row>
    <row r="3243">
      <c r="A3243" s="5">
        <v>205</v>
      </c>
      <c r="B3243" s="5" t="str">
        <f>'Lineal Mixto'!$C$209</f>
      </c>
      <c r="C3243" s="5" t="str">
        <f>IF(AND(B3243&gt;=$B$3034,B3243&lt;=$B$3035),1,0)</f>
      </c>
      <c r="D3243" s="5" t="str">
        <f>IF(OR(D3242=1,C3243=1),1,0)</f>
      </c>
      <c r="E3243" s="5" t="str">
        <f>IF(C3243=1,0,IF(D3242=1,E3242+1,0))</f>
      </c>
      <c r="F3243" s="5" t="str">
        <f>IF(AND(C3243=1,D3242=1),MIN(E3242,3),"")</f>
      </c>
    </row>
    <row r="3244">
      <c r="A3244" s="6">
        <v>206</v>
      </c>
      <c r="B3244" s="6" t="str">
        <f>'Lineal Mixto'!$C$210</f>
      </c>
      <c r="C3244" s="6" t="str">
        <f>IF(AND(B3244&gt;=$B$3034,B3244&lt;=$B$3035),1,0)</f>
      </c>
      <c r="D3244" s="6" t="str">
        <f>IF(OR(D3243=1,C3244=1),1,0)</f>
      </c>
      <c r="E3244" s="6" t="str">
        <f>IF(C3244=1,0,IF(D3243=1,E3243+1,0))</f>
      </c>
      <c r="F3244" s="6" t="str">
        <f>IF(AND(C3244=1,D3243=1),MIN(E3243,3),"")</f>
      </c>
    </row>
    <row r="3245">
      <c r="A3245" s="5">
        <v>207</v>
      </c>
      <c r="B3245" s="5" t="str">
        <f>'Lineal Mixto'!$C$211</f>
      </c>
      <c r="C3245" s="5" t="str">
        <f>IF(AND(B3245&gt;=$B$3034,B3245&lt;=$B$3035),1,0)</f>
      </c>
      <c r="D3245" s="5" t="str">
        <f>IF(OR(D3244=1,C3245=1),1,0)</f>
      </c>
      <c r="E3245" s="5" t="str">
        <f>IF(C3245=1,0,IF(D3244=1,E3244+1,0))</f>
      </c>
      <c r="F3245" s="5" t="str">
        <f>IF(AND(C3245=1,D3244=1),MIN(E3244,3),"")</f>
      </c>
    </row>
    <row r="3246">
      <c r="A3246" s="6">
        <v>208</v>
      </c>
      <c r="B3246" s="6" t="str">
        <f>'Lineal Mixto'!$C$212</f>
      </c>
      <c r="C3246" s="6" t="str">
        <f>IF(AND(B3246&gt;=$B$3034,B3246&lt;=$B$3035),1,0)</f>
      </c>
      <c r="D3246" s="6" t="str">
        <f>IF(OR(D3245=1,C3246=1),1,0)</f>
      </c>
      <c r="E3246" s="6" t="str">
        <f>IF(C3246=1,0,IF(D3245=1,E3245+1,0))</f>
      </c>
      <c r="F3246" s="6" t="str">
        <f>IF(AND(C3246=1,D3245=1),MIN(E3245,3),"")</f>
      </c>
    </row>
    <row r="3247">
      <c r="A3247" s="5">
        <v>209</v>
      </c>
      <c r="B3247" s="5" t="str">
        <f>'Lineal Mixto'!$C$213</f>
      </c>
      <c r="C3247" s="5" t="str">
        <f>IF(AND(B3247&gt;=$B$3034,B3247&lt;=$B$3035),1,0)</f>
      </c>
      <c r="D3247" s="5" t="str">
        <f>IF(OR(D3246=1,C3247=1),1,0)</f>
      </c>
      <c r="E3247" s="5" t="str">
        <f>IF(C3247=1,0,IF(D3246=1,E3246+1,0))</f>
      </c>
      <c r="F3247" s="5" t="str">
        <f>IF(AND(C3247=1,D3246=1),MIN(E3246,3),"")</f>
      </c>
    </row>
    <row r="3248">
      <c r="A3248" s="6">
        <v>210</v>
      </c>
      <c r="B3248" s="6" t="str">
        <f>'Lineal Mixto'!$C$214</f>
      </c>
      <c r="C3248" s="6" t="str">
        <f>IF(AND(B3248&gt;=$B$3034,B3248&lt;=$B$3035),1,0)</f>
      </c>
      <c r="D3248" s="6" t="str">
        <f>IF(OR(D3247=1,C3248=1),1,0)</f>
      </c>
      <c r="E3248" s="6" t="str">
        <f>IF(C3248=1,0,IF(D3247=1,E3247+1,0))</f>
      </c>
      <c r="F3248" s="6" t="str">
        <f>IF(AND(C3248=1,D3247=1),MIN(E3247,3),"")</f>
      </c>
    </row>
    <row r="3249">
      <c r="A3249" s="5">
        <v>211</v>
      </c>
      <c r="B3249" s="5" t="str">
        <f>'Lineal Mixto'!$C$215</f>
      </c>
      <c r="C3249" s="5" t="str">
        <f>IF(AND(B3249&gt;=$B$3034,B3249&lt;=$B$3035),1,0)</f>
      </c>
      <c r="D3249" s="5" t="str">
        <f>IF(OR(D3248=1,C3249=1),1,0)</f>
      </c>
      <c r="E3249" s="5" t="str">
        <f>IF(C3249=1,0,IF(D3248=1,E3248+1,0))</f>
      </c>
      <c r="F3249" s="5" t="str">
        <f>IF(AND(C3249=1,D3248=1),MIN(E3248,3),"")</f>
      </c>
    </row>
    <row r="3250">
      <c r="A3250" s="6">
        <v>212</v>
      </c>
      <c r="B3250" s="6" t="str">
        <f>'Lineal Mixto'!$C$216</f>
      </c>
      <c r="C3250" s="6" t="str">
        <f>IF(AND(B3250&gt;=$B$3034,B3250&lt;=$B$3035),1,0)</f>
      </c>
      <c r="D3250" s="6" t="str">
        <f>IF(OR(D3249=1,C3250=1),1,0)</f>
      </c>
      <c r="E3250" s="6" t="str">
        <f>IF(C3250=1,0,IF(D3249=1,E3249+1,0))</f>
      </c>
      <c r="F3250" s="6" t="str">
        <f>IF(AND(C3250=1,D3249=1),MIN(E3249,3),"")</f>
      </c>
    </row>
    <row r="3251">
      <c r="A3251" s="5">
        <v>213</v>
      </c>
      <c r="B3251" s="5" t="str">
        <f>'Lineal Mixto'!$C$217</f>
      </c>
      <c r="C3251" s="5" t="str">
        <f>IF(AND(B3251&gt;=$B$3034,B3251&lt;=$B$3035),1,0)</f>
      </c>
      <c r="D3251" s="5" t="str">
        <f>IF(OR(D3250=1,C3251=1),1,0)</f>
      </c>
      <c r="E3251" s="5" t="str">
        <f>IF(C3251=1,0,IF(D3250=1,E3250+1,0))</f>
      </c>
      <c r="F3251" s="5" t="str">
        <f>IF(AND(C3251=1,D3250=1),MIN(E3250,3),"")</f>
      </c>
    </row>
    <row r="3252">
      <c r="A3252" s="6">
        <v>214</v>
      </c>
      <c r="B3252" s="6" t="str">
        <f>'Lineal Mixto'!$C$218</f>
      </c>
      <c r="C3252" s="6" t="str">
        <f>IF(AND(B3252&gt;=$B$3034,B3252&lt;=$B$3035),1,0)</f>
      </c>
      <c r="D3252" s="6" t="str">
        <f>IF(OR(D3251=1,C3252=1),1,0)</f>
      </c>
      <c r="E3252" s="6" t="str">
        <f>IF(C3252=1,0,IF(D3251=1,E3251+1,0))</f>
      </c>
      <c r="F3252" s="6" t="str">
        <f>IF(AND(C3252=1,D3251=1),MIN(E3251,3),"")</f>
      </c>
    </row>
    <row r="3253">
      <c r="A3253" s="5">
        <v>215</v>
      </c>
      <c r="B3253" s="5" t="str">
        <f>'Lineal Mixto'!$C$219</f>
      </c>
      <c r="C3253" s="5" t="str">
        <f>IF(AND(B3253&gt;=$B$3034,B3253&lt;=$B$3035),1,0)</f>
      </c>
      <c r="D3253" s="5" t="str">
        <f>IF(OR(D3252=1,C3253=1),1,0)</f>
      </c>
      <c r="E3253" s="5" t="str">
        <f>IF(C3253=1,0,IF(D3252=1,E3252+1,0))</f>
      </c>
      <c r="F3253" s="5" t="str">
        <f>IF(AND(C3253=1,D3252=1),MIN(E3252,3),"")</f>
      </c>
    </row>
    <row r="3254">
      <c r="A3254" s="6">
        <v>216</v>
      </c>
      <c r="B3254" s="6" t="str">
        <f>'Lineal Mixto'!$C$220</f>
      </c>
      <c r="C3254" s="6" t="str">
        <f>IF(AND(B3254&gt;=$B$3034,B3254&lt;=$B$3035),1,0)</f>
      </c>
      <c r="D3254" s="6" t="str">
        <f>IF(OR(D3253=1,C3254=1),1,0)</f>
      </c>
      <c r="E3254" s="6" t="str">
        <f>IF(C3254=1,0,IF(D3253=1,E3253+1,0))</f>
      </c>
      <c r="F3254" s="6" t="str">
        <f>IF(AND(C3254=1,D3253=1),MIN(E3253,3),"")</f>
      </c>
    </row>
    <row r="3255">
      <c r="A3255" s="5">
        <v>217</v>
      </c>
      <c r="B3255" s="5" t="str">
        <f>'Lineal Mixto'!$C$221</f>
      </c>
      <c r="C3255" s="5" t="str">
        <f>IF(AND(B3255&gt;=$B$3034,B3255&lt;=$B$3035),1,0)</f>
      </c>
      <c r="D3255" s="5" t="str">
        <f>IF(OR(D3254=1,C3255=1),1,0)</f>
      </c>
      <c r="E3255" s="5" t="str">
        <f>IF(C3255=1,0,IF(D3254=1,E3254+1,0))</f>
      </c>
      <c r="F3255" s="5" t="str">
        <f>IF(AND(C3255=1,D3254=1),MIN(E3254,3),"")</f>
      </c>
    </row>
    <row r="3256">
      <c r="A3256" s="6">
        <v>218</v>
      </c>
      <c r="B3256" s="6" t="str">
        <f>'Lineal Mixto'!$C$222</f>
      </c>
      <c r="C3256" s="6" t="str">
        <f>IF(AND(B3256&gt;=$B$3034,B3256&lt;=$B$3035),1,0)</f>
      </c>
      <c r="D3256" s="6" t="str">
        <f>IF(OR(D3255=1,C3256=1),1,0)</f>
      </c>
      <c r="E3256" s="6" t="str">
        <f>IF(C3256=1,0,IF(D3255=1,E3255+1,0))</f>
      </c>
      <c r="F3256" s="6" t="str">
        <f>IF(AND(C3256=1,D3255=1),MIN(E3255,3),"")</f>
      </c>
    </row>
    <row r="3257">
      <c r="A3257" s="5">
        <v>219</v>
      </c>
      <c r="B3257" s="5" t="str">
        <f>'Lineal Mixto'!$C$223</f>
      </c>
      <c r="C3257" s="5" t="str">
        <f>IF(AND(B3257&gt;=$B$3034,B3257&lt;=$B$3035),1,0)</f>
      </c>
      <c r="D3257" s="5" t="str">
        <f>IF(OR(D3256=1,C3257=1),1,0)</f>
      </c>
      <c r="E3257" s="5" t="str">
        <f>IF(C3257=1,0,IF(D3256=1,E3256+1,0))</f>
      </c>
      <c r="F3257" s="5" t="str">
        <f>IF(AND(C3257=1,D3256=1),MIN(E3256,3),"")</f>
      </c>
    </row>
    <row r="3258">
      <c r="A3258" s="6">
        <v>220</v>
      </c>
      <c r="B3258" s="6" t="str">
        <f>'Lineal Mixto'!$C$224</f>
      </c>
      <c r="C3258" s="6" t="str">
        <f>IF(AND(B3258&gt;=$B$3034,B3258&lt;=$B$3035),1,0)</f>
      </c>
      <c r="D3258" s="6" t="str">
        <f>IF(OR(D3257=1,C3258=1),1,0)</f>
      </c>
      <c r="E3258" s="6" t="str">
        <f>IF(C3258=1,0,IF(D3257=1,E3257+1,0))</f>
      </c>
      <c r="F3258" s="6" t="str">
        <f>IF(AND(C3258=1,D3257=1),MIN(E3257,3),"")</f>
      </c>
    </row>
    <row r="3259">
      <c r="A3259" s="5">
        <v>221</v>
      </c>
      <c r="B3259" s="5" t="str">
        <f>'Lineal Mixto'!$C$225</f>
      </c>
      <c r="C3259" s="5" t="str">
        <f>IF(AND(B3259&gt;=$B$3034,B3259&lt;=$B$3035),1,0)</f>
      </c>
      <c r="D3259" s="5" t="str">
        <f>IF(OR(D3258=1,C3259=1),1,0)</f>
      </c>
      <c r="E3259" s="5" t="str">
        <f>IF(C3259=1,0,IF(D3258=1,E3258+1,0))</f>
      </c>
      <c r="F3259" s="5" t="str">
        <f>IF(AND(C3259=1,D3258=1),MIN(E3258,3),"")</f>
      </c>
    </row>
    <row r="3260">
      <c r="A3260" s="6">
        <v>222</v>
      </c>
      <c r="B3260" s="6" t="str">
        <f>'Lineal Mixto'!$C$226</f>
      </c>
      <c r="C3260" s="6" t="str">
        <f>IF(AND(B3260&gt;=$B$3034,B3260&lt;=$B$3035),1,0)</f>
      </c>
      <c r="D3260" s="6" t="str">
        <f>IF(OR(D3259=1,C3260=1),1,0)</f>
      </c>
      <c r="E3260" s="6" t="str">
        <f>IF(C3260=1,0,IF(D3259=1,E3259+1,0))</f>
      </c>
      <c r="F3260" s="6" t="str">
        <f>IF(AND(C3260=1,D3259=1),MIN(E3259,3),"")</f>
      </c>
    </row>
    <row r="3261">
      <c r="A3261" s="5">
        <v>223</v>
      </c>
      <c r="B3261" s="5" t="str">
        <f>'Lineal Mixto'!$C$227</f>
      </c>
      <c r="C3261" s="5" t="str">
        <f>IF(AND(B3261&gt;=$B$3034,B3261&lt;=$B$3035),1,0)</f>
      </c>
      <c r="D3261" s="5" t="str">
        <f>IF(OR(D3260=1,C3261=1),1,0)</f>
      </c>
      <c r="E3261" s="5" t="str">
        <f>IF(C3261=1,0,IF(D3260=1,E3260+1,0))</f>
      </c>
      <c r="F3261" s="5" t="str">
        <f>IF(AND(C3261=1,D3260=1),MIN(E3260,3),"")</f>
      </c>
    </row>
    <row r="3262">
      <c r="A3262" s="6">
        <v>224</v>
      </c>
      <c r="B3262" s="6" t="str">
        <f>'Lineal Mixto'!$C$228</f>
      </c>
      <c r="C3262" s="6" t="str">
        <f>IF(AND(B3262&gt;=$B$3034,B3262&lt;=$B$3035),1,0)</f>
      </c>
      <c r="D3262" s="6" t="str">
        <f>IF(OR(D3261=1,C3262=1),1,0)</f>
      </c>
      <c r="E3262" s="6" t="str">
        <f>IF(C3262=1,0,IF(D3261=1,E3261+1,0))</f>
      </c>
      <c r="F3262" s="6" t="str">
        <f>IF(AND(C3262=1,D3261=1),MIN(E3261,3),"")</f>
      </c>
    </row>
    <row r="3263">
      <c r="A3263" s="5">
        <v>225</v>
      </c>
      <c r="B3263" s="5" t="str">
        <f>'Lineal Mixto'!$C$229</f>
      </c>
      <c r="C3263" s="5" t="str">
        <f>IF(AND(B3263&gt;=$B$3034,B3263&lt;=$B$3035),1,0)</f>
      </c>
      <c r="D3263" s="5" t="str">
        <f>IF(OR(D3262=1,C3263=1),1,0)</f>
      </c>
      <c r="E3263" s="5" t="str">
        <f>IF(C3263=1,0,IF(D3262=1,E3262+1,0))</f>
      </c>
      <c r="F3263" s="5" t="str">
        <f>IF(AND(C3263=1,D3262=1),MIN(E3262,3),"")</f>
      </c>
    </row>
    <row r="3264">
      <c r="A3264" s="6">
        <v>226</v>
      </c>
      <c r="B3264" s="6" t="str">
        <f>'Lineal Mixto'!$C$230</f>
      </c>
      <c r="C3264" s="6" t="str">
        <f>IF(AND(B3264&gt;=$B$3034,B3264&lt;=$B$3035),1,0)</f>
      </c>
      <c r="D3264" s="6" t="str">
        <f>IF(OR(D3263=1,C3264=1),1,0)</f>
      </c>
      <c r="E3264" s="6" t="str">
        <f>IF(C3264=1,0,IF(D3263=1,E3263+1,0))</f>
      </c>
      <c r="F3264" s="6" t="str">
        <f>IF(AND(C3264=1,D3263=1),MIN(E3263,3),"")</f>
      </c>
    </row>
    <row r="3265">
      <c r="A3265" s="5">
        <v>227</v>
      </c>
      <c r="B3265" s="5" t="str">
        <f>'Lineal Mixto'!$C$231</f>
      </c>
      <c r="C3265" s="5" t="str">
        <f>IF(AND(B3265&gt;=$B$3034,B3265&lt;=$B$3035),1,0)</f>
      </c>
      <c r="D3265" s="5" t="str">
        <f>IF(OR(D3264=1,C3265=1),1,0)</f>
      </c>
      <c r="E3265" s="5" t="str">
        <f>IF(C3265=1,0,IF(D3264=1,E3264+1,0))</f>
      </c>
      <c r="F3265" s="5" t="str">
        <f>IF(AND(C3265=1,D3264=1),MIN(E3264,3),"")</f>
      </c>
    </row>
    <row r="3266">
      <c r="A3266" s="6">
        <v>228</v>
      </c>
      <c r="B3266" s="6" t="str">
        <f>'Lineal Mixto'!$C$232</f>
      </c>
      <c r="C3266" s="6" t="str">
        <f>IF(AND(B3266&gt;=$B$3034,B3266&lt;=$B$3035),1,0)</f>
      </c>
      <c r="D3266" s="6" t="str">
        <f>IF(OR(D3265=1,C3266=1),1,0)</f>
      </c>
      <c r="E3266" s="6" t="str">
        <f>IF(C3266=1,0,IF(D3265=1,E3265+1,0))</f>
      </c>
      <c r="F3266" s="6" t="str">
        <f>IF(AND(C3266=1,D3265=1),MIN(E3265,3),"")</f>
      </c>
    </row>
    <row r="3267">
      <c r="A3267" s="5">
        <v>229</v>
      </c>
      <c r="B3267" s="5" t="str">
        <f>'Lineal Mixto'!$C$233</f>
      </c>
      <c r="C3267" s="5" t="str">
        <f>IF(AND(B3267&gt;=$B$3034,B3267&lt;=$B$3035),1,0)</f>
      </c>
      <c r="D3267" s="5" t="str">
        <f>IF(OR(D3266=1,C3267=1),1,0)</f>
      </c>
      <c r="E3267" s="5" t="str">
        <f>IF(C3267=1,0,IF(D3266=1,E3266+1,0))</f>
      </c>
      <c r="F3267" s="5" t="str">
        <f>IF(AND(C3267=1,D3266=1),MIN(E3266,3),"")</f>
      </c>
    </row>
    <row r="3268">
      <c r="A3268" s="6">
        <v>230</v>
      </c>
      <c r="B3268" s="6" t="str">
        <f>'Lineal Mixto'!$C$234</f>
      </c>
      <c r="C3268" s="6" t="str">
        <f>IF(AND(B3268&gt;=$B$3034,B3268&lt;=$B$3035),1,0)</f>
      </c>
      <c r="D3268" s="6" t="str">
        <f>IF(OR(D3267=1,C3268=1),1,0)</f>
      </c>
      <c r="E3268" s="6" t="str">
        <f>IF(C3268=1,0,IF(D3267=1,E3267+1,0))</f>
      </c>
      <c r="F3268" s="6" t="str">
        <f>IF(AND(C3268=1,D3267=1),MIN(E3267,3),"")</f>
      </c>
    </row>
    <row r="3269">
      <c r="A3269" s="5">
        <v>231</v>
      </c>
      <c r="B3269" s="5" t="str">
        <f>'Lineal Mixto'!$C$235</f>
      </c>
      <c r="C3269" s="5" t="str">
        <f>IF(AND(B3269&gt;=$B$3034,B3269&lt;=$B$3035),1,0)</f>
      </c>
      <c r="D3269" s="5" t="str">
        <f>IF(OR(D3268=1,C3269=1),1,0)</f>
      </c>
      <c r="E3269" s="5" t="str">
        <f>IF(C3269=1,0,IF(D3268=1,E3268+1,0))</f>
      </c>
      <c r="F3269" s="5" t="str">
        <f>IF(AND(C3269=1,D3268=1),MIN(E3268,3),"")</f>
      </c>
    </row>
    <row r="3270">
      <c r="A3270" s="6">
        <v>232</v>
      </c>
      <c r="B3270" s="6" t="str">
        <f>'Lineal Mixto'!$C$236</f>
      </c>
      <c r="C3270" s="6" t="str">
        <f>IF(AND(B3270&gt;=$B$3034,B3270&lt;=$B$3035),1,0)</f>
      </c>
      <c r="D3270" s="6" t="str">
        <f>IF(OR(D3269=1,C3270=1),1,0)</f>
      </c>
      <c r="E3270" s="6" t="str">
        <f>IF(C3270=1,0,IF(D3269=1,E3269+1,0))</f>
      </c>
      <c r="F3270" s="6" t="str">
        <f>IF(AND(C3270=1,D3269=1),MIN(E3269,3),"")</f>
      </c>
    </row>
    <row r="3271">
      <c r="A3271" s="5">
        <v>233</v>
      </c>
      <c r="B3271" s="5" t="str">
        <f>'Lineal Mixto'!$C$237</f>
      </c>
      <c r="C3271" s="5" t="str">
        <f>IF(AND(B3271&gt;=$B$3034,B3271&lt;=$B$3035),1,0)</f>
      </c>
      <c r="D3271" s="5" t="str">
        <f>IF(OR(D3270=1,C3271=1),1,0)</f>
      </c>
      <c r="E3271" s="5" t="str">
        <f>IF(C3271=1,0,IF(D3270=1,E3270+1,0))</f>
      </c>
      <c r="F3271" s="5" t="str">
        <f>IF(AND(C3271=1,D3270=1),MIN(E3270,3),"")</f>
      </c>
    </row>
    <row r="3272">
      <c r="A3272" s="6">
        <v>234</v>
      </c>
      <c r="B3272" s="6" t="str">
        <f>'Lineal Mixto'!$C$238</f>
      </c>
      <c r="C3272" s="6" t="str">
        <f>IF(AND(B3272&gt;=$B$3034,B3272&lt;=$B$3035),1,0)</f>
      </c>
      <c r="D3272" s="6" t="str">
        <f>IF(OR(D3271=1,C3272=1),1,0)</f>
      </c>
      <c r="E3272" s="6" t="str">
        <f>IF(C3272=1,0,IF(D3271=1,E3271+1,0))</f>
      </c>
      <c r="F3272" s="6" t="str">
        <f>IF(AND(C3272=1,D3271=1),MIN(E3271,3),"")</f>
      </c>
    </row>
    <row r="3273">
      <c r="A3273" s="5">
        <v>235</v>
      </c>
      <c r="B3273" s="5" t="str">
        <f>'Lineal Mixto'!$C$239</f>
      </c>
      <c r="C3273" s="5" t="str">
        <f>IF(AND(B3273&gt;=$B$3034,B3273&lt;=$B$3035),1,0)</f>
      </c>
      <c r="D3273" s="5" t="str">
        <f>IF(OR(D3272=1,C3273=1),1,0)</f>
      </c>
      <c r="E3273" s="5" t="str">
        <f>IF(C3273=1,0,IF(D3272=1,E3272+1,0))</f>
      </c>
      <c r="F3273" s="5" t="str">
        <f>IF(AND(C3273=1,D3272=1),MIN(E3272,3),"")</f>
      </c>
    </row>
    <row r="3274">
      <c r="A3274" s="6">
        <v>236</v>
      </c>
      <c r="B3274" s="6" t="str">
        <f>'Lineal Mixto'!$C$240</f>
      </c>
      <c r="C3274" s="6" t="str">
        <f>IF(AND(B3274&gt;=$B$3034,B3274&lt;=$B$3035),1,0)</f>
      </c>
      <c r="D3274" s="6" t="str">
        <f>IF(OR(D3273=1,C3274=1),1,0)</f>
      </c>
      <c r="E3274" s="6" t="str">
        <f>IF(C3274=1,0,IF(D3273=1,E3273+1,0))</f>
      </c>
      <c r="F3274" s="6" t="str">
        <f>IF(AND(C3274=1,D3273=1),MIN(E3273,3),"")</f>
      </c>
    </row>
    <row r="3275">
      <c r="A3275" s="5">
        <v>237</v>
      </c>
      <c r="B3275" s="5" t="str">
        <f>'Lineal Mixto'!$C$241</f>
      </c>
      <c r="C3275" s="5" t="str">
        <f>IF(AND(B3275&gt;=$B$3034,B3275&lt;=$B$3035),1,0)</f>
      </c>
      <c r="D3275" s="5" t="str">
        <f>IF(OR(D3274=1,C3275=1),1,0)</f>
      </c>
      <c r="E3275" s="5" t="str">
        <f>IF(C3275=1,0,IF(D3274=1,E3274+1,0))</f>
      </c>
      <c r="F3275" s="5" t="str">
        <f>IF(AND(C3275=1,D3274=1),MIN(E3274,3),"")</f>
      </c>
    </row>
    <row r="3276">
      <c r="A3276" s="6">
        <v>238</v>
      </c>
      <c r="B3276" s="6" t="str">
        <f>'Lineal Mixto'!$C$242</f>
      </c>
      <c r="C3276" s="6" t="str">
        <f>IF(AND(B3276&gt;=$B$3034,B3276&lt;=$B$3035),1,0)</f>
      </c>
      <c r="D3276" s="6" t="str">
        <f>IF(OR(D3275=1,C3276=1),1,0)</f>
      </c>
      <c r="E3276" s="6" t="str">
        <f>IF(C3276=1,0,IF(D3275=1,E3275+1,0))</f>
      </c>
      <c r="F3276" s="6" t="str">
        <f>IF(AND(C3276=1,D3275=1),MIN(E3275,3),"")</f>
      </c>
    </row>
    <row r="3277">
      <c r="A3277" s="5">
        <v>239</v>
      </c>
      <c r="B3277" s="5" t="str">
        <f>'Lineal Mixto'!$C$243</f>
      </c>
      <c r="C3277" s="5" t="str">
        <f>IF(AND(B3277&gt;=$B$3034,B3277&lt;=$B$3035),1,0)</f>
      </c>
      <c r="D3277" s="5" t="str">
        <f>IF(OR(D3276=1,C3277=1),1,0)</f>
      </c>
      <c r="E3277" s="5" t="str">
        <f>IF(C3277=1,0,IF(D3276=1,E3276+1,0))</f>
      </c>
      <c r="F3277" s="5" t="str">
        <f>IF(AND(C3277=1,D3276=1),MIN(E3276,3),"")</f>
      </c>
    </row>
    <row r="3278">
      <c r="A3278" s="6">
        <v>240</v>
      </c>
      <c r="B3278" s="6" t="str">
        <f>'Lineal Mixto'!$C$244</f>
      </c>
      <c r="C3278" s="6" t="str">
        <f>IF(AND(B3278&gt;=$B$3034,B3278&lt;=$B$3035),1,0)</f>
      </c>
      <c r="D3278" s="6" t="str">
        <f>IF(OR(D3277=1,C3278=1),1,0)</f>
      </c>
      <c r="E3278" s="6" t="str">
        <f>IF(C3278=1,0,IF(D3277=1,E3277+1,0))</f>
      </c>
      <c r="F3278" s="6" t="str">
        <f>IF(AND(C3278=1,D3277=1),MIN(E3277,3),"")</f>
      </c>
    </row>
    <row r="3279">
      <c r="A3279" s="5">
        <v>241</v>
      </c>
      <c r="B3279" s="5" t="str">
        <f>'Lineal Mixto'!$C$245</f>
      </c>
      <c r="C3279" s="5" t="str">
        <f>IF(AND(B3279&gt;=$B$3034,B3279&lt;=$B$3035),1,0)</f>
      </c>
      <c r="D3279" s="5" t="str">
        <f>IF(OR(D3278=1,C3279=1),1,0)</f>
      </c>
      <c r="E3279" s="5" t="str">
        <f>IF(C3279=1,0,IF(D3278=1,E3278+1,0))</f>
      </c>
      <c r="F3279" s="5" t="str">
        <f>IF(AND(C3279=1,D3278=1),MIN(E3278,3),"")</f>
      </c>
    </row>
    <row r="3280">
      <c r="A3280" s="6">
        <v>242</v>
      </c>
      <c r="B3280" s="6" t="str">
        <f>'Lineal Mixto'!$C$246</f>
      </c>
      <c r="C3280" s="6" t="str">
        <f>IF(AND(B3280&gt;=$B$3034,B3280&lt;=$B$3035),1,0)</f>
      </c>
      <c r="D3280" s="6" t="str">
        <f>IF(OR(D3279=1,C3280=1),1,0)</f>
      </c>
      <c r="E3280" s="6" t="str">
        <f>IF(C3280=1,0,IF(D3279=1,E3279+1,0))</f>
      </c>
      <c r="F3280" s="6" t="str">
        <f>IF(AND(C3280=1,D3279=1),MIN(E3279,3),"")</f>
      </c>
    </row>
    <row r="3281">
      <c r="A3281" s="5">
        <v>243</v>
      </c>
      <c r="B3281" s="5" t="str">
        <f>'Lineal Mixto'!$C$247</f>
      </c>
      <c r="C3281" s="5" t="str">
        <f>IF(AND(B3281&gt;=$B$3034,B3281&lt;=$B$3035),1,0)</f>
      </c>
      <c r="D3281" s="5" t="str">
        <f>IF(OR(D3280=1,C3281=1),1,0)</f>
      </c>
      <c r="E3281" s="5" t="str">
        <f>IF(C3281=1,0,IF(D3280=1,E3280+1,0))</f>
      </c>
      <c r="F3281" s="5" t="str">
        <f>IF(AND(C3281=1,D3280=1),MIN(E3280,3),"")</f>
      </c>
    </row>
    <row r="3282">
      <c r="A3282" s="6">
        <v>244</v>
      </c>
      <c r="B3282" s="6" t="str">
        <f>'Lineal Mixto'!$C$248</f>
      </c>
      <c r="C3282" s="6" t="str">
        <f>IF(AND(B3282&gt;=$B$3034,B3282&lt;=$B$3035),1,0)</f>
      </c>
      <c r="D3282" s="6" t="str">
        <f>IF(OR(D3281=1,C3282=1),1,0)</f>
      </c>
      <c r="E3282" s="6" t="str">
        <f>IF(C3282=1,0,IF(D3281=1,E3281+1,0))</f>
      </c>
      <c r="F3282" s="6" t="str">
        <f>IF(AND(C3282=1,D3281=1),MIN(E3281,3),"")</f>
      </c>
    </row>
    <row r="3283">
      <c r="A3283" s="5">
        <v>245</v>
      </c>
      <c r="B3283" s="5" t="str">
        <f>'Lineal Mixto'!$C$249</f>
      </c>
      <c r="C3283" s="5" t="str">
        <f>IF(AND(B3283&gt;=$B$3034,B3283&lt;=$B$3035),1,0)</f>
      </c>
      <c r="D3283" s="5" t="str">
        <f>IF(OR(D3282=1,C3283=1),1,0)</f>
      </c>
      <c r="E3283" s="5" t="str">
        <f>IF(C3283=1,0,IF(D3282=1,E3282+1,0))</f>
      </c>
      <c r="F3283" s="5" t="str">
        <f>IF(AND(C3283=1,D3282=1),MIN(E3282,3),"")</f>
      </c>
    </row>
    <row r="3284">
      <c r="A3284" s="6">
        <v>246</v>
      </c>
      <c r="B3284" s="6" t="str">
        <f>'Lineal Mixto'!$C$250</f>
      </c>
      <c r="C3284" s="6" t="str">
        <f>IF(AND(B3284&gt;=$B$3034,B3284&lt;=$B$3035),1,0)</f>
      </c>
      <c r="D3284" s="6" t="str">
        <f>IF(OR(D3283=1,C3284=1),1,0)</f>
      </c>
      <c r="E3284" s="6" t="str">
        <f>IF(C3284=1,0,IF(D3283=1,E3283+1,0))</f>
      </c>
      <c r="F3284" s="6" t="str">
        <f>IF(AND(C3284=1,D3283=1),MIN(E3283,3),"")</f>
      </c>
    </row>
    <row r="3285">
      <c r="A3285" s="5">
        <v>247</v>
      </c>
      <c r="B3285" s="5" t="str">
        <f>'Lineal Mixto'!$C$251</f>
      </c>
      <c r="C3285" s="5" t="str">
        <f>IF(AND(B3285&gt;=$B$3034,B3285&lt;=$B$3035),1,0)</f>
      </c>
      <c r="D3285" s="5" t="str">
        <f>IF(OR(D3284=1,C3285=1),1,0)</f>
      </c>
      <c r="E3285" s="5" t="str">
        <f>IF(C3285=1,0,IF(D3284=1,E3284+1,0))</f>
      </c>
      <c r="F3285" s="5" t="str">
        <f>IF(AND(C3285=1,D3284=1),MIN(E3284,3),"")</f>
      </c>
    </row>
    <row r="3286">
      <c r="A3286" s="6">
        <v>248</v>
      </c>
      <c r="B3286" s="6" t="str">
        <f>'Lineal Mixto'!$C$252</f>
      </c>
      <c r="C3286" s="6" t="str">
        <f>IF(AND(B3286&gt;=$B$3034,B3286&lt;=$B$3035),1,0)</f>
      </c>
      <c r="D3286" s="6" t="str">
        <f>IF(OR(D3285=1,C3286=1),1,0)</f>
      </c>
      <c r="E3286" s="6" t="str">
        <f>IF(C3286=1,0,IF(D3285=1,E3285+1,0))</f>
      </c>
      <c r="F3286" s="6" t="str">
        <f>IF(AND(C3286=1,D3285=1),MIN(E3285,3),"")</f>
      </c>
    </row>
    <row r="3287">
      <c r="A3287" s="5">
        <v>249</v>
      </c>
      <c r="B3287" s="5" t="str">
        <f>'Lineal Mixto'!$C$253</f>
      </c>
      <c r="C3287" s="5" t="str">
        <f>IF(AND(B3287&gt;=$B$3034,B3287&lt;=$B$3035),1,0)</f>
      </c>
      <c r="D3287" s="5" t="str">
        <f>IF(OR(D3286=1,C3287=1),1,0)</f>
      </c>
      <c r="E3287" s="5" t="str">
        <f>IF(C3287=1,0,IF(D3286=1,E3286+1,0))</f>
      </c>
      <c r="F3287" s="5" t="str">
        <f>IF(AND(C3287=1,D3286=1),MIN(E3286,3),"")</f>
      </c>
    </row>
    <row r="3288">
      <c r="A3288" s="6">
        <v>250</v>
      </c>
      <c r="B3288" s="6" t="str">
        <f>'Lineal Mixto'!$C$254</f>
      </c>
      <c r="C3288" s="6" t="str">
        <f>IF(AND(B3288&gt;=$B$3034,B3288&lt;=$B$3035),1,0)</f>
      </c>
      <c r="D3288" s="6" t="str">
        <f>IF(OR(D3287=1,C3288=1),1,0)</f>
      </c>
      <c r="E3288" s="6" t="str">
        <f>IF(C3288=1,0,IF(D3287=1,E3287+1,0))</f>
      </c>
      <c r="F3288" s="6" t="str">
        <f>IF(AND(C3288=1,D3287=1),MIN(E3287,3),"")</f>
      </c>
    </row>
    <row r="3289">
      <c r="A3289" s="5">
        <v>251</v>
      </c>
      <c r="B3289" s="5" t="str">
        <f>'Lineal Mixto'!$C$255</f>
      </c>
      <c r="C3289" s="5" t="str">
        <f>IF(AND(B3289&gt;=$B$3034,B3289&lt;=$B$3035),1,0)</f>
      </c>
      <c r="D3289" s="5" t="str">
        <f>IF(OR(D3288=1,C3289=1),1,0)</f>
      </c>
      <c r="E3289" s="5" t="str">
        <f>IF(C3289=1,0,IF(D3288=1,E3288+1,0))</f>
      </c>
      <c r="F3289" s="5" t="str">
        <f>IF(AND(C3289=1,D3288=1),MIN(E3288,3),"")</f>
      </c>
    </row>
    <row r="3290">
      <c r="A3290" s="6">
        <v>252</v>
      </c>
      <c r="B3290" s="6" t="str">
        <f>'Lineal Mixto'!$C$256</f>
      </c>
      <c r="C3290" s="6" t="str">
        <f>IF(AND(B3290&gt;=$B$3034,B3290&lt;=$B$3035),1,0)</f>
      </c>
      <c r="D3290" s="6" t="str">
        <f>IF(OR(D3289=1,C3290=1),1,0)</f>
      </c>
      <c r="E3290" s="6" t="str">
        <f>IF(C3290=1,0,IF(D3289=1,E3289+1,0))</f>
      </c>
      <c r="F3290" s="6" t="str">
        <f>IF(AND(C3290=1,D3289=1),MIN(E3289,3),"")</f>
      </c>
    </row>
    <row r="3291">
      <c r="A3291" s="5">
        <v>253</v>
      </c>
      <c r="B3291" s="5" t="str">
        <f>'Lineal Mixto'!$C$257</f>
      </c>
      <c r="C3291" s="5" t="str">
        <f>IF(AND(B3291&gt;=$B$3034,B3291&lt;=$B$3035),1,0)</f>
      </c>
      <c r="D3291" s="5" t="str">
        <f>IF(OR(D3290=1,C3291=1),1,0)</f>
      </c>
      <c r="E3291" s="5" t="str">
        <f>IF(C3291=1,0,IF(D3290=1,E3290+1,0))</f>
      </c>
      <c r="F3291" s="5" t="str">
        <f>IF(AND(C3291=1,D3290=1),MIN(E3290,3),"")</f>
      </c>
    </row>
    <row r="3292">
      <c r="A3292" s="6">
        <v>254</v>
      </c>
      <c r="B3292" s="6" t="str">
        <f>'Lineal Mixto'!$C$258</f>
      </c>
      <c r="C3292" s="6" t="str">
        <f>IF(AND(B3292&gt;=$B$3034,B3292&lt;=$B$3035),1,0)</f>
      </c>
      <c r="D3292" s="6" t="str">
        <f>IF(OR(D3291=1,C3292=1),1,0)</f>
      </c>
      <c r="E3292" s="6" t="str">
        <f>IF(C3292=1,0,IF(D3291=1,E3291+1,0))</f>
      </c>
      <c r="F3292" s="6" t="str">
        <f>IF(AND(C3292=1,D3291=1),MIN(E3291,3),"")</f>
      </c>
    </row>
    <row r="3293">
      <c r="A3293" s="5">
        <v>255</v>
      </c>
      <c r="B3293" s="5" t="str">
        <f>'Lineal Mixto'!$C$259</f>
      </c>
      <c r="C3293" s="5" t="str">
        <f>IF(AND(B3293&gt;=$B$3034,B3293&lt;=$B$3035),1,0)</f>
      </c>
      <c r="D3293" s="5" t="str">
        <f>IF(OR(D3292=1,C3293=1),1,0)</f>
      </c>
      <c r="E3293" s="5" t="str">
        <f>IF(C3293=1,0,IF(D3292=1,E3292+1,0))</f>
      </c>
      <c r="F3293" s="5" t="str">
        <f>IF(AND(C3293=1,D3292=1),MIN(E3292,3),"")</f>
      </c>
    </row>
    <row r="3294">
      <c r="A3294" s="6">
        <v>256</v>
      </c>
      <c r="B3294" s="6" t="str">
        <f>'Lineal Mixto'!$C$260</f>
      </c>
      <c r="C3294" s="6" t="str">
        <f>IF(AND(B3294&gt;=$B$3034,B3294&lt;=$B$3035),1,0)</f>
      </c>
      <c r="D3294" s="6" t="str">
        <f>IF(OR(D3293=1,C3294=1),1,0)</f>
      </c>
      <c r="E3294" s="6" t="str">
        <f>IF(C3294=1,0,IF(D3293=1,E3293+1,0))</f>
      </c>
      <c r="F3294" s="6" t="str">
        <f>IF(AND(C3294=1,D3293=1),MIN(E3293,3),"")</f>
      </c>
    </row>
    <row r="3295">
      <c r="A3295" s="5">
        <v>257</v>
      </c>
      <c r="B3295" s="5" t="str">
        <f>'Lineal Mixto'!$C$261</f>
      </c>
      <c r="C3295" s="5" t="str">
        <f>IF(AND(B3295&gt;=$B$3034,B3295&lt;=$B$3035),1,0)</f>
      </c>
      <c r="D3295" s="5" t="str">
        <f>IF(OR(D3294=1,C3295=1),1,0)</f>
      </c>
      <c r="E3295" s="5" t="str">
        <f>IF(C3295=1,0,IF(D3294=1,E3294+1,0))</f>
      </c>
      <c r="F3295" s="5" t="str">
        <f>IF(AND(C3295=1,D3294=1),MIN(E3294,3),"")</f>
      </c>
    </row>
    <row r="3296">
      <c r="A3296" s="6">
        <v>258</v>
      </c>
      <c r="B3296" s="6" t="str">
        <f>'Lineal Mixto'!$C$262</f>
      </c>
      <c r="C3296" s="6" t="str">
        <f>IF(AND(B3296&gt;=$B$3034,B3296&lt;=$B$3035),1,0)</f>
      </c>
      <c r="D3296" s="6" t="str">
        <f>IF(OR(D3295=1,C3296=1),1,0)</f>
      </c>
      <c r="E3296" s="6" t="str">
        <f>IF(C3296=1,0,IF(D3295=1,E3295+1,0))</f>
      </c>
      <c r="F3296" s="6" t="str">
        <f>IF(AND(C3296=1,D3295=1),MIN(E3295,3),"")</f>
      </c>
    </row>
    <row r="3297">
      <c r="A3297" s="5">
        <v>259</v>
      </c>
      <c r="B3297" s="5" t="str">
        <f>'Lineal Mixto'!$C$263</f>
      </c>
      <c r="C3297" s="5" t="str">
        <f>IF(AND(B3297&gt;=$B$3034,B3297&lt;=$B$3035),1,0)</f>
      </c>
      <c r="D3297" s="5" t="str">
        <f>IF(OR(D3296=1,C3297=1),1,0)</f>
      </c>
      <c r="E3297" s="5" t="str">
        <f>IF(C3297=1,0,IF(D3296=1,E3296+1,0))</f>
      </c>
      <c r="F3297" s="5" t="str">
        <f>IF(AND(C3297=1,D3296=1),MIN(E3296,3),"")</f>
      </c>
    </row>
    <row r="3298">
      <c r="A3298" s="6">
        <v>260</v>
      </c>
      <c r="B3298" s="6" t="str">
        <f>'Lineal Mixto'!$C$264</f>
      </c>
      <c r="C3298" s="6" t="str">
        <f>IF(AND(B3298&gt;=$B$3034,B3298&lt;=$B$3035),1,0)</f>
      </c>
      <c r="D3298" s="6" t="str">
        <f>IF(OR(D3297=1,C3298=1),1,0)</f>
      </c>
      <c r="E3298" s="6" t="str">
        <f>IF(C3298=1,0,IF(D3297=1,E3297+1,0))</f>
      </c>
      <c r="F3298" s="6" t="str">
        <f>IF(AND(C3298=1,D3297=1),MIN(E3297,3),"")</f>
      </c>
    </row>
    <row r="3299">
      <c r="A3299" s="5">
        <v>261</v>
      </c>
      <c r="B3299" s="5" t="str">
        <f>'Lineal Mixto'!$C$265</f>
      </c>
      <c r="C3299" s="5" t="str">
        <f>IF(AND(B3299&gt;=$B$3034,B3299&lt;=$B$3035),1,0)</f>
      </c>
      <c r="D3299" s="5" t="str">
        <f>IF(OR(D3298=1,C3299=1),1,0)</f>
      </c>
      <c r="E3299" s="5" t="str">
        <f>IF(C3299=1,0,IF(D3298=1,E3298+1,0))</f>
      </c>
      <c r="F3299" s="5" t="str">
        <f>IF(AND(C3299=1,D3298=1),MIN(E3298,3),"")</f>
      </c>
    </row>
    <row r="3300">
      <c r="A3300" s="6">
        <v>262</v>
      </c>
      <c r="B3300" s="6" t="str">
        <f>'Lineal Mixto'!$C$266</f>
      </c>
      <c r="C3300" s="6" t="str">
        <f>IF(AND(B3300&gt;=$B$3034,B3300&lt;=$B$3035),1,0)</f>
      </c>
      <c r="D3300" s="6" t="str">
        <f>IF(OR(D3299=1,C3300=1),1,0)</f>
      </c>
      <c r="E3300" s="6" t="str">
        <f>IF(C3300=1,0,IF(D3299=1,E3299+1,0))</f>
      </c>
      <c r="F3300" s="6" t="str">
        <f>IF(AND(C3300=1,D3299=1),MIN(E3299,3),"")</f>
      </c>
    </row>
    <row r="3301">
      <c r="A3301" s="5">
        <v>263</v>
      </c>
      <c r="B3301" s="5" t="str">
        <f>'Lineal Mixto'!$C$267</f>
      </c>
      <c r="C3301" s="5" t="str">
        <f>IF(AND(B3301&gt;=$B$3034,B3301&lt;=$B$3035),1,0)</f>
      </c>
      <c r="D3301" s="5" t="str">
        <f>IF(OR(D3300=1,C3301=1),1,0)</f>
      </c>
      <c r="E3301" s="5" t="str">
        <f>IF(C3301=1,0,IF(D3300=1,E3300+1,0))</f>
      </c>
      <c r="F3301" s="5" t="str">
        <f>IF(AND(C3301=1,D3300=1),MIN(E3300,3),"")</f>
      </c>
    </row>
    <row r="3302">
      <c r="A3302" s="6">
        <v>264</v>
      </c>
      <c r="B3302" s="6" t="str">
        <f>'Lineal Mixto'!$C$268</f>
      </c>
      <c r="C3302" s="6" t="str">
        <f>IF(AND(B3302&gt;=$B$3034,B3302&lt;=$B$3035),1,0)</f>
      </c>
      <c r="D3302" s="6" t="str">
        <f>IF(OR(D3301=1,C3302=1),1,0)</f>
      </c>
      <c r="E3302" s="6" t="str">
        <f>IF(C3302=1,0,IF(D3301=1,E3301+1,0))</f>
      </c>
      <c r="F3302" s="6" t="str">
        <f>IF(AND(C3302=1,D3301=1),MIN(E3301,3),"")</f>
      </c>
    </row>
    <row r="3303">
      <c r="A3303" s="5">
        <v>265</v>
      </c>
      <c r="B3303" s="5" t="str">
        <f>'Lineal Mixto'!$C$269</f>
      </c>
      <c r="C3303" s="5" t="str">
        <f>IF(AND(B3303&gt;=$B$3034,B3303&lt;=$B$3035),1,0)</f>
      </c>
      <c r="D3303" s="5" t="str">
        <f>IF(OR(D3302=1,C3303=1),1,0)</f>
      </c>
      <c r="E3303" s="5" t="str">
        <f>IF(C3303=1,0,IF(D3302=1,E3302+1,0))</f>
      </c>
      <c r="F3303" s="5" t="str">
        <f>IF(AND(C3303=1,D3302=1),MIN(E3302,3),"")</f>
      </c>
    </row>
    <row r="3304">
      <c r="A3304" s="6">
        <v>266</v>
      </c>
      <c r="B3304" s="6" t="str">
        <f>'Lineal Mixto'!$C$270</f>
      </c>
      <c r="C3304" s="6" t="str">
        <f>IF(AND(B3304&gt;=$B$3034,B3304&lt;=$B$3035),1,0)</f>
      </c>
      <c r="D3304" s="6" t="str">
        <f>IF(OR(D3303=1,C3304=1),1,0)</f>
      </c>
      <c r="E3304" s="6" t="str">
        <f>IF(C3304=1,0,IF(D3303=1,E3303+1,0))</f>
      </c>
      <c r="F3304" s="6" t="str">
        <f>IF(AND(C3304=1,D3303=1),MIN(E3303,3),"")</f>
      </c>
    </row>
    <row r="3305">
      <c r="A3305" s="5">
        <v>267</v>
      </c>
      <c r="B3305" s="5" t="str">
        <f>'Lineal Mixto'!$C$271</f>
      </c>
      <c r="C3305" s="5" t="str">
        <f>IF(AND(B3305&gt;=$B$3034,B3305&lt;=$B$3035),1,0)</f>
      </c>
      <c r="D3305" s="5" t="str">
        <f>IF(OR(D3304=1,C3305=1),1,0)</f>
      </c>
      <c r="E3305" s="5" t="str">
        <f>IF(C3305=1,0,IF(D3304=1,E3304+1,0))</f>
      </c>
      <c r="F3305" s="5" t="str">
        <f>IF(AND(C3305=1,D3304=1),MIN(E3304,3),"")</f>
      </c>
    </row>
    <row r="3306">
      <c r="A3306" s="6">
        <v>268</v>
      </c>
      <c r="B3306" s="6" t="str">
        <f>'Lineal Mixto'!$C$272</f>
      </c>
      <c r="C3306" s="6" t="str">
        <f>IF(AND(B3306&gt;=$B$3034,B3306&lt;=$B$3035),1,0)</f>
      </c>
      <c r="D3306" s="6" t="str">
        <f>IF(OR(D3305=1,C3306=1),1,0)</f>
      </c>
      <c r="E3306" s="6" t="str">
        <f>IF(C3306=1,0,IF(D3305=1,E3305+1,0))</f>
      </c>
      <c r="F3306" s="6" t="str">
        <f>IF(AND(C3306=1,D3305=1),MIN(E3305,3),"")</f>
      </c>
    </row>
    <row r="3307">
      <c r="A3307" s="5">
        <v>269</v>
      </c>
      <c r="B3307" s="5" t="str">
        <f>'Lineal Mixto'!$C$273</f>
      </c>
      <c r="C3307" s="5" t="str">
        <f>IF(AND(B3307&gt;=$B$3034,B3307&lt;=$B$3035),1,0)</f>
      </c>
      <c r="D3307" s="5" t="str">
        <f>IF(OR(D3306=1,C3307=1),1,0)</f>
      </c>
      <c r="E3307" s="5" t="str">
        <f>IF(C3307=1,0,IF(D3306=1,E3306+1,0))</f>
      </c>
      <c r="F3307" s="5" t="str">
        <f>IF(AND(C3307=1,D3306=1),MIN(E3306,3),"")</f>
      </c>
    </row>
    <row r="3308">
      <c r="A3308" s="6">
        <v>270</v>
      </c>
      <c r="B3308" s="6" t="str">
        <f>'Lineal Mixto'!$C$274</f>
      </c>
      <c r="C3308" s="6" t="str">
        <f>IF(AND(B3308&gt;=$B$3034,B3308&lt;=$B$3035),1,0)</f>
      </c>
      <c r="D3308" s="6" t="str">
        <f>IF(OR(D3307=1,C3308=1),1,0)</f>
      </c>
      <c r="E3308" s="6" t="str">
        <f>IF(C3308=1,0,IF(D3307=1,E3307+1,0))</f>
      </c>
      <c r="F3308" s="6" t="str">
        <f>IF(AND(C3308=1,D3307=1),MIN(E3307,3),"")</f>
      </c>
    </row>
    <row r="3309">
      <c r="A3309" s="5">
        <v>271</v>
      </c>
      <c r="B3309" s="5" t="str">
        <f>'Lineal Mixto'!$C$275</f>
      </c>
      <c r="C3309" s="5" t="str">
        <f>IF(AND(B3309&gt;=$B$3034,B3309&lt;=$B$3035),1,0)</f>
      </c>
      <c r="D3309" s="5" t="str">
        <f>IF(OR(D3308=1,C3309=1),1,0)</f>
      </c>
      <c r="E3309" s="5" t="str">
        <f>IF(C3309=1,0,IF(D3308=1,E3308+1,0))</f>
      </c>
      <c r="F3309" s="5" t="str">
        <f>IF(AND(C3309=1,D3308=1),MIN(E3308,3),"")</f>
      </c>
    </row>
    <row r="3310">
      <c r="A3310" s="6">
        <v>272</v>
      </c>
      <c r="B3310" s="6" t="str">
        <f>'Lineal Mixto'!$C$276</f>
      </c>
      <c r="C3310" s="6" t="str">
        <f>IF(AND(B3310&gt;=$B$3034,B3310&lt;=$B$3035),1,0)</f>
      </c>
      <c r="D3310" s="6" t="str">
        <f>IF(OR(D3309=1,C3310=1),1,0)</f>
      </c>
      <c r="E3310" s="6" t="str">
        <f>IF(C3310=1,0,IF(D3309=1,E3309+1,0))</f>
      </c>
      <c r="F3310" s="6" t="str">
        <f>IF(AND(C3310=1,D3309=1),MIN(E3309,3),"")</f>
      </c>
    </row>
    <row r="3311">
      <c r="A3311" s="5">
        <v>273</v>
      </c>
      <c r="B3311" s="5" t="str">
        <f>'Lineal Mixto'!$C$277</f>
      </c>
      <c r="C3311" s="5" t="str">
        <f>IF(AND(B3311&gt;=$B$3034,B3311&lt;=$B$3035),1,0)</f>
      </c>
      <c r="D3311" s="5" t="str">
        <f>IF(OR(D3310=1,C3311=1),1,0)</f>
      </c>
      <c r="E3311" s="5" t="str">
        <f>IF(C3311=1,0,IF(D3310=1,E3310+1,0))</f>
      </c>
      <c r="F3311" s="5" t="str">
        <f>IF(AND(C3311=1,D3310=1),MIN(E3310,3),"")</f>
      </c>
    </row>
    <row r="3312">
      <c r="A3312" s="6">
        <v>274</v>
      </c>
      <c r="B3312" s="6" t="str">
        <f>'Lineal Mixto'!$C$278</f>
      </c>
      <c r="C3312" s="6" t="str">
        <f>IF(AND(B3312&gt;=$B$3034,B3312&lt;=$B$3035),1,0)</f>
      </c>
      <c r="D3312" s="6" t="str">
        <f>IF(OR(D3311=1,C3312=1),1,0)</f>
      </c>
      <c r="E3312" s="6" t="str">
        <f>IF(C3312=1,0,IF(D3311=1,E3311+1,0))</f>
      </c>
      <c r="F3312" s="6" t="str">
        <f>IF(AND(C3312=1,D3311=1),MIN(E3311,3),"")</f>
      </c>
    </row>
    <row r="3313">
      <c r="A3313" s="5">
        <v>275</v>
      </c>
      <c r="B3313" s="5" t="str">
        <f>'Lineal Mixto'!$C$279</f>
      </c>
      <c r="C3313" s="5" t="str">
        <f>IF(AND(B3313&gt;=$B$3034,B3313&lt;=$B$3035),1,0)</f>
      </c>
      <c r="D3313" s="5" t="str">
        <f>IF(OR(D3312=1,C3313=1),1,0)</f>
      </c>
      <c r="E3313" s="5" t="str">
        <f>IF(C3313=1,0,IF(D3312=1,E3312+1,0))</f>
      </c>
      <c r="F3313" s="5" t="str">
        <f>IF(AND(C3313=1,D3312=1),MIN(E3312,3),"")</f>
      </c>
    </row>
    <row r="3314">
      <c r="A3314" s="6">
        <v>276</v>
      </c>
      <c r="B3314" s="6" t="str">
        <f>'Lineal Mixto'!$C$280</f>
      </c>
      <c r="C3314" s="6" t="str">
        <f>IF(AND(B3314&gt;=$B$3034,B3314&lt;=$B$3035),1,0)</f>
      </c>
      <c r="D3314" s="6" t="str">
        <f>IF(OR(D3313=1,C3314=1),1,0)</f>
      </c>
      <c r="E3314" s="6" t="str">
        <f>IF(C3314=1,0,IF(D3313=1,E3313+1,0))</f>
      </c>
      <c r="F3314" s="6" t="str">
        <f>IF(AND(C3314=1,D3313=1),MIN(E3313,3),"")</f>
      </c>
    </row>
    <row r="3315">
      <c r="A3315" s="5">
        <v>277</v>
      </c>
      <c r="B3315" s="5" t="str">
        <f>'Lineal Mixto'!$C$281</f>
      </c>
      <c r="C3315" s="5" t="str">
        <f>IF(AND(B3315&gt;=$B$3034,B3315&lt;=$B$3035),1,0)</f>
      </c>
      <c r="D3315" s="5" t="str">
        <f>IF(OR(D3314=1,C3315=1),1,0)</f>
      </c>
      <c r="E3315" s="5" t="str">
        <f>IF(C3315=1,0,IF(D3314=1,E3314+1,0))</f>
      </c>
      <c r="F3315" s="5" t="str">
        <f>IF(AND(C3315=1,D3314=1),MIN(E3314,3),"")</f>
      </c>
    </row>
    <row r="3316">
      <c r="A3316" s="6">
        <v>278</v>
      </c>
      <c r="B3316" s="6" t="str">
        <f>'Lineal Mixto'!$C$282</f>
      </c>
      <c r="C3316" s="6" t="str">
        <f>IF(AND(B3316&gt;=$B$3034,B3316&lt;=$B$3035),1,0)</f>
      </c>
      <c r="D3316" s="6" t="str">
        <f>IF(OR(D3315=1,C3316=1),1,0)</f>
      </c>
      <c r="E3316" s="6" t="str">
        <f>IF(C3316=1,0,IF(D3315=1,E3315+1,0))</f>
      </c>
      <c r="F3316" s="6" t="str">
        <f>IF(AND(C3316=1,D3315=1),MIN(E3315,3),"")</f>
      </c>
    </row>
    <row r="3317">
      <c r="A3317" s="5">
        <v>279</v>
      </c>
      <c r="B3317" s="5" t="str">
        <f>'Lineal Mixto'!$C$283</f>
      </c>
      <c r="C3317" s="5" t="str">
        <f>IF(AND(B3317&gt;=$B$3034,B3317&lt;=$B$3035),1,0)</f>
      </c>
      <c r="D3317" s="5" t="str">
        <f>IF(OR(D3316=1,C3317=1),1,0)</f>
      </c>
      <c r="E3317" s="5" t="str">
        <f>IF(C3317=1,0,IF(D3316=1,E3316+1,0))</f>
      </c>
      <c r="F3317" s="5" t="str">
        <f>IF(AND(C3317=1,D3316=1),MIN(E3316,3),"")</f>
      </c>
    </row>
    <row r="3318">
      <c r="A3318" s="6">
        <v>280</v>
      </c>
      <c r="B3318" s="6" t="str">
        <f>'Lineal Mixto'!$C$284</f>
      </c>
      <c r="C3318" s="6" t="str">
        <f>IF(AND(B3318&gt;=$B$3034,B3318&lt;=$B$3035),1,0)</f>
      </c>
      <c r="D3318" s="6" t="str">
        <f>IF(OR(D3317=1,C3318=1),1,0)</f>
      </c>
      <c r="E3318" s="6" t="str">
        <f>IF(C3318=1,0,IF(D3317=1,E3317+1,0))</f>
      </c>
      <c r="F3318" s="6" t="str">
        <f>IF(AND(C3318=1,D3317=1),MIN(E3317,3),"")</f>
      </c>
    </row>
    <row r="3319">
      <c r="A3319" s="5">
        <v>281</v>
      </c>
      <c r="B3319" s="5" t="str">
        <f>'Lineal Mixto'!$C$285</f>
      </c>
      <c r="C3319" s="5" t="str">
        <f>IF(AND(B3319&gt;=$B$3034,B3319&lt;=$B$3035),1,0)</f>
      </c>
      <c r="D3319" s="5" t="str">
        <f>IF(OR(D3318=1,C3319=1),1,0)</f>
      </c>
      <c r="E3319" s="5" t="str">
        <f>IF(C3319=1,0,IF(D3318=1,E3318+1,0))</f>
      </c>
      <c r="F3319" s="5" t="str">
        <f>IF(AND(C3319=1,D3318=1),MIN(E3318,3),"")</f>
      </c>
    </row>
    <row r="3320">
      <c r="A3320" s="6">
        <v>282</v>
      </c>
      <c r="B3320" s="6" t="str">
        <f>'Lineal Mixto'!$C$286</f>
      </c>
      <c r="C3320" s="6" t="str">
        <f>IF(AND(B3320&gt;=$B$3034,B3320&lt;=$B$3035),1,0)</f>
      </c>
      <c r="D3320" s="6" t="str">
        <f>IF(OR(D3319=1,C3320=1),1,0)</f>
      </c>
      <c r="E3320" s="6" t="str">
        <f>IF(C3320=1,0,IF(D3319=1,E3319+1,0))</f>
      </c>
      <c r="F3320" s="6" t="str">
        <f>IF(AND(C3320=1,D3319=1),MIN(E3319,3),"")</f>
      </c>
    </row>
    <row r="3321">
      <c r="A3321" s="5">
        <v>283</v>
      </c>
      <c r="B3321" s="5" t="str">
        <f>'Lineal Mixto'!$C$287</f>
      </c>
      <c r="C3321" s="5" t="str">
        <f>IF(AND(B3321&gt;=$B$3034,B3321&lt;=$B$3035),1,0)</f>
      </c>
      <c r="D3321" s="5" t="str">
        <f>IF(OR(D3320=1,C3321=1),1,0)</f>
      </c>
      <c r="E3321" s="5" t="str">
        <f>IF(C3321=1,0,IF(D3320=1,E3320+1,0))</f>
      </c>
      <c r="F3321" s="5" t="str">
        <f>IF(AND(C3321=1,D3320=1),MIN(E3320,3),"")</f>
      </c>
    </row>
    <row r="3322">
      <c r="A3322" s="6">
        <v>284</v>
      </c>
      <c r="B3322" s="6" t="str">
        <f>'Lineal Mixto'!$C$288</f>
      </c>
      <c r="C3322" s="6" t="str">
        <f>IF(AND(B3322&gt;=$B$3034,B3322&lt;=$B$3035),1,0)</f>
      </c>
      <c r="D3322" s="6" t="str">
        <f>IF(OR(D3321=1,C3322=1),1,0)</f>
      </c>
      <c r="E3322" s="6" t="str">
        <f>IF(C3322=1,0,IF(D3321=1,E3321+1,0))</f>
      </c>
      <c r="F3322" s="6" t="str">
        <f>IF(AND(C3322=1,D3321=1),MIN(E3321,3),"")</f>
      </c>
    </row>
    <row r="3323">
      <c r="A3323" s="5">
        <v>285</v>
      </c>
      <c r="B3323" s="5" t="str">
        <f>'Lineal Mixto'!$C$289</f>
      </c>
      <c r="C3323" s="5" t="str">
        <f>IF(AND(B3323&gt;=$B$3034,B3323&lt;=$B$3035),1,0)</f>
      </c>
      <c r="D3323" s="5" t="str">
        <f>IF(OR(D3322=1,C3323=1),1,0)</f>
      </c>
      <c r="E3323" s="5" t="str">
        <f>IF(C3323=1,0,IF(D3322=1,E3322+1,0))</f>
      </c>
      <c r="F3323" s="5" t="str">
        <f>IF(AND(C3323=1,D3322=1),MIN(E3322,3),"")</f>
      </c>
    </row>
    <row r="3324">
      <c r="A3324" s="6">
        <v>286</v>
      </c>
      <c r="B3324" s="6" t="str">
        <f>'Lineal Mixto'!$C$290</f>
      </c>
      <c r="C3324" s="6" t="str">
        <f>IF(AND(B3324&gt;=$B$3034,B3324&lt;=$B$3035),1,0)</f>
      </c>
      <c r="D3324" s="6" t="str">
        <f>IF(OR(D3323=1,C3324=1),1,0)</f>
      </c>
      <c r="E3324" s="6" t="str">
        <f>IF(C3324=1,0,IF(D3323=1,E3323+1,0))</f>
      </c>
      <c r="F3324" s="6" t="str">
        <f>IF(AND(C3324=1,D3323=1),MIN(E3323,3),"")</f>
      </c>
    </row>
    <row r="3325">
      <c r="A3325" s="5">
        <v>287</v>
      </c>
      <c r="B3325" s="5" t="str">
        <f>'Lineal Mixto'!$C$291</f>
      </c>
      <c r="C3325" s="5" t="str">
        <f>IF(AND(B3325&gt;=$B$3034,B3325&lt;=$B$3035),1,0)</f>
      </c>
      <c r="D3325" s="5" t="str">
        <f>IF(OR(D3324=1,C3325=1),1,0)</f>
      </c>
      <c r="E3325" s="5" t="str">
        <f>IF(C3325=1,0,IF(D3324=1,E3324+1,0))</f>
      </c>
      <c r="F3325" s="5" t="str">
        <f>IF(AND(C3325=1,D3324=1),MIN(E3324,3),"")</f>
      </c>
    </row>
    <row r="3326">
      <c r="A3326" s="6">
        <v>288</v>
      </c>
      <c r="B3326" s="6" t="str">
        <f>'Lineal Mixto'!$C$292</f>
      </c>
      <c r="C3326" s="6" t="str">
        <f>IF(AND(B3326&gt;=$B$3034,B3326&lt;=$B$3035),1,0)</f>
      </c>
      <c r="D3326" s="6" t="str">
        <f>IF(OR(D3325=1,C3326=1),1,0)</f>
      </c>
      <c r="E3326" s="6" t="str">
        <f>IF(C3326=1,0,IF(D3325=1,E3325+1,0))</f>
      </c>
      <c r="F3326" s="6" t="str">
        <f>IF(AND(C3326=1,D3325=1),MIN(E3325,3),"")</f>
      </c>
    </row>
    <row r="3327">
      <c r="A3327" s="5">
        <v>289</v>
      </c>
      <c r="B3327" s="5" t="str">
        <f>'Lineal Mixto'!$C$293</f>
      </c>
      <c r="C3327" s="5" t="str">
        <f>IF(AND(B3327&gt;=$B$3034,B3327&lt;=$B$3035),1,0)</f>
      </c>
      <c r="D3327" s="5" t="str">
        <f>IF(OR(D3326=1,C3327=1),1,0)</f>
      </c>
      <c r="E3327" s="5" t="str">
        <f>IF(C3327=1,0,IF(D3326=1,E3326+1,0))</f>
      </c>
      <c r="F3327" s="5" t="str">
        <f>IF(AND(C3327=1,D3326=1),MIN(E3326,3),"")</f>
      </c>
    </row>
    <row r="3328">
      <c r="A3328" s="6">
        <v>290</v>
      </c>
      <c r="B3328" s="6" t="str">
        <f>'Lineal Mixto'!$C$294</f>
      </c>
      <c r="C3328" s="6" t="str">
        <f>IF(AND(B3328&gt;=$B$3034,B3328&lt;=$B$3035),1,0)</f>
      </c>
      <c r="D3328" s="6" t="str">
        <f>IF(OR(D3327=1,C3328=1),1,0)</f>
      </c>
      <c r="E3328" s="6" t="str">
        <f>IF(C3328=1,0,IF(D3327=1,E3327+1,0))</f>
      </c>
      <c r="F3328" s="6" t="str">
        <f>IF(AND(C3328=1,D3327=1),MIN(E3327,3),"")</f>
      </c>
    </row>
    <row r="3329">
      <c r="A3329" s="5">
        <v>291</v>
      </c>
      <c r="B3329" s="5" t="str">
        <f>'Lineal Mixto'!$C$295</f>
      </c>
      <c r="C3329" s="5" t="str">
        <f>IF(AND(B3329&gt;=$B$3034,B3329&lt;=$B$3035),1,0)</f>
      </c>
      <c r="D3329" s="5" t="str">
        <f>IF(OR(D3328=1,C3329=1),1,0)</f>
      </c>
      <c r="E3329" s="5" t="str">
        <f>IF(C3329=1,0,IF(D3328=1,E3328+1,0))</f>
      </c>
      <c r="F3329" s="5" t="str">
        <f>IF(AND(C3329=1,D3328=1),MIN(E3328,3),"")</f>
      </c>
    </row>
    <row r="3330">
      <c r="A3330" s="6">
        <v>292</v>
      </c>
      <c r="B3330" s="6" t="str">
        <f>'Lineal Mixto'!$C$296</f>
      </c>
      <c r="C3330" s="6" t="str">
        <f>IF(AND(B3330&gt;=$B$3034,B3330&lt;=$B$3035),1,0)</f>
      </c>
      <c r="D3330" s="6" t="str">
        <f>IF(OR(D3329=1,C3330=1),1,0)</f>
      </c>
      <c r="E3330" s="6" t="str">
        <f>IF(C3330=1,0,IF(D3329=1,E3329+1,0))</f>
      </c>
      <c r="F3330" s="6" t="str">
        <f>IF(AND(C3330=1,D3329=1),MIN(E3329,3),"")</f>
      </c>
    </row>
    <row r="3331">
      <c r="A3331" s="5">
        <v>293</v>
      </c>
      <c r="B3331" s="5" t="str">
        <f>'Lineal Mixto'!$C$297</f>
      </c>
      <c r="C3331" s="5" t="str">
        <f>IF(AND(B3331&gt;=$B$3034,B3331&lt;=$B$3035),1,0)</f>
      </c>
      <c r="D3331" s="5" t="str">
        <f>IF(OR(D3330=1,C3331=1),1,0)</f>
      </c>
      <c r="E3331" s="5" t="str">
        <f>IF(C3331=1,0,IF(D3330=1,E3330+1,0))</f>
      </c>
      <c r="F3331" s="5" t="str">
        <f>IF(AND(C3331=1,D3330=1),MIN(E3330,3),"")</f>
      </c>
    </row>
    <row r="3332">
      <c r="A3332" s="6">
        <v>294</v>
      </c>
      <c r="B3332" s="6" t="str">
        <f>'Lineal Mixto'!$C$298</f>
      </c>
      <c r="C3332" s="6" t="str">
        <f>IF(AND(B3332&gt;=$B$3034,B3332&lt;=$B$3035),1,0)</f>
      </c>
      <c r="D3332" s="6" t="str">
        <f>IF(OR(D3331=1,C3332=1),1,0)</f>
      </c>
      <c r="E3332" s="6" t="str">
        <f>IF(C3332=1,0,IF(D3331=1,E3331+1,0))</f>
      </c>
      <c r="F3332" s="6" t="str">
        <f>IF(AND(C3332=1,D3331=1),MIN(E3331,3),"")</f>
      </c>
    </row>
    <row r="3333">
      <c r="A3333" s="5">
        <v>295</v>
      </c>
      <c r="B3333" s="5" t="str">
        <f>'Lineal Mixto'!$C$299</f>
      </c>
      <c r="C3333" s="5" t="str">
        <f>IF(AND(B3333&gt;=$B$3034,B3333&lt;=$B$3035),1,0)</f>
      </c>
      <c r="D3333" s="5" t="str">
        <f>IF(OR(D3332=1,C3333=1),1,0)</f>
      </c>
      <c r="E3333" s="5" t="str">
        <f>IF(C3333=1,0,IF(D3332=1,E3332+1,0))</f>
      </c>
      <c r="F3333" s="5" t="str">
        <f>IF(AND(C3333=1,D3332=1),MIN(E3332,3),"")</f>
      </c>
    </row>
    <row r="3334">
      <c r="A3334" s="6">
        <v>296</v>
      </c>
      <c r="B3334" s="6" t="str">
        <f>'Lineal Mixto'!$C$300</f>
      </c>
      <c r="C3334" s="6" t="str">
        <f>IF(AND(B3334&gt;=$B$3034,B3334&lt;=$B$3035),1,0)</f>
      </c>
      <c r="D3334" s="6" t="str">
        <f>IF(OR(D3333=1,C3334=1),1,0)</f>
      </c>
      <c r="E3334" s="6" t="str">
        <f>IF(C3334=1,0,IF(D3333=1,E3333+1,0))</f>
      </c>
      <c r="F3334" s="6" t="str">
        <f>IF(AND(C3334=1,D3333=1),MIN(E3333,3),"")</f>
      </c>
    </row>
    <row r="3335">
      <c r="A3335" s="5">
        <v>297</v>
      </c>
      <c r="B3335" s="5" t="str">
        <f>'Lineal Mixto'!$C$301</f>
      </c>
      <c r="C3335" s="5" t="str">
        <f>IF(AND(B3335&gt;=$B$3034,B3335&lt;=$B$3035),1,0)</f>
      </c>
      <c r="D3335" s="5" t="str">
        <f>IF(OR(D3334=1,C3335=1),1,0)</f>
      </c>
      <c r="E3335" s="5" t="str">
        <f>IF(C3335=1,0,IF(D3334=1,E3334+1,0))</f>
      </c>
      <c r="F3335" s="5" t="str">
        <f>IF(AND(C3335=1,D3334=1),MIN(E3334,3),"")</f>
      </c>
    </row>
    <row r="3336">
      <c r="A3336" s="6">
        <v>298</v>
      </c>
      <c r="B3336" s="6" t="str">
        <f>'Lineal Mixto'!$C$302</f>
      </c>
      <c r="C3336" s="6" t="str">
        <f>IF(AND(B3336&gt;=$B$3034,B3336&lt;=$B$3035),1,0)</f>
      </c>
      <c r="D3336" s="6" t="str">
        <f>IF(OR(D3335=1,C3336=1),1,0)</f>
      </c>
      <c r="E3336" s="6" t="str">
        <f>IF(C3336=1,0,IF(D3335=1,E3335+1,0))</f>
      </c>
      <c r="F3336" s="6" t="str">
        <f>IF(AND(C3336=1,D3335=1),MIN(E3335,3),"")</f>
      </c>
    </row>
    <row r="3337">
      <c r="A3337" s="5">
        <v>299</v>
      </c>
      <c r="B3337" s="5" t="str">
        <f>'Lineal Mixto'!$C$303</f>
      </c>
      <c r="C3337" s="5" t="str">
        <f>IF(AND(B3337&gt;=$B$3034,B3337&lt;=$B$3035),1,0)</f>
      </c>
      <c r="D3337" s="5" t="str">
        <f>IF(OR(D3336=1,C3337=1),1,0)</f>
      </c>
      <c r="E3337" s="5" t="str">
        <f>IF(C3337=1,0,IF(D3336=1,E3336+1,0))</f>
      </c>
      <c r="F3337" s="5" t="str">
        <f>IF(AND(C3337=1,D3336=1),MIN(E3336,3),"")</f>
      </c>
    </row>
    <row r="3338">
      <c r="A3338" s="6">
        <v>300</v>
      </c>
      <c r="B3338" s="6" t="str">
        <f>'Lineal Mixto'!$C$304</f>
      </c>
      <c r="C3338" s="6" t="str">
        <f>IF(AND(B3338&gt;=$B$3034,B3338&lt;=$B$3035),1,0)</f>
      </c>
      <c r="D3338" s="6" t="str">
        <f>IF(OR(D3337=1,C3338=1),1,0)</f>
      </c>
      <c r="E3338" s="6" t="str">
        <f>IF(C3338=1,0,IF(D3337=1,E3337+1,0))</f>
      </c>
      <c r="F3338" s="6" t="str">
        <f>IF(AND(C3338=1,D3337=1),MIN(E3337,3),"")</f>
      </c>
    </row>
    <row r="3339">
      <c r="A3339" s="5">
        <v>301</v>
      </c>
      <c r="B3339" s="5" t="str">
        <f>'Lineal Mixto'!$C$305</f>
      </c>
      <c r="C3339" s="5" t="str">
        <f>IF(AND(B3339&gt;=$B$3034,B3339&lt;=$B$3035),1,0)</f>
      </c>
      <c r="D3339" s="5" t="str">
        <f>IF(OR(D3338=1,C3339=1),1,0)</f>
      </c>
      <c r="E3339" s="5" t="str">
        <f>IF(C3339=1,0,IF(D3338=1,E3338+1,0))</f>
      </c>
      <c r="F3339" s="5" t="str">
        <f>IF(AND(C3339=1,D3338=1),MIN(E3338,3),"")</f>
      </c>
    </row>
    <row r="3340">
      <c r="A3340" s="6">
        <v>302</v>
      </c>
      <c r="B3340" s="6" t="str">
        <f>'Lineal Mixto'!$C$306</f>
      </c>
      <c r="C3340" s="6" t="str">
        <f>IF(AND(B3340&gt;=$B$3034,B3340&lt;=$B$3035),1,0)</f>
      </c>
      <c r="D3340" s="6" t="str">
        <f>IF(OR(D3339=1,C3340=1),1,0)</f>
      </c>
      <c r="E3340" s="6" t="str">
        <f>IF(C3340=1,0,IF(D3339=1,E3339+1,0))</f>
      </c>
      <c r="F3340" s="6" t="str">
        <f>IF(AND(C3340=1,D3339=1),MIN(E3339,3),"")</f>
      </c>
    </row>
    <row r="3341">
      <c r="A3341" s="5">
        <v>303</v>
      </c>
      <c r="B3341" s="5" t="str">
        <f>'Lineal Mixto'!$C$307</f>
      </c>
      <c r="C3341" s="5" t="str">
        <f>IF(AND(B3341&gt;=$B$3034,B3341&lt;=$B$3035),1,0)</f>
      </c>
      <c r="D3341" s="5" t="str">
        <f>IF(OR(D3340=1,C3341=1),1,0)</f>
      </c>
      <c r="E3341" s="5" t="str">
        <f>IF(C3341=1,0,IF(D3340=1,E3340+1,0))</f>
      </c>
      <c r="F3341" s="5" t="str">
        <f>IF(AND(C3341=1,D3340=1),MIN(E3340,3),"")</f>
      </c>
    </row>
    <row r="3342">
      <c r="A3342" s="6">
        <v>304</v>
      </c>
      <c r="B3342" s="6" t="str">
        <f>'Lineal Mixto'!$C$308</f>
      </c>
      <c r="C3342" s="6" t="str">
        <f>IF(AND(B3342&gt;=$B$3034,B3342&lt;=$B$3035),1,0)</f>
      </c>
      <c r="D3342" s="6" t="str">
        <f>IF(OR(D3341=1,C3342=1),1,0)</f>
      </c>
      <c r="E3342" s="6" t="str">
        <f>IF(C3342=1,0,IF(D3341=1,E3341+1,0))</f>
      </c>
      <c r="F3342" s="6" t="str">
        <f>IF(AND(C3342=1,D3341=1),MIN(E3341,3),"")</f>
      </c>
    </row>
    <row r="3343">
      <c r="A3343" s="5">
        <v>305</v>
      </c>
      <c r="B3343" s="5" t="str">
        <f>'Lineal Mixto'!$C$309</f>
      </c>
      <c r="C3343" s="5" t="str">
        <f>IF(AND(B3343&gt;=$B$3034,B3343&lt;=$B$3035),1,0)</f>
      </c>
      <c r="D3343" s="5" t="str">
        <f>IF(OR(D3342=1,C3343=1),1,0)</f>
      </c>
      <c r="E3343" s="5" t="str">
        <f>IF(C3343=1,0,IF(D3342=1,E3342+1,0))</f>
      </c>
      <c r="F3343" s="5" t="str">
        <f>IF(AND(C3343=1,D3342=1),MIN(E3342,3),"")</f>
      </c>
    </row>
    <row r="3344">
      <c r="A3344" s="6">
        <v>306</v>
      </c>
      <c r="B3344" s="6" t="str">
        <f>'Lineal Mixto'!$C$310</f>
      </c>
      <c r="C3344" s="6" t="str">
        <f>IF(AND(B3344&gt;=$B$3034,B3344&lt;=$B$3035),1,0)</f>
      </c>
      <c r="D3344" s="6" t="str">
        <f>IF(OR(D3343=1,C3344=1),1,0)</f>
      </c>
      <c r="E3344" s="6" t="str">
        <f>IF(C3344=1,0,IF(D3343=1,E3343+1,0))</f>
      </c>
      <c r="F3344" s="6" t="str">
        <f>IF(AND(C3344=1,D3343=1),MIN(E3343,3),"")</f>
      </c>
    </row>
    <row r="3345">
      <c r="A3345" s="5">
        <v>307</v>
      </c>
      <c r="B3345" s="5" t="str">
        <f>'Lineal Mixto'!$C$311</f>
      </c>
      <c r="C3345" s="5" t="str">
        <f>IF(AND(B3345&gt;=$B$3034,B3345&lt;=$B$3035),1,0)</f>
      </c>
      <c r="D3345" s="5" t="str">
        <f>IF(OR(D3344=1,C3345=1),1,0)</f>
      </c>
      <c r="E3345" s="5" t="str">
        <f>IF(C3345=1,0,IF(D3344=1,E3344+1,0))</f>
      </c>
      <c r="F3345" s="5" t="str">
        <f>IF(AND(C3345=1,D3344=1),MIN(E3344,3),"")</f>
      </c>
    </row>
    <row r="3346">
      <c r="A3346" s="6">
        <v>308</v>
      </c>
      <c r="B3346" s="6" t="str">
        <f>'Lineal Mixto'!$C$312</f>
      </c>
      <c r="C3346" s="6" t="str">
        <f>IF(AND(B3346&gt;=$B$3034,B3346&lt;=$B$3035),1,0)</f>
      </c>
      <c r="D3346" s="6" t="str">
        <f>IF(OR(D3345=1,C3346=1),1,0)</f>
      </c>
      <c r="E3346" s="6" t="str">
        <f>IF(C3346=1,0,IF(D3345=1,E3345+1,0))</f>
      </c>
      <c r="F3346" s="6" t="str">
        <f>IF(AND(C3346=1,D3345=1),MIN(E3345,3),"")</f>
      </c>
    </row>
    <row r="3347">
      <c r="A3347" s="5">
        <v>309</v>
      </c>
      <c r="B3347" s="5" t="str">
        <f>'Lineal Mixto'!$C$313</f>
      </c>
      <c r="C3347" s="5" t="str">
        <f>IF(AND(B3347&gt;=$B$3034,B3347&lt;=$B$3035),1,0)</f>
      </c>
      <c r="D3347" s="5" t="str">
        <f>IF(OR(D3346=1,C3347=1),1,0)</f>
      </c>
      <c r="E3347" s="5" t="str">
        <f>IF(C3347=1,0,IF(D3346=1,E3346+1,0))</f>
      </c>
      <c r="F3347" s="5" t="str">
        <f>IF(AND(C3347=1,D3346=1),MIN(E3346,3),"")</f>
      </c>
    </row>
    <row r="3348">
      <c r="A3348" s="6">
        <v>310</v>
      </c>
      <c r="B3348" s="6" t="str">
        <f>'Lineal Mixto'!$C$314</f>
      </c>
      <c r="C3348" s="6" t="str">
        <f>IF(AND(B3348&gt;=$B$3034,B3348&lt;=$B$3035),1,0)</f>
      </c>
      <c r="D3348" s="6" t="str">
        <f>IF(OR(D3347=1,C3348=1),1,0)</f>
      </c>
      <c r="E3348" s="6" t="str">
        <f>IF(C3348=1,0,IF(D3347=1,E3347+1,0))</f>
      </c>
      <c r="F3348" s="6" t="str">
        <f>IF(AND(C3348=1,D3347=1),MIN(E3347,3),"")</f>
      </c>
    </row>
    <row r="3349">
      <c r="A3349" s="5">
        <v>311</v>
      </c>
      <c r="B3349" s="5" t="str">
        <f>'Lineal Mixto'!$C$315</f>
      </c>
      <c r="C3349" s="5" t="str">
        <f>IF(AND(B3349&gt;=$B$3034,B3349&lt;=$B$3035),1,0)</f>
      </c>
      <c r="D3349" s="5" t="str">
        <f>IF(OR(D3348=1,C3349=1),1,0)</f>
      </c>
      <c r="E3349" s="5" t="str">
        <f>IF(C3349=1,0,IF(D3348=1,E3348+1,0))</f>
      </c>
      <c r="F3349" s="5" t="str">
        <f>IF(AND(C3349=1,D3348=1),MIN(E3348,3),"")</f>
      </c>
    </row>
    <row r="3350">
      <c r="A3350" s="6">
        <v>312</v>
      </c>
      <c r="B3350" s="6" t="str">
        <f>'Lineal Mixto'!$C$316</f>
      </c>
      <c r="C3350" s="6" t="str">
        <f>IF(AND(B3350&gt;=$B$3034,B3350&lt;=$B$3035),1,0)</f>
      </c>
      <c r="D3350" s="6" t="str">
        <f>IF(OR(D3349=1,C3350=1),1,0)</f>
      </c>
      <c r="E3350" s="6" t="str">
        <f>IF(C3350=1,0,IF(D3349=1,E3349+1,0))</f>
      </c>
      <c r="F3350" s="6" t="str">
        <f>IF(AND(C3350=1,D3349=1),MIN(E3349,3),"")</f>
      </c>
    </row>
    <row r="3351">
      <c r="A3351" s="5">
        <v>313</v>
      </c>
      <c r="B3351" s="5" t="str">
        <f>'Lineal Mixto'!$C$317</f>
      </c>
      <c r="C3351" s="5" t="str">
        <f>IF(AND(B3351&gt;=$B$3034,B3351&lt;=$B$3035),1,0)</f>
      </c>
      <c r="D3351" s="5" t="str">
        <f>IF(OR(D3350=1,C3351=1),1,0)</f>
      </c>
      <c r="E3351" s="5" t="str">
        <f>IF(C3351=1,0,IF(D3350=1,E3350+1,0))</f>
      </c>
      <c r="F3351" s="5" t="str">
        <f>IF(AND(C3351=1,D3350=1),MIN(E3350,3),"")</f>
      </c>
    </row>
    <row r="3352">
      <c r="A3352" s="6">
        <v>314</v>
      </c>
      <c r="B3352" s="6" t="str">
        <f>'Lineal Mixto'!$C$318</f>
      </c>
      <c r="C3352" s="6" t="str">
        <f>IF(AND(B3352&gt;=$B$3034,B3352&lt;=$B$3035),1,0)</f>
      </c>
      <c r="D3352" s="6" t="str">
        <f>IF(OR(D3351=1,C3352=1),1,0)</f>
      </c>
      <c r="E3352" s="6" t="str">
        <f>IF(C3352=1,0,IF(D3351=1,E3351+1,0))</f>
      </c>
      <c r="F3352" s="6" t="str">
        <f>IF(AND(C3352=1,D3351=1),MIN(E3351,3),"")</f>
      </c>
    </row>
    <row r="3353">
      <c r="A3353" s="5">
        <v>315</v>
      </c>
      <c r="B3353" s="5" t="str">
        <f>'Lineal Mixto'!$C$319</f>
      </c>
      <c r="C3353" s="5" t="str">
        <f>IF(AND(B3353&gt;=$B$3034,B3353&lt;=$B$3035),1,0)</f>
      </c>
      <c r="D3353" s="5" t="str">
        <f>IF(OR(D3352=1,C3353=1),1,0)</f>
      </c>
      <c r="E3353" s="5" t="str">
        <f>IF(C3353=1,0,IF(D3352=1,E3352+1,0))</f>
      </c>
      <c r="F3353" s="5" t="str">
        <f>IF(AND(C3353=1,D3352=1),MIN(E3352,3),"")</f>
      </c>
    </row>
    <row r="3354">
      <c r="A3354" s="6">
        <v>316</v>
      </c>
      <c r="B3354" s="6" t="str">
        <f>'Lineal Mixto'!$C$320</f>
      </c>
      <c r="C3354" s="6" t="str">
        <f>IF(AND(B3354&gt;=$B$3034,B3354&lt;=$B$3035),1,0)</f>
      </c>
      <c r="D3354" s="6" t="str">
        <f>IF(OR(D3353=1,C3354=1),1,0)</f>
      </c>
      <c r="E3354" s="6" t="str">
        <f>IF(C3354=1,0,IF(D3353=1,E3353+1,0))</f>
      </c>
      <c r="F3354" s="6" t="str">
        <f>IF(AND(C3354=1,D3353=1),MIN(E3353,3),"")</f>
      </c>
    </row>
    <row r="3355">
      <c r="A3355" s="5">
        <v>317</v>
      </c>
      <c r="B3355" s="5" t="str">
        <f>'Lineal Mixto'!$C$321</f>
      </c>
      <c r="C3355" s="5" t="str">
        <f>IF(AND(B3355&gt;=$B$3034,B3355&lt;=$B$3035),1,0)</f>
      </c>
      <c r="D3355" s="5" t="str">
        <f>IF(OR(D3354=1,C3355=1),1,0)</f>
      </c>
      <c r="E3355" s="5" t="str">
        <f>IF(C3355=1,0,IF(D3354=1,E3354+1,0))</f>
      </c>
      <c r="F3355" s="5" t="str">
        <f>IF(AND(C3355=1,D3354=1),MIN(E3354,3),"")</f>
      </c>
    </row>
    <row r="3356">
      <c r="A3356" s="6">
        <v>318</v>
      </c>
      <c r="B3356" s="6" t="str">
        <f>'Lineal Mixto'!$C$322</f>
      </c>
      <c r="C3356" s="6" t="str">
        <f>IF(AND(B3356&gt;=$B$3034,B3356&lt;=$B$3035),1,0)</f>
      </c>
      <c r="D3356" s="6" t="str">
        <f>IF(OR(D3355=1,C3356=1),1,0)</f>
      </c>
      <c r="E3356" s="6" t="str">
        <f>IF(C3356=1,0,IF(D3355=1,E3355+1,0))</f>
      </c>
      <c r="F3356" s="6" t="str">
        <f>IF(AND(C3356=1,D3355=1),MIN(E3355,3),"")</f>
      </c>
    </row>
    <row r="3357">
      <c r="A3357" s="5">
        <v>319</v>
      </c>
      <c r="B3357" s="5" t="str">
        <f>'Lineal Mixto'!$C$323</f>
      </c>
      <c r="C3357" s="5" t="str">
        <f>IF(AND(B3357&gt;=$B$3034,B3357&lt;=$B$3035),1,0)</f>
      </c>
      <c r="D3357" s="5" t="str">
        <f>IF(OR(D3356=1,C3357=1),1,0)</f>
      </c>
      <c r="E3357" s="5" t="str">
        <f>IF(C3357=1,0,IF(D3356=1,E3356+1,0))</f>
      </c>
      <c r="F3357" s="5" t="str">
        <f>IF(AND(C3357=1,D3356=1),MIN(E3356,3),"")</f>
      </c>
    </row>
    <row r="3358">
      <c r="A3358" s="6">
        <v>320</v>
      </c>
      <c r="B3358" s="6" t="str">
        <f>'Lineal Mixto'!$C$324</f>
      </c>
      <c r="C3358" s="6" t="str">
        <f>IF(AND(B3358&gt;=$B$3034,B3358&lt;=$B$3035),1,0)</f>
      </c>
      <c r="D3358" s="6" t="str">
        <f>IF(OR(D3357=1,C3358=1),1,0)</f>
      </c>
      <c r="E3358" s="6" t="str">
        <f>IF(C3358=1,0,IF(D3357=1,E3357+1,0))</f>
      </c>
      <c r="F3358" s="6" t="str">
        <f>IF(AND(C3358=1,D3357=1),MIN(E3357,3),"")</f>
      </c>
    </row>
    <row r="3359">
      <c r="A3359" s="5">
        <v>321</v>
      </c>
      <c r="B3359" s="5" t="str">
        <f>'Lineal Mixto'!$C$325</f>
      </c>
      <c r="C3359" s="5" t="str">
        <f>IF(AND(B3359&gt;=$B$3034,B3359&lt;=$B$3035),1,0)</f>
      </c>
      <c r="D3359" s="5" t="str">
        <f>IF(OR(D3358=1,C3359=1),1,0)</f>
      </c>
      <c r="E3359" s="5" t="str">
        <f>IF(C3359=1,0,IF(D3358=1,E3358+1,0))</f>
      </c>
      <c r="F3359" s="5" t="str">
        <f>IF(AND(C3359=1,D3358=1),MIN(E3358,3),"")</f>
      </c>
    </row>
    <row r="3360">
      <c r="A3360" s="6">
        <v>322</v>
      </c>
      <c r="B3360" s="6" t="str">
        <f>'Lineal Mixto'!$C$326</f>
      </c>
      <c r="C3360" s="6" t="str">
        <f>IF(AND(B3360&gt;=$B$3034,B3360&lt;=$B$3035),1,0)</f>
      </c>
      <c r="D3360" s="6" t="str">
        <f>IF(OR(D3359=1,C3360=1),1,0)</f>
      </c>
      <c r="E3360" s="6" t="str">
        <f>IF(C3360=1,0,IF(D3359=1,E3359+1,0))</f>
      </c>
      <c r="F3360" s="6" t="str">
        <f>IF(AND(C3360=1,D3359=1),MIN(E3359,3),"")</f>
      </c>
    </row>
    <row r="3361">
      <c r="A3361" s="5">
        <v>323</v>
      </c>
      <c r="B3361" s="5" t="str">
        <f>'Lineal Mixto'!$C$327</f>
      </c>
      <c r="C3361" s="5" t="str">
        <f>IF(AND(B3361&gt;=$B$3034,B3361&lt;=$B$3035),1,0)</f>
      </c>
      <c r="D3361" s="5" t="str">
        <f>IF(OR(D3360=1,C3361=1),1,0)</f>
      </c>
      <c r="E3361" s="5" t="str">
        <f>IF(C3361=1,0,IF(D3360=1,E3360+1,0))</f>
      </c>
      <c r="F3361" s="5" t="str">
        <f>IF(AND(C3361=1,D3360=1),MIN(E3360,3),"")</f>
      </c>
    </row>
    <row r="3362">
      <c r="A3362" s="6">
        <v>324</v>
      </c>
      <c r="B3362" s="6" t="str">
        <f>'Lineal Mixto'!$C$328</f>
      </c>
      <c r="C3362" s="6" t="str">
        <f>IF(AND(B3362&gt;=$B$3034,B3362&lt;=$B$3035),1,0)</f>
      </c>
      <c r="D3362" s="6" t="str">
        <f>IF(OR(D3361=1,C3362=1),1,0)</f>
      </c>
      <c r="E3362" s="6" t="str">
        <f>IF(C3362=1,0,IF(D3361=1,E3361+1,0))</f>
      </c>
      <c r="F3362" s="6" t="str">
        <f>IF(AND(C3362=1,D3361=1),MIN(E3361,3),"")</f>
      </c>
    </row>
    <row r="3363">
      <c r="A3363" s="5">
        <v>325</v>
      </c>
      <c r="B3363" s="5" t="str">
        <f>'Lineal Mixto'!$C$329</f>
      </c>
      <c r="C3363" s="5" t="str">
        <f>IF(AND(B3363&gt;=$B$3034,B3363&lt;=$B$3035),1,0)</f>
      </c>
      <c r="D3363" s="5" t="str">
        <f>IF(OR(D3362=1,C3363=1),1,0)</f>
      </c>
      <c r="E3363" s="5" t="str">
        <f>IF(C3363=1,0,IF(D3362=1,E3362+1,0))</f>
      </c>
      <c r="F3363" s="5" t="str">
        <f>IF(AND(C3363=1,D3362=1),MIN(E3362,3),"")</f>
      </c>
    </row>
    <row r="3364">
      <c r="A3364" s="6">
        <v>326</v>
      </c>
      <c r="B3364" s="6" t="str">
        <f>'Lineal Mixto'!$C$330</f>
      </c>
      <c r="C3364" s="6" t="str">
        <f>IF(AND(B3364&gt;=$B$3034,B3364&lt;=$B$3035),1,0)</f>
      </c>
      <c r="D3364" s="6" t="str">
        <f>IF(OR(D3363=1,C3364=1),1,0)</f>
      </c>
      <c r="E3364" s="6" t="str">
        <f>IF(C3364=1,0,IF(D3363=1,E3363+1,0))</f>
      </c>
      <c r="F3364" s="6" t="str">
        <f>IF(AND(C3364=1,D3363=1),MIN(E3363,3),"")</f>
      </c>
    </row>
    <row r="3365">
      <c r="A3365" s="5">
        <v>327</v>
      </c>
      <c r="B3365" s="5" t="str">
        <f>'Lineal Mixto'!$C$331</f>
      </c>
      <c r="C3365" s="5" t="str">
        <f>IF(AND(B3365&gt;=$B$3034,B3365&lt;=$B$3035),1,0)</f>
      </c>
      <c r="D3365" s="5" t="str">
        <f>IF(OR(D3364=1,C3365=1),1,0)</f>
      </c>
      <c r="E3365" s="5" t="str">
        <f>IF(C3365=1,0,IF(D3364=1,E3364+1,0))</f>
      </c>
      <c r="F3365" s="5" t="str">
        <f>IF(AND(C3365=1,D3364=1),MIN(E3364,3),"")</f>
      </c>
    </row>
    <row r="3366">
      <c r="A3366" s="6">
        <v>328</v>
      </c>
      <c r="B3366" s="6" t="str">
        <f>'Lineal Mixto'!$C$332</f>
      </c>
      <c r="C3366" s="6" t="str">
        <f>IF(AND(B3366&gt;=$B$3034,B3366&lt;=$B$3035),1,0)</f>
      </c>
      <c r="D3366" s="6" t="str">
        <f>IF(OR(D3365=1,C3366=1),1,0)</f>
      </c>
      <c r="E3366" s="6" t="str">
        <f>IF(C3366=1,0,IF(D3365=1,E3365+1,0))</f>
      </c>
      <c r="F3366" s="6" t="str">
        <f>IF(AND(C3366=1,D3365=1),MIN(E3365,3),"")</f>
      </c>
    </row>
    <row r="3367">
      <c r="A3367" s="5">
        <v>329</v>
      </c>
      <c r="B3367" s="5" t="str">
        <f>'Lineal Mixto'!$C$333</f>
      </c>
      <c r="C3367" s="5" t="str">
        <f>IF(AND(B3367&gt;=$B$3034,B3367&lt;=$B$3035),1,0)</f>
      </c>
      <c r="D3367" s="5" t="str">
        <f>IF(OR(D3366=1,C3367=1),1,0)</f>
      </c>
      <c r="E3367" s="5" t="str">
        <f>IF(C3367=1,0,IF(D3366=1,E3366+1,0))</f>
      </c>
      <c r="F3367" s="5" t="str">
        <f>IF(AND(C3367=1,D3366=1),MIN(E3366,3),"")</f>
      </c>
    </row>
    <row r="3368">
      <c r="A3368" s="6">
        <v>330</v>
      </c>
      <c r="B3368" s="6" t="str">
        <f>'Lineal Mixto'!$C$334</f>
      </c>
      <c r="C3368" s="6" t="str">
        <f>IF(AND(B3368&gt;=$B$3034,B3368&lt;=$B$3035),1,0)</f>
      </c>
      <c r="D3368" s="6" t="str">
        <f>IF(OR(D3367=1,C3368=1),1,0)</f>
      </c>
      <c r="E3368" s="6" t="str">
        <f>IF(C3368=1,0,IF(D3367=1,E3367+1,0))</f>
      </c>
      <c r="F3368" s="6" t="str">
        <f>IF(AND(C3368=1,D3367=1),MIN(E3367,3),"")</f>
      </c>
    </row>
    <row r="3369">
      <c r="A3369" s="5">
        <v>331</v>
      </c>
      <c r="B3369" s="5" t="str">
        <f>'Lineal Mixto'!$C$335</f>
      </c>
      <c r="C3369" s="5" t="str">
        <f>IF(AND(B3369&gt;=$B$3034,B3369&lt;=$B$3035),1,0)</f>
      </c>
      <c r="D3369" s="5" t="str">
        <f>IF(OR(D3368=1,C3369=1),1,0)</f>
      </c>
      <c r="E3369" s="5" t="str">
        <f>IF(C3369=1,0,IF(D3368=1,E3368+1,0))</f>
      </c>
      <c r="F3369" s="5" t="str">
        <f>IF(AND(C3369=1,D3368=1),MIN(E3368,3),"")</f>
      </c>
    </row>
    <row r="3370">
      <c r="A3370" s="6">
        <v>332</v>
      </c>
      <c r="B3370" s="6" t="str">
        <f>'Lineal Mixto'!$C$336</f>
      </c>
      <c r="C3370" s="6" t="str">
        <f>IF(AND(B3370&gt;=$B$3034,B3370&lt;=$B$3035),1,0)</f>
      </c>
      <c r="D3370" s="6" t="str">
        <f>IF(OR(D3369=1,C3370=1),1,0)</f>
      </c>
      <c r="E3370" s="6" t="str">
        <f>IF(C3370=1,0,IF(D3369=1,E3369+1,0))</f>
      </c>
      <c r="F3370" s="6" t="str">
        <f>IF(AND(C3370=1,D3369=1),MIN(E3369,3),"")</f>
      </c>
    </row>
    <row r="3371">
      <c r="A3371" s="5">
        <v>333</v>
      </c>
      <c r="B3371" s="5" t="str">
        <f>'Lineal Mixto'!$C$337</f>
      </c>
      <c r="C3371" s="5" t="str">
        <f>IF(AND(B3371&gt;=$B$3034,B3371&lt;=$B$3035),1,0)</f>
      </c>
      <c r="D3371" s="5" t="str">
        <f>IF(OR(D3370=1,C3371=1),1,0)</f>
      </c>
      <c r="E3371" s="5" t="str">
        <f>IF(C3371=1,0,IF(D3370=1,E3370+1,0))</f>
      </c>
      <c r="F3371" s="5" t="str">
        <f>IF(AND(C3371=1,D3370=1),MIN(E3370,3),"")</f>
      </c>
    </row>
    <row r="3372">
      <c r="A3372" s="6">
        <v>334</v>
      </c>
      <c r="B3372" s="6" t="str">
        <f>'Lineal Mixto'!$C$338</f>
      </c>
      <c r="C3372" s="6" t="str">
        <f>IF(AND(B3372&gt;=$B$3034,B3372&lt;=$B$3035),1,0)</f>
      </c>
      <c r="D3372" s="6" t="str">
        <f>IF(OR(D3371=1,C3372=1),1,0)</f>
      </c>
      <c r="E3372" s="6" t="str">
        <f>IF(C3372=1,0,IF(D3371=1,E3371+1,0))</f>
      </c>
      <c r="F3372" s="6" t="str">
        <f>IF(AND(C3372=1,D3371=1),MIN(E3371,3),"")</f>
      </c>
    </row>
    <row r="3373">
      <c r="A3373" s="5">
        <v>335</v>
      </c>
      <c r="B3373" s="5" t="str">
        <f>'Lineal Mixto'!$C$339</f>
      </c>
      <c r="C3373" s="5" t="str">
        <f>IF(AND(B3373&gt;=$B$3034,B3373&lt;=$B$3035),1,0)</f>
      </c>
      <c r="D3373" s="5" t="str">
        <f>IF(OR(D3372=1,C3373=1),1,0)</f>
      </c>
      <c r="E3373" s="5" t="str">
        <f>IF(C3373=1,0,IF(D3372=1,E3372+1,0))</f>
      </c>
      <c r="F3373" s="5" t="str">
        <f>IF(AND(C3373=1,D3372=1),MIN(E3372,3),"")</f>
      </c>
    </row>
    <row r="3374">
      <c r="A3374" s="6">
        <v>336</v>
      </c>
      <c r="B3374" s="6" t="str">
        <f>'Lineal Mixto'!$C$340</f>
      </c>
      <c r="C3374" s="6" t="str">
        <f>IF(AND(B3374&gt;=$B$3034,B3374&lt;=$B$3035),1,0)</f>
      </c>
      <c r="D3374" s="6" t="str">
        <f>IF(OR(D3373=1,C3374=1),1,0)</f>
      </c>
      <c r="E3374" s="6" t="str">
        <f>IF(C3374=1,0,IF(D3373=1,E3373+1,0))</f>
      </c>
      <c r="F3374" s="6" t="str">
        <f>IF(AND(C3374=1,D3373=1),MIN(E3373,3),"")</f>
      </c>
    </row>
    <row r="3375">
      <c r="A3375" s="5">
        <v>337</v>
      </c>
      <c r="B3375" s="5" t="str">
        <f>'Lineal Mixto'!$C$341</f>
      </c>
      <c r="C3375" s="5" t="str">
        <f>IF(AND(B3375&gt;=$B$3034,B3375&lt;=$B$3035),1,0)</f>
      </c>
      <c r="D3375" s="5" t="str">
        <f>IF(OR(D3374=1,C3375=1),1,0)</f>
      </c>
      <c r="E3375" s="5" t="str">
        <f>IF(C3375=1,0,IF(D3374=1,E3374+1,0))</f>
      </c>
      <c r="F3375" s="5" t="str">
        <f>IF(AND(C3375=1,D3374=1),MIN(E3374,3),"")</f>
      </c>
    </row>
    <row r="3376">
      <c r="A3376" s="6">
        <v>338</v>
      </c>
      <c r="B3376" s="6" t="str">
        <f>'Lineal Mixto'!$C$342</f>
      </c>
      <c r="C3376" s="6" t="str">
        <f>IF(AND(B3376&gt;=$B$3034,B3376&lt;=$B$3035),1,0)</f>
      </c>
      <c r="D3376" s="6" t="str">
        <f>IF(OR(D3375=1,C3376=1),1,0)</f>
      </c>
      <c r="E3376" s="6" t="str">
        <f>IF(C3376=1,0,IF(D3375=1,E3375+1,0))</f>
      </c>
      <c r="F3376" s="6" t="str">
        <f>IF(AND(C3376=1,D3375=1),MIN(E3375,3),"")</f>
      </c>
    </row>
    <row r="3377">
      <c r="A3377" s="5">
        <v>339</v>
      </c>
      <c r="B3377" s="5" t="str">
        <f>'Lineal Mixto'!$C$343</f>
      </c>
      <c r="C3377" s="5" t="str">
        <f>IF(AND(B3377&gt;=$B$3034,B3377&lt;=$B$3035),1,0)</f>
      </c>
      <c r="D3377" s="5" t="str">
        <f>IF(OR(D3376=1,C3377=1),1,0)</f>
      </c>
      <c r="E3377" s="5" t="str">
        <f>IF(C3377=1,0,IF(D3376=1,E3376+1,0))</f>
      </c>
      <c r="F3377" s="5" t="str">
        <f>IF(AND(C3377=1,D3376=1),MIN(E3376,3),"")</f>
      </c>
    </row>
    <row r="3378">
      <c r="A3378" s="6">
        <v>340</v>
      </c>
      <c r="B3378" s="6" t="str">
        <f>'Lineal Mixto'!$C$344</f>
      </c>
      <c r="C3378" s="6" t="str">
        <f>IF(AND(B3378&gt;=$B$3034,B3378&lt;=$B$3035),1,0)</f>
      </c>
      <c r="D3378" s="6" t="str">
        <f>IF(OR(D3377=1,C3378=1),1,0)</f>
      </c>
      <c r="E3378" s="6" t="str">
        <f>IF(C3378=1,0,IF(D3377=1,E3377+1,0))</f>
      </c>
      <c r="F3378" s="6" t="str">
        <f>IF(AND(C3378=1,D3377=1),MIN(E3377,3),"")</f>
      </c>
    </row>
    <row r="3379">
      <c r="A3379" s="5">
        <v>341</v>
      </c>
      <c r="B3379" s="5" t="str">
        <f>'Lineal Mixto'!$C$345</f>
      </c>
      <c r="C3379" s="5" t="str">
        <f>IF(AND(B3379&gt;=$B$3034,B3379&lt;=$B$3035),1,0)</f>
      </c>
      <c r="D3379" s="5" t="str">
        <f>IF(OR(D3378=1,C3379=1),1,0)</f>
      </c>
      <c r="E3379" s="5" t="str">
        <f>IF(C3379=1,0,IF(D3378=1,E3378+1,0))</f>
      </c>
      <c r="F3379" s="5" t="str">
        <f>IF(AND(C3379=1,D3378=1),MIN(E3378,3),"")</f>
      </c>
    </row>
    <row r="3380">
      <c r="A3380" s="6">
        <v>342</v>
      </c>
      <c r="B3380" s="6" t="str">
        <f>'Lineal Mixto'!$C$346</f>
      </c>
      <c r="C3380" s="6" t="str">
        <f>IF(AND(B3380&gt;=$B$3034,B3380&lt;=$B$3035),1,0)</f>
      </c>
      <c r="D3380" s="6" t="str">
        <f>IF(OR(D3379=1,C3380=1),1,0)</f>
      </c>
      <c r="E3380" s="6" t="str">
        <f>IF(C3380=1,0,IF(D3379=1,E3379+1,0))</f>
      </c>
      <c r="F3380" s="6" t="str">
        <f>IF(AND(C3380=1,D3379=1),MIN(E3379,3),"")</f>
      </c>
    </row>
    <row r="3381">
      <c r="A3381" s="5">
        <v>343</v>
      </c>
      <c r="B3381" s="5" t="str">
        <f>'Lineal Mixto'!$C$347</f>
      </c>
      <c r="C3381" s="5" t="str">
        <f>IF(AND(B3381&gt;=$B$3034,B3381&lt;=$B$3035),1,0)</f>
      </c>
      <c r="D3381" s="5" t="str">
        <f>IF(OR(D3380=1,C3381=1),1,0)</f>
      </c>
      <c r="E3381" s="5" t="str">
        <f>IF(C3381=1,0,IF(D3380=1,E3380+1,0))</f>
      </c>
      <c r="F3381" s="5" t="str">
        <f>IF(AND(C3381=1,D3380=1),MIN(E3380,3),"")</f>
      </c>
    </row>
    <row r="3382">
      <c r="A3382" s="6">
        <v>344</v>
      </c>
      <c r="B3382" s="6" t="str">
        <f>'Lineal Mixto'!$C$348</f>
      </c>
      <c r="C3382" s="6" t="str">
        <f>IF(AND(B3382&gt;=$B$3034,B3382&lt;=$B$3035),1,0)</f>
      </c>
      <c r="D3382" s="6" t="str">
        <f>IF(OR(D3381=1,C3382=1),1,0)</f>
      </c>
      <c r="E3382" s="6" t="str">
        <f>IF(C3382=1,0,IF(D3381=1,E3381+1,0))</f>
      </c>
      <c r="F3382" s="6" t="str">
        <f>IF(AND(C3382=1,D3381=1),MIN(E3381,3),"")</f>
      </c>
    </row>
    <row r="3383">
      <c r="A3383" s="5">
        <v>345</v>
      </c>
      <c r="B3383" s="5" t="str">
        <f>'Lineal Mixto'!$C$349</f>
      </c>
      <c r="C3383" s="5" t="str">
        <f>IF(AND(B3383&gt;=$B$3034,B3383&lt;=$B$3035),1,0)</f>
      </c>
      <c r="D3383" s="5" t="str">
        <f>IF(OR(D3382=1,C3383=1),1,0)</f>
      </c>
      <c r="E3383" s="5" t="str">
        <f>IF(C3383=1,0,IF(D3382=1,E3382+1,0))</f>
      </c>
      <c r="F3383" s="5" t="str">
        <f>IF(AND(C3383=1,D3382=1),MIN(E3382,3),"")</f>
      </c>
    </row>
    <row r="3384">
      <c r="A3384" s="6">
        <v>346</v>
      </c>
      <c r="B3384" s="6" t="str">
        <f>'Lineal Mixto'!$C$350</f>
      </c>
      <c r="C3384" s="6" t="str">
        <f>IF(AND(B3384&gt;=$B$3034,B3384&lt;=$B$3035),1,0)</f>
      </c>
      <c r="D3384" s="6" t="str">
        <f>IF(OR(D3383=1,C3384=1),1,0)</f>
      </c>
      <c r="E3384" s="6" t="str">
        <f>IF(C3384=1,0,IF(D3383=1,E3383+1,0))</f>
      </c>
      <c r="F3384" s="6" t="str">
        <f>IF(AND(C3384=1,D3383=1),MIN(E3383,3),"")</f>
      </c>
    </row>
    <row r="3385">
      <c r="A3385" s="5">
        <v>347</v>
      </c>
      <c r="B3385" s="5" t="str">
        <f>'Lineal Mixto'!$C$351</f>
      </c>
      <c r="C3385" s="5" t="str">
        <f>IF(AND(B3385&gt;=$B$3034,B3385&lt;=$B$3035),1,0)</f>
      </c>
      <c r="D3385" s="5" t="str">
        <f>IF(OR(D3384=1,C3385=1),1,0)</f>
      </c>
      <c r="E3385" s="5" t="str">
        <f>IF(C3385=1,0,IF(D3384=1,E3384+1,0))</f>
      </c>
      <c r="F3385" s="5" t="str">
        <f>IF(AND(C3385=1,D3384=1),MIN(E3384,3),"")</f>
      </c>
    </row>
    <row r="3386">
      <c r="A3386" s="6">
        <v>348</v>
      </c>
      <c r="B3386" s="6" t="str">
        <f>'Lineal Mixto'!$C$352</f>
      </c>
      <c r="C3386" s="6" t="str">
        <f>IF(AND(B3386&gt;=$B$3034,B3386&lt;=$B$3035),1,0)</f>
      </c>
      <c r="D3386" s="6" t="str">
        <f>IF(OR(D3385=1,C3386=1),1,0)</f>
      </c>
      <c r="E3386" s="6" t="str">
        <f>IF(C3386=1,0,IF(D3385=1,E3385+1,0))</f>
      </c>
      <c r="F3386" s="6" t="str">
        <f>IF(AND(C3386=1,D3385=1),MIN(E3385,3),"")</f>
      </c>
    </row>
    <row r="3387">
      <c r="A3387" s="5">
        <v>349</v>
      </c>
      <c r="B3387" s="5" t="str">
        <f>'Lineal Mixto'!$C$353</f>
      </c>
      <c r="C3387" s="5" t="str">
        <f>IF(AND(B3387&gt;=$B$3034,B3387&lt;=$B$3035),1,0)</f>
      </c>
      <c r="D3387" s="5" t="str">
        <f>IF(OR(D3386=1,C3387=1),1,0)</f>
      </c>
      <c r="E3387" s="5" t="str">
        <f>IF(C3387=1,0,IF(D3386=1,E3386+1,0))</f>
      </c>
      <c r="F3387" s="5" t="str">
        <f>IF(AND(C3387=1,D3386=1),MIN(E3386,3),"")</f>
      </c>
    </row>
    <row r="3388">
      <c r="A3388" s="6">
        <v>350</v>
      </c>
      <c r="B3388" s="6" t="str">
        <f>'Lineal Mixto'!$C$354</f>
      </c>
      <c r="C3388" s="6" t="str">
        <f>IF(AND(B3388&gt;=$B$3034,B3388&lt;=$B$3035),1,0)</f>
      </c>
      <c r="D3388" s="6" t="str">
        <f>IF(OR(D3387=1,C3388=1),1,0)</f>
      </c>
      <c r="E3388" s="6" t="str">
        <f>IF(C3388=1,0,IF(D3387=1,E3387+1,0))</f>
      </c>
      <c r="F3388" s="6" t="str">
        <f>IF(AND(C3388=1,D3387=1),MIN(E3387,3),"")</f>
      </c>
    </row>
    <row r="3389">
      <c r="A3389" s="5">
        <v>351</v>
      </c>
      <c r="B3389" s="5" t="str">
        <f>'Lineal Mixto'!$C$355</f>
      </c>
      <c r="C3389" s="5" t="str">
        <f>IF(AND(B3389&gt;=$B$3034,B3389&lt;=$B$3035),1,0)</f>
      </c>
      <c r="D3389" s="5" t="str">
        <f>IF(OR(D3388=1,C3389=1),1,0)</f>
      </c>
      <c r="E3389" s="5" t="str">
        <f>IF(C3389=1,0,IF(D3388=1,E3388+1,0))</f>
      </c>
      <c r="F3389" s="5" t="str">
        <f>IF(AND(C3389=1,D3388=1),MIN(E3388,3),"")</f>
      </c>
    </row>
    <row r="3390">
      <c r="A3390" s="6">
        <v>352</v>
      </c>
      <c r="B3390" s="6" t="str">
        <f>'Lineal Mixto'!$C$356</f>
      </c>
      <c r="C3390" s="6" t="str">
        <f>IF(AND(B3390&gt;=$B$3034,B3390&lt;=$B$3035),1,0)</f>
      </c>
      <c r="D3390" s="6" t="str">
        <f>IF(OR(D3389=1,C3390=1),1,0)</f>
      </c>
      <c r="E3390" s="6" t="str">
        <f>IF(C3390=1,0,IF(D3389=1,E3389+1,0))</f>
      </c>
      <c r="F3390" s="6" t="str">
        <f>IF(AND(C3390=1,D3389=1),MIN(E3389,3),"")</f>
      </c>
    </row>
    <row r="3391">
      <c r="A3391" s="5">
        <v>353</v>
      </c>
      <c r="B3391" s="5" t="str">
        <f>'Lineal Mixto'!$C$357</f>
      </c>
      <c r="C3391" s="5" t="str">
        <f>IF(AND(B3391&gt;=$B$3034,B3391&lt;=$B$3035),1,0)</f>
      </c>
      <c r="D3391" s="5" t="str">
        <f>IF(OR(D3390=1,C3391=1),1,0)</f>
      </c>
      <c r="E3391" s="5" t="str">
        <f>IF(C3391=1,0,IF(D3390=1,E3390+1,0))</f>
      </c>
      <c r="F3391" s="5" t="str">
        <f>IF(AND(C3391=1,D3390=1),MIN(E3390,3),"")</f>
      </c>
    </row>
    <row r="3392">
      <c r="A3392" s="6">
        <v>354</v>
      </c>
      <c r="B3392" s="6" t="str">
        <f>'Lineal Mixto'!$C$358</f>
      </c>
      <c r="C3392" s="6" t="str">
        <f>IF(AND(B3392&gt;=$B$3034,B3392&lt;=$B$3035),1,0)</f>
      </c>
      <c r="D3392" s="6" t="str">
        <f>IF(OR(D3391=1,C3392=1),1,0)</f>
      </c>
      <c r="E3392" s="6" t="str">
        <f>IF(C3392=1,0,IF(D3391=1,E3391+1,0))</f>
      </c>
      <c r="F3392" s="6" t="str">
        <f>IF(AND(C3392=1,D3391=1),MIN(E3391,3),"")</f>
      </c>
    </row>
    <row r="3393">
      <c r="A3393" s="5">
        <v>355</v>
      </c>
      <c r="B3393" s="5" t="str">
        <f>'Lineal Mixto'!$C$359</f>
      </c>
      <c r="C3393" s="5" t="str">
        <f>IF(AND(B3393&gt;=$B$3034,B3393&lt;=$B$3035),1,0)</f>
      </c>
      <c r="D3393" s="5" t="str">
        <f>IF(OR(D3392=1,C3393=1),1,0)</f>
      </c>
      <c r="E3393" s="5" t="str">
        <f>IF(C3393=1,0,IF(D3392=1,E3392+1,0))</f>
      </c>
      <c r="F3393" s="5" t="str">
        <f>IF(AND(C3393=1,D3392=1),MIN(E3392,3),"")</f>
      </c>
    </row>
    <row r="3394">
      <c r="A3394" s="6">
        <v>356</v>
      </c>
      <c r="B3394" s="6" t="str">
        <f>'Lineal Mixto'!$C$360</f>
      </c>
      <c r="C3394" s="6" t="str">
        <f>IF(AND(B3394&gt;=$B$3034,B3394&lt;=$B$3035),1,0)</f>
      </c>
      <c r="D3394" s="6" t="str">
        <f>IF(OR(D3393=1,C3394=1),1,0)</f>
      </c>
      <c r="E3394" s="6" t="str">
        <f>IF(C3394=1,0,IF(D3393=1,E3393+1,0))</f>
      </c>
      <c r="F3394" s="6" t="str">
        <f>IF(AND(C3394=1,D3393=1),MIN(E3393,3),"")</f>
      </c>
    </row>
    <row r="3395">
      <c r="A3395" s="5">
        <v>357</v>
      </c>
      <c r="B3395" s="5" t="str">
        <f>'Lineal Mixto'!$C$361</f>
      </c>
      <c r="C3395" s="5" t="str">
        <f>IF(AND(B3395&gt;=$B$3034,B3395&lt;=$B$3035),1,0)</f>
      </c>
      <c r="D3395" s="5" t="str">
        <f>IF(OR(D3394=1,C3395=1),1,0)</f>
      </c>
      <c r="E3395" s="5" t="str">
        <f>IF(C3395=1,0,IF(D3394=1,E3394+1,0))</f>
      </c>
      <c r="F3395" s="5" t="str">
        <f>IF(AND(C3395=1,D3394=1),MIN(E3394,3),"")</f>
      </c>
    </row>
    <row r="3396">
      <c r="A3396" s="6">
        <v>358</v>
      </c>
      <c r="B3396" s="6" t="str">
        <f>'Lineal Mixto'!$C$362</f>
      </c>
      <c r="C3396" s="6" t="str">
        <f>IF(AND(B3396&gt;=$B$3034,B3396&lt;=$B$3035),1,0)</f>
      </c>
      <c r="D3396" s="6" t="str">
        <f>IF(OR(D3395=1,C3396=1),1,0)</f>
      </c>
      <c r="E3396" s="6" t="str">
        <f>IF(C3396=1,0,IF(D3395=1,E3395+1,0))</f>
      </c>
      <c r="F3396" s="6" t="str">
        <f>IF(AND(C3396=1,D3395=1),MIN(E3395,3),"")</f>
      </c>
    </row>
    <row r="3397">
      <c r="A3397" s="5">
        <v>359</v>
      </c>
      <c r="B3397" s="5" t="str">
        <f>'Lineal Mixto'!$C$363</f>
      </c>
      <c r="C3397" s="5" t="str">
        <f>IF(AND(B3397&gt;=$B$3034,B3397&lt;=$B$3035),1,0)</f>
      </c>
      <c r="D3397" s="5" t="str">
        <f>IF(OR(D3396=1,C3397=1),1,0)</f>
      </c>
      <c r="E3397" s="5" t="str">
        <f>IF(C3397=1,0,IF(D3396=1,E3396+1,0))</f>
      </c>
      <c r="F3397" s="5" t="str">
        <f>IF(AND(C3397=1,D3396=1),MIN(E3396,3),"")</f>
      </c>
    </row>
    <row r="3398">
      <c r="A3398" s="6">
        <v>360</v>
      </c>
      <c r="B3398" s="6" t="str">
        <f>'Lineal Mixto'!$C$364</f>
      </c>
      <c r="C3398" s="6" t="str">
        <f>IF(AND(B3398&gt;=$B$3034,B3398&lt;=$B$3035),1,0)</f>
      </c>
      <c r="D3398" s="6" t="str">
        <f>IF(OR(D3397=1,C3398=1),1,0)</f>
      </c>
      <c r="E3398" s="6" t="str">
        <f>IF(C3398=1,0,IF(D3397=1,E3397+1,0))</f>
      </c>
      <c r="F3398" s="6" t="str">
        <f>IF(AND(C3398=1,D3397=1),MIN(E3397,3),"")</f>
      </c>
    </row>
    <row r="3399">
      <c r="A3399" s="5">
        <v>361</v>
      </c>
      <c r="B3399" s="5" t="str">
        <f>'Lineal Mixto'!$C$365</f>
      </c>
      <c r="C3399" s="5" t="str">
        <f>IF(AND(B3399&gt;=$B$3034,B3399&lt;=$B$3035),1,0)</f>
      </c>
      <c r="D3399" s="5" t="str">
        <f>IF(OR(D3398=1,C3399=1),1,0)</f>
      </c>
      <c r="E3399" s="5" t="str">
        <f>IF(C3399=1,0,IF(D3398=1,E3398+1,0))</f>
      </c>
      <c r="F3399" s="5" t="str">
        <f>IF(AND(C3399=1,D3398=1),MIN(E3398,3),"")</f>
      </c>
    </row>
    <row r="3400">
      <c r="A3400" s="6">
        <v>362</v>
      </c>
      <c r="B3400" s="6" t="str">
        <f>'Lineal Mixto'!$C$366</f>
      </c>
      <c r="C3400" s="6" t="str">
        <f>IF(AND(B3400&gt;=$B$3034,B3400&lt;=$B$3035),1,0)</f>
      </c>
      <c r="D3400" s="6" t="str">
        <f>IF(OR(D3399=1,C3400=1),1,0)</f>
      </c>
      <c r="E3400" s="6" t="str">
        <f>IF(C3400=1,0,IF(D3399=1,E3399+1,0))</f>
      </c>
      <c r="F3400" s="6" t="str">
        <f>IF(AND(C3400=1,D3399=1),MIN(E3399,3),"")</f>
      </c>
    </row>
    <row r="3401">
      <c r="A3401" s="5">
        <v>363</v>
      </c>
      <c r="B3401" s="5" t="str">
        <f>'Lineal Mixto'!$C$367</f>
      </c>
      <c r="C3401" s="5" t="str">
        <f>IF(AND(B3401&gt;=$B$3034,B3401&lt;=$B$3035),1,0)</f>
      </c>
      <c r="D3401" s="5" t="str">
        <f>IF(OR(D3400=1,C3401=1),1,0)</f>
      </c>
      <c r="E3401" s="5" t="str">
        <f>IF(C3401=1,0,IF(D3400=1,E3400+1,0))</f>
      </c>
      <c r="F3401" s="5" t="str">
        <f>IF(AND(C3401=1,D3400=1),MIN(E3400,3),"")</f>
      </c>
    </row>
    <row r="3402">
      <c r="A3402" s="6">
        <v>364</v>
      </c>
      <c r="B3402" s="6" t="str">
        <f>'Lineal Mixto'!$C$368</f>
      </c>
      <c r="C3402" s="6" t="str">
        <f>IF(AND(B3402&gt;=$B$3034,B3402&lt;=$B$3035),1,0)</f>
      </c>
      <c r="D3402" s="6" t="str">
        <f>IF(OR(D3401=1,C3402=1),1,0)</f>
      </c>
      <c r="E3402" s="6" t="str">
        <f>IF(C3402=1,0,IF(D3401=1,E3401+1,0))</f>
      </c>
      <c r="F3402" s="6" t="str">
        <f>IF(AND(C3402=1,D3401=1),MIN(E3401,3),"")</f>
      </c>
    </row>
    <row r="3403">
      <c r="A3403" s="5">
        <v>365</v>
      </c>
      <c r="B3403" s="5" t="str">
        <f>'Lineal Mixto'!$C$369</f>
      </c>
      <c r="C3403" s="5" t="str">
        <f>IF(AND(B3403&gt;=$B$3034,B3403&lt;=$B$3035),1,0)</f>
      </c>
      <c r="D3403" s="5" t="str">
        <f>IF(OR(D3402=1,C3403=1),1,0)</f>
      </c>
      <c r="E3403" s="5" t="str">
        <f>IF(C3403=1,0,IF(D3402=1,E3402+1,0))</f>
      </c>
      <c r="F3403" s="5" t="str">
        <f>IF(AND(C3403=1,D3402=1),MIN(E3402,3),"")</f>
      </c>
    </row>
    <row r="3404">
      <c r="A3404" s="6">
        <v>366</v>
      </c>
      <c r="B3404" s="6" t="str">
        <f>'Lineal Mixto'!$C$370</f>
      </c>
      <c r="C3404" s="6" t="str">
        <f>IF(AND(B3404&gt;=$B$3034,B3404&lt;=$B$3035),1,0)</f>
      </c>
      <c r="D3404" s="6" t="str">
        <f>IF(OR(D3403=1,C3404=1),1,0)</f>
      </c>
      <c r="E3404" s="6" t="str">
        <f>IF(C3404=1,0,IF(D3403=1,E3403+1,0))</f>
      </c>
      <c r="F3404" s="6" t="str">
        <f>IF(AND(C3404=1,D3403=1),MIN(E3403,3),"")</f>
      </c>
    </row>
    <row r="3405">
      <c r="A3405" s="5">
        <v>367</v>
      </c>
      <c r="B3405" s="5" t="str">
        <f>'Lineal Mixto'!$C$371</f>
      </c>
      <c r="C3405" s="5" t="str">
        <f>IF(AND(B3405&gt;=$B$3034,B3405&lt;=$B$3035),1,0)</f>
      </c>
      <c r="D3405" s="5" t="str">
        <f>IF(OR(D3404=1,C3405=1),1,0)</f>
      </c>
      <c r="E3405" s="5" t="str">
        <f>IF(C3405=1,0,IF(D3404=1,E3404+1,0))</f>
      </c>
      <c r="F3405" s="5" t="str">
        <f>IF(AND(C3405=1,D3404=1),MIN(E3404,3),"")</f>
      </c>
    </row>
    <row r="3406">
      <c r="A3406" s="6">
        <v>368</v>
      </c>
      <c r="B3406" s="6" t="str">
        <f>'Lineal Mixto'!$C$372</f>
      </c>
      <c r="C3406" s="6" t="str">
        <f>IF(AND(B3406&gt;=$B$3034,B3406&lt;=$B$3035),1,0)</f>
      </c>
      <c r="D3406" s="6" t="str">
        <f>IF(OR(D3405=1,C3406=1),1,0)</f>
      </c>
      <c r="E3406" s="6" t="str">
        <f>IF(C3406=1,0,IF(D3405=1,E3405+1,0))</f>
      </c>
      <c r="F3406" s="6" t="str">
        <f>IF(AND(C3406=1,D3405=1),MIN(E3405,3),"")</f>
      </c>
    </row>
    <row r="3407">
      <c r="A3407" s="5">
        <v>369</v>
      </c>
      <c r="B3407" s="5" t="str">
        <f>'Lineal Mixto'!$C$373</f>
      </c>
      <c r="C3407" s="5" t="str">
        <f>IF(AND(B3407&gt;=$B$3034,B3407&lt;=$B$3035),1,0)</f>
      </c>
      <c r="D3407" s="5" t="str">
        <f>IF(OR(D3406=1,C3407=1),1,0)</f>
      </c>
      <c r="E3407" s="5" t="str">
        <f>IF(C3407=1,0,IF(D3406=1,E3406+1,0))</f>
      </c>
      <c r="F3407" s="5" t="str">
        <f>IF(AND(C3407=1,D3406=1),MIN(E3406,3),"")</f>
      </c>
    </row>
    <row r="3408">
      <c r="A3408" s="6">
        <v>370</v>
      </c>
      <c r="B3408" s="6" t="str">
        <f>'Lineal Mixto'!$C$374</f>
      </c>
      <c r="C3408" s="6" t="str">
        <f>IF(AND(B3408&gt;=$B$3034,B3408&lt;=$B$3035),1,0)</f>
      </c>
      <c r="D3408" s="6" t="str">
        <f>IF(OR(D3407=1,C3408=1),1,0)</f>
      </c>
      <c r="E3408" s="6" t="str">
        <f>IF(C3408=1,0,IF(D3407=1,E3407+1,0))</f>
      </c>
      <c r="F3408" s="6" t="str">
        <f>IF(AND(C3408=1,D3407=1),MIN(E3407,3),"")</f>
      </c>
    </row>
    <row r="3409">
      <c r="A3409" s="5">
        <v>371</v>
      </c>
      <c r="B3409" s="5" t="str">
        <f>'Lineal Mixto'!$C$375</f>
      </c>
      <c r="C3409" s="5" t="str">
        <f>IF(AND(B3409&gt;=$B$3034,B3409&lt;=$B$3035),1,0)</f>
      </c>
      <c r="D3409" s="5" t="str">
        <f>IF(OR(D3408=1,C3409=1),1,0)</f>
      </c>
      <c r="E3409" s="5" t="str">
        <f>IF(C3409=1,0,IF(D3408=1,E3408+1,0))</f>
      </c>
      <c r="F3409" s="5" t="str">
        <f>IF(AND(C3409=1,D3408=1),MIN(E3408,3),"")</f>
      </c>
    </row>
    <row r="3410">
      <c r="A3410" s="6">
        <v>372</v>
      </c>
      <c r="B3410" s="6" t="str">
        <f>'Lineal Mixto'!$C$376</f>
      </c>
      <c r="C3410" s="6" t="str">
        <f>IF(AND(B3410&gt;=$B$3034,B3410&lt;=$B$3035),1,0)</f>
      </c>
      <c r="D3410" s="6" t="str">
        <f>IF(OR(D3409=1,C3410=1),1,0)</f>
      </c>
      <c r="E3410" s="6" t="str">
        <f>IF(C3410=1,0,IF(D3409=1,E3409+1,0))</f>
      </c>
      <c r="F3410" s="6" t="str">
        <f>IF(AND(C3410=1,D3409=1),MIN(E3409,3),"")</f>
      </c>
    </row>
    <row r="3411">
      <c r="A3411" s="5">
        <v>373</v>
      </c>
      <c r="B3411" s="5" t="str">
        <f>'Lineal Mixto'!$C$377</f>
      </c>
      <c r="C3411" s="5" t="str">
        <f>IF(AND(B3411&gt;=$B$3034,B3411&lt;=$B$3035),1,0)</f>
      </c>
      <c r="D3411" s="5" t="str">
        <f>IF(OR(D3410=1,C3411=1),1,0)</f>
      </c>
      <c r="E3411" s="5" t="str">
        <f>IF(C3411=1,0,IF(D3410=1,E3410+1,0))</f>
      </c>
      <c r="F3411" s="5" t="str">
        <f>IF(AND(C3411=1,D3410=1),MIN(E3410,3),"")</f>
      </c>
    </row>
    <row r="3412">
      <c r="A3412" s="6">
        <v>374</v>
      </c>
      <c r="B3412" s="6" t="str">
        <f>'Lineal Mixto'!$C$378</f>
      </c>
      <c r="C3412" s="6" t="str">
        <f>IF(AND(B3412&gt;=$B$3034,B3412&lt;=$B$3035),1,0)</f>
      </c>
      <c r="D3412" s="6" t="str">
        <f>IF(OR(D3411=1,C3412=1),1,0)</f>
      </c>
      <c r="E3412" s="6" t="str">
        <f>IF(C3412=1,0,IF(D3411=1,E3411+1,0))</f>
      </c>
      <c r="F3412" s="6" t="str">
        <f>IF(AND(C3412=1,D3411=1),MIN(E3411,3),"")</f>
      </c>
    </row>
    <row r="3413">
      <c r="A3413" s="5">
        <v>375</v>
      </c>
      <c r="B3413" s="5" t="str">
        <f>'Lineal Mixto'!$C$379</f>
      </c>
      <c r="C3413" s="5" t="str">
        <f>IF(AND(B3413&gt;=$B$3034,B3413&lt;=$B$3035),1,0)</f>
      </c>
      <c r="D3413" s="5" t="str">
        <f>IF(OR(D3412=1,C3413=1),1,0)</f>
      </c>
      <c r="E3413" s="5" t="str">
        <f>IF(C3413=1,0,IF(D3412=1,E3412+1,0))</f>
      </c>
      <c r="F3413" s="5" t="str">
        <f>IF(AND(C3413=1,D3412=1),MIN(E3412,3),"")</f>
      </c>
    </row>
    <row r="3414">
      <c r="A3414" s="6">
        <v>376</v>
      </c>
      <c r="B3414" s="6" t="str">
        <f>'Lineal Mixto'!$C$380</f>
      </c>
      <c r="C3414" s="6" t="str">
        <f>IF(AND(B3414&gt;=$B$3034,B3414&lt;=$B$3035),1,0)</f>
      </c>
      <c r="D3414" s="6" t="str">
        <f>IF(OR(D3413=1,C3414=1),1,0)</f>
      </c>
      <c r="E3414" s="6" t="str">
        <f>IF(C3414=1,0,IF(D3413=1,E3413+1,0))</f>
      </c>
      <c r="F3414" s="6" t="str">
        <f>IF(AND(C3414=1,D3413=1),MIN(E3413,3),"")</f>
      </c>
    </row>
    <row r="3415">
      <c r="A3415" s="5">
        <v>377</v>
      </c>
      <c r="B3415" s="5" t="str">
        <f>'Lineal Mixto'!$C$381</f>
      </c>
      <c r="C3415" s="5" t="str">
        <f>IF(AND(B3415&gt;=$B$3034,B3415&lt;=$B$3035),1,0)</f>
      </c>
      <c r="D3415" s="5" t="str">
        <f>IF(OR(D3414=1,C3415=1),1,0)</f>
      </c>
      <c r="E3415" s="5" t="str">
        <f>IF(C3415=1,0,IF(D3414=1,E3414+1,0))</f>
      </c>
      <c r="F3415" s="5" t="str">
        <f>IF(AND(C3415=1,D3414=1),MIN(E3414,3),"")</f>
      </c>
    </row>
    <row r="3416">
      <c r="A3416" s="6">
        <v>378</v>
      </c>
      <c r="B3416" s="6" t="str">
        <f>'Lineal Mixto'!$C$382</f>
      </c>
      <c r="C3416" s="6" t="str">
        <f>IF(AND(B3416&gt;=$B$3034,B3416&lt;=$B$3035),1,0)</f>
      </c>
      <c r="D3416" s="6" t="str">
        <f>IF(OR(D3415=1,C3416=1),1,0)</f>
      </c>
      <c r="E3416" s="6" t="str">
        <f>IF(C3416=1,0,IF(D3415=1,E3415+1,0))</f>
      </c>
      <c r="F3416" s="6" t="str">
        <f>IF(AND(C3416=1,D3415=1),MIN(E3415,3),"")</f>
      </c>
    </row>
    <row r="3417">
      <c r="A3417" s="5">
        <v>379</v>
      </c>
      <c r="B3417" s="5" t="str">
        <f>'Lineal Mixto'!$C$383</f>
      </c>
      <c r="C3417" s="5" t="str">
        <f>IF(AND(B3417&gt;=$B$3034,B3417&lt;=$B$3035),1,0)</f>
      </c>
      <c r="D3417" s="5" t="str">
        <f>IF(OR(D3416=1,C3417=1),1,0)</f>
      </c>
      <c r="E3417" s="5" t="str">
        <f>IF(C3417=1,0,IF(D3416=1,E3416+1,0))</f>
      </c>
      <c r="F3417" s="5" t="str">
        <f>IF(AND(C3417=1,D3416=1),MIN(E3416,3),"")</f>
      </c>
    </row>
    <row r="3418">
      <c r="A3418" s="6">
        <v>380</v>
      </c>
      <c r="B3418" s="6" t="str">
        <f>'Lineal Mixto'!$C$384</f>
      </c>
      <c r="C3418" s="6" t="str">
        <f>IF(AND(B3418&gt;=$B$3034,B3418&lt;=$B$3035),1,0)</f>
      </c>
      <c r="D3418" s="6" t="str">
        <f>IF(OR(D3417=1,C3418=1),1,0)</f>
      </c>
      <c r="E3418" s="6" t="str">
        <f>IF(C3418=1,0,IF(D3417=1,E3417+1,0))</f>
      </c>
      <c r="F3418" s="6" t="str">
        <f>IF(AND(C3418=1,D3417=1),MIN(E3417,3),"")</f>
      </c>
    </row>
    <row r="3419">
      <c r="A3419" s="5">
        <v>381</v>
      </c>
      <c r="B3419" s="5" t="str">
        <f>'Lineal Mixto'!$C$385</f>
      </c>
      <c r="C3419" s="5" t="str">
        <f>IF(AND(B3419&gt;=$B$3034,B3419&lt;=$B$3035),1,0)</f>
      </c>
      <c r="D3419" s="5" t="str">
        <f>IF(OR(D3418=1,C3419=1),1,0)</f>
      </c>
      <c r="E3419" s="5" t="str">
        <f>IF(C3419=1,0,IF(D3418=1,E3418+1,0))</f>
      </c>
      <c r="F3419" s="5" t="str">
        <f>IF(AND(C3419=1,D3418=1),MIN(E3418,3),"")</f>
      </c>
    </row>
    <row r="3420">
      <c r="A3420" s="6">
        <v>382</v>
      </c>
      <c r="B3420" s="6" t="str">
        <f>'Lineal Mixto'!$C$386</f>
      </c>
      <c r="C3420" s="6" t="str">
        <f>IF(AND(B3420&gt;=$B$3034,B3420&lt;=$B$3035),1,0)</f>
      </c>
      <c r="D3420" s="6" t="str">
        <f>IF(OR(D3419=1,C3420=1),1,0)</f>
      </c>
      <c r="E3420" s="6" t="str">
        <f>IF(C3420=1,0,IF(D3419=1,E3419+1,0))</f>
      </c>
      <c r="F3420" s="6" t="str">
        <f>IF(AND(C3420=1,D3419=1),MIN(E3419,3),"")</f>
      </c>
    </row>
    <row r="3421">
      <c r="A3421" s="5">
        <v>383</v>
      </c>
      <c r="B3421" s="5" t="str">
        <f>'Lineal Mixto'!$C$387</f>
      </c>
      <c r="C3421" s="5" t="str">
        <f>IF(AND(B3421&gt;=$B$3034,B3421&lt;=$B$3035),1,0)</f>
      </c>
      <c r="D3421" s="5" t="str">
        <f>IF(OR(D3420=1,C3421=1),1,0)</f>
      </c>
      <c r="E3421" s="5" t="str">
        <f>IF(C3421=1,0,IF(D3420=1,E3420+1,0))</f>
      </c>
      <c r="F3421" s="5" t="str">
        <f>IF(AND(C3421=1,D3420=1),MIN(E3420,3),"")</f>
      </c>
    </row>
    <row r="3422">
      <c r="A3422" s="6">
        <v>384</v>
      </c>
      <c r="B3422" s="6" t="str">
        <f>'Lineal Mixto'!$C$388</f>
      </c>
      <c r="C3422" s="6" t="str">
        <f>IF(AND(B3422&gt;=$B$3034,B3422&lt;=$B$3035),1,0)</f>
      </c>
      <c r="D3422" s="6" t="str">
        <f>IF(OR(D3421=1,C3422=1),1,0)</f>
      </c>
      <c r="E3422" s="6" t="str">
        <f>IF(C3422=1,0,IF(D3421=1,E3421+1,0))</f>
      </c>
      <c r="F3422" s="6" t="str">
        <f>IF(AND(C3422=1,D3421=1),MIN(E3421,3),"")</f>
      </c>
    </row>
    <row r="3423">
      <c r="A3423" s="5">
        <v>385</v>
      </c>
      <c r="B3423" s="5" t="str">
        <f>'Lineal Mixto'!$C$389</f>
      </c>
      <c r="C3423" s="5" t="str">
        <f>IF(AND(B3423&gt;=$B$3034,B3423&lt;=$B$3035),1,0)</f>
      </c>
      <c r="D3423" s="5" t="str">
        <f>IF(OR(D3422=1,C3423=1),1,0)</f>
      </c>
      <c r="E3423" s="5" t="str">
        <f>IF(C3423=1,0,IF(D3422=1,E3422+1,0))</f>
      </c>
      <c r="F3423" s="5" t="str">
        <f>IF(AND(C3423=1,D3422=1),MIN(E3422,3),"")</f>
      </c>
    </row>
    <row r="3424">
      <c r="A3424" s="6">
        <v>386</v>
      </c>
      <c r="B3424" s="6" t="str">
        <f>'Lineal Mixto'!$C$390</f>
      </c>
      <c r="C3424" s="6" t="str">
        <f>IF(AND(B3424&gt;=$B$3034,B3424&lt;=$B$3035),1,0)</f>
      </c>
      <c r="D3424" s="6" t="str">
        <f>IF(OR(D3423=1,C3424=1),1,0)</f>
      </c>
      <c r="E3424" s="6" t="str">
        <f>IF(C3424=1,0,IF(D3423=1,E3423+1,0))</f>
      </c>
      <c r="F3424" s="6" t="str">
        <f>IF(AND(C3424=1,D3423=1),MIN(E3423,3),"")</f>
      </c>
    </row>
    <row r="3425">
      <c r="A3425" s="5">
        <v>387</v>
      </c>
      <c r="B3425" s="5" t="str">
        <f>'Lineal Mixto'!$C$391</f>
      </c>
      <c r="C3425" s="5" t="str">
        <f>IF(AND(B3425&gt;=$B$3034,B3425&lt;=$B$3035),1,0)</f>
      </c>
      <c r="D3425" s="5" t="str">
        <f>IF(OR(D3424=1,C3425=1),1,0)</f>
      </c>
      <c r="E3425" s="5" t="str">
        <f>IF(C3425=1,0,IF(D3424=1,E3424+1,0))</f>
      </c>
      <c r="F3425" s="5" t="str">
        <f>IF(AND(C3425=1,D3424=1),MIN(E3424,3),"")</f>
      </c>
    </row>
    <row r="3426">
      <c r="A3426" s="6">
        <v>388</v>
      </c>
      <c r="B3426" s="6" t="str">
        <f>'Lineal Mixto'!$C$392</f>
      </c>
      <c r="C3426" s="6" t="str">
        <f>IF(AND(B3426&gt;=$B$3034,B3426&lt;=$B$3035),1,0)</f>
      </c>
      <c r="D3426" s="6" t="str">
        <f>IF(OR(D3425=1,C3426=1),1,0)</f>
      </c>
      <c r="E3426" s="6" t="str">
        <f>IF(C3426=1,0,IF(D3425=1,E3425+1,0))</f>
      </c>
      <c r="F3426" s="6" t="str">
        <f>IF(AND(C3426=1,D3425=1),MIN(E3425,3),"")</f>
      </c>
    </row>
    <row r="3427">
      <c r="A3427" s="5">
        <v>389</v>
      </c>
      <c r="B3427" s="5" t="str">
        <f>'Lineal Mixto'!$C$393</f>
      </c>
      <c r="C3427" s="5" t="str">
        <f>IF(AND(B3427&gt;=$B$3034,B3427&lt;=$B$3035),1,0)</f>
      </c>
      <c r="D3427" s="5" t="str">
        <f>IF(OR(D3426=1,C3427=1),1,0)</f>
      </c>
      <c r="E3427" s="5" t="str">
        <f>IF(C3427=1,0,IF(D3426=1,E3426+1,0))</f>
      </c>
      <c r="F3427" s="5" t="str">
        <f>IF(AND(C3427=1,D3426=1),MIN(E3426,3),"")</f>
      </c>
    </row>
    <row r="3428">
      <c r="A3428" s="6">
        <v>390</v>
      </c>
      <c r="B3428" s="6" t="str">
        <f>'Lineal Mixto'!$C$394</f>
      </c>
      <c r="C3428" s="6" t="str">
        <f>IF(AND(B3428&gt;=$B$3034,B3428&lt;=$B$3035),1,0)</f>
      </c>
      <c r="D3428" s="6" t="str">
        <f>IF(OR(D3427=1,C3428=1),1,0)</f>
      </c>
      <c r="E3428" s="6" t="str">
        <f>IF(C3428=1,0,IF(D3427=1,E3427+1,0))</f>
      </c>
      <c r="F3428" s="6" t="str">
        <f>IF(AND(C3428=1,D3427=1),MIN(E3427,3),"")</f>
      </c>
    </row>
    <row r="3429">
      <c r="A3429" s="5">
        <v>391</v>
      </c>
      <c r="B3429" s="5" t="str">
        <f>'Lineal Mixto'!$C$395</f>
      </c>
      <c r="C3429" s="5" t="str">
        <f>IF(AND(B3429&gt;=$B$3034,B3429&lt;=$B$3035),1,0)</f>
      </c>
      <c r="D3429" s="5" t="str">
        <f>IF(OR(D3428=1,C3429=1),1,0)</f>
      </c>
      <c r="E3429" s="5" t="str">
        <f>IF(C3429=1,0,IF(D3428=1,E3428+1,0))</f>
      </c>
      <c r="F3429" s="5" t="str">
        <f>IF(AND(C3429=1,D3428=1),MIN(E3428,3),"")</f>
      </c>
    </row>
    <row r="3430">
      <c r="A3430" s="6">
        <v>392</v>
      </c>
      <c r="B3430" s="6" t="str">
        <f>'Lineal Mixto'!$C$396</f>
      </c>
      <c r="C3430" s="6" t="str">
        <f>IF(AND(B3430&gt;=$B$3034,B3430&lt;=$B$3035),1,0)</f>
      </c>
      <c r="D3430" s="6" t="str">
        <f>IF(OR(D3429=1,C3430=1),1,0)</f>
      </c>
      <c r="E3430" s="6" t="str">
        <f>IF(C3430=1,0,IF(D3429=1,E3429+1,0))</f>
      </c>
      <c r="F3430" s="6" t="str">
        <f>IF(AND(C3430=1,D3429=1),MIN(E3429,3),"")</f>
      </c>
    </row>
    <row r="3431">
      <c r="A3431" s="5">
        <v>393</v>
      </c>
      <c r="B3431" s="5" t="str">
        <f>'Lineal Mixto'!$C$397</f>
      </c>
      <c r="C3431" s="5" t="str">
        <f>IF(AND(B3431&gt;=$B$3034,B3431&lt;=$B$3035),1,0)</f>
      </c>
      <c r="D3431" s="5" t="str">
        <f>IF(OR(D3430=1,C3431=1),1,0)</f>
      </c>
      <c r="E3431" s="5" t="str">
        <f>IF(C3431=1,0,IF(D3430=1,E3430+1,0))</f>
      </c>
      <c r="F3431" s="5" t="str">
        <f>IF(AND(C3431=1,D3430=1),MIN(E3430,3),"")</f>
      </c>
    </row>
    <row r="3432">
      <c r="A3432" s="6">
        <v>394</v>
      </c>
      <c r="B3432" s="6" t="str">
        <f>'Lineal Mixto'!$C$398</f>
      </c>
      <c r="C3432" s="6" t="str">
        <f>IF(AND(B3432&gt;=$B$3034,B3432&lt;=$B$3035),1,0)</f>
      </c>
      <c r="D3432" s="6" t="str">
        <f>IF(OR(D3431=1,C3432=1),1,0)</f>
      </c>
      <c r="E3432" s="6" t="str">
        <f>IF(C3432=1,0,IF(D3431=1,E3431+1,0))</f>
      </c>
      <c r="F3432" s="6" t="str">
        <f>IF(AND(C3432=1,D3431=1),MIN(E3431,3),"")</f>
      </c>
    </row>
    <row r="3433">
      <c r="A3433" s="5">
        <v>395</v>
      </c>
      <c r="B3433" s="5" t="str">
        <f>'Lineal Mixto'!$C$399</f>
      </c>
      <c r="C3433" s="5" t="str">
        <f>IF(AND(B3433&gt;=$B$3034,B3433&lt;=$B$3035),1,0)</f>
      </c>
      <c r="D3433" s="5" t="str">
        <f>IF(OR(D3432=1,C3433=1),1,0)</f>
      </c>
      <c r="E3433" s="5" t="str">
        <f>IF(C3433=1,0,IF(D3432=1,E3432+1,0))</f>
      </c>
      <c r="F3433" s="5" t="str">
        <f>IF(AND(C3433=1,D3432=1),MIN(E3432,3),"")</f>
      </c>
    </row>
    <row r="3434">
      <c r="A3434" s="6">
        <v>396</v>
      </c>
      <c r="B3434" s="6" t="str">
        <f>'Lineal Mixto'!$C$400</f>
      </c>
      <c r="C3434" s="6" t="str">
        <f>IF(AND(B3434&gt;=$B$3034,B3434&lt;=$B$3035),1,0)</f>
      </c>
      <c r="D3434" s="6" t="str">
        <f>IF(OR(D3433=1,C3434=1),1,0)</f>
      </c>
      <c r="E3434" s="6" t="str">
        <f>IF(C3434=1,0,IF(D3433=1,E3433+1,0))</f>
      </c>
      <c r="F3434" s="6" t="str">
        <f>IF(AND(C3434=1,D3433=1),MIN(E3433,3),"")</f>
      </c>
    </row>
    <row r="3435">
      <c r="A3435" s="5">
        <v>397</v>
      </c>
      <c r="B3435" s="5" t="str">
        <f>'Lineal Mixto'!$C$401</f>
      </c>
      <c r="C3435" s="5" t="str">
        <f>IF(AND(B3435&gt;=$B$3034,B3435&lt;=$B$3035),1,0)</f>
      </c>
      <c r="D3435" s="5" t="str">
        <f>IF(OR(D3434=1,C3435=1),1,0)</f>
      </c>
      <c r="E3435" s="5" t="str">
        <f>IF(C3435=1,0,IF(D3434=1,E3434+1,0))</f>
      </c>
      <c r="F3435" s="5" t="str">
        <f>IF(AND(C3435=1,D3434=1),MIN(E3434,3),"")</f>
      </c>
    </row>
    <row r="3436">
      <c r="A3436" s="6">
        <v>398</v>
      </c>
      <c r="B3436" s="6" t="str">
        <f>'Lineal Mixto'!$C$402</f>
      </c>
      <c r="C3436" s="6" t="str">
        <f>IF(AND(B3436&gt;=$B$3034,B3436&lt;=$B$3035),1,0)</f>
      </c>
      <c r="D3436" s="6" t="str">
        <f>IF(OR(D3435=1,C3436=1),1,0)</f>
      </c>
      <c r="E3436" s="6" t="str">
        <f>IF(C3436=1,0,IF(D3435=1,E3435+1,0))</f>
      </c>
      <c r="F3436" s="6" t="str">
        <f>IF(AND(C3436=1,D3435=1),MIN(E3435,3),"")</f>
      </c>
    </row>
    <row r="3437">
      <c r="A3437" s="5">
        <v>399</v>
      </c>
      <c r="B3437" s="5" t="str">
        <f>'Lineal Mixto'!$C$403</f>
      </c>
      <c r="C3437" s="5" t="str">
        <f>IF(AND(B3437&gt;=$B$3034,B3437&lt;=$B$3035),1,0)</f>
      </c>
      <c r="D3437" s="5" t="str">
        <f>IF(OR(D3436=1,C3437=1),1,0)</f>
      </c>
      <c r="E3437" s="5" t="str">
        <f>IF(C3437=1,0,IF(D3436=1,E3436+1,0))</f>
      </c>
      <c r="F3437" s="5" t="str">
        <f>IF(AND(C3437=1,D3436=1),MIN(E3436,3),"")</f>
      </c>
    </row>
    <row r="3438">
      <c r="A3438" s="6">
        <v>400</v>
      </c>
      <c r="B3438" s="6" t="str">
        <f>'Lineal Mixto'!$C$404</f>
      </c>
      <c r="C3438" s="6" t="str">
        <f>IF(AND(B3438&gt;=$B$3034,B3438&lt;=$B$3035),1,0)</f>
      </c>
      <c r="D3438" s="6" t="str">
        <f>IF(OR(D3437=1,C3438=1),1,0)</f>
      </c>
      <c r="E3438" s="6" t="str">
        <f>IF(C3438=1,0,IF(D3437=1,E3437+1,0))</f>
      </c>
      <c r="F3438" s="6" t="str">
        <f>IF(AND(C3438=1,D3437=1),MIN(E3437,3),"")</f>
      </c>
    </row>
    <row r="3439">
      <c r="A3439" s="5">
        <v>401</v>
      </c>
      <c r="B3439" s="5" t="str">
        <f>'Lineal Mixto'!$C$405</f>
      </c>
      <c r="C3439" s="5" t="str">
        <f>IF(AND(B3439&gt;=$B$3034,B3439&lt;=$B$3035),1,0)</f>
      </c>
      <c r="D3439" s="5" t="str">
        <f>IF(OR(D3438=1,C3439=1),1,0)</f>
      </c>
      <c r="E3439" s="5" t="str">
        <f>IF(C3439=1,0,IF(D3438=1,E3438+1,0))</f>
      </c>
      <c r="F3439" s="5" t="str">
        <f>IF(AND(C3439=1,D3438=1),MIN(E3438,3),"")</f>
      </c>
    </row>
    <row r="3440">
      <c r="A3440" s="6">
        <v>402</v>
      </c>
      <c r="B3440" s="6" t="str">
        <f>'Lineal Mixto'!$C$406</f>
      </c>
      <c r="C3440" s="6" t="str">
        <f>IF(AND(B3440&gt;=$B$3034,B3440&lt;=$B$3035),1,0)</f>
      </c>
      <c r="D3440" s="6" t="str">
        <f>IF(OR(D3439=1,C3440=1),1,0)</f>
      </c>
      <c r="E3440" s="6" t="str">
        <f>IF(C3440=1,0,IF(D3439=1,E3439+1,0))</f>
      </c>
      <c r="F3440" s="6" t="str">
        <f>IF(AND(C3440=1,D3439=1),MIN(E3439,3),"")</f>
      </c>
    </row>
    <row r="3441">
      <c r="A3441" s="5">
        <v>403</v>
      </c>
      <c r="B3441" s="5" t="str">
        <f>'Lineal Mixto'!$C$407</f>
      </c>
      <c r="C3441" s="5" t="str">
        <f>IF(AND(B3441&gt;=$B$3034,B3441&lt;=$B$3035),1,0)</f>
      </c>
      <c r="D3441" s="5" t="str">
        <f>IF(OR(D3440=1,C3441=1),1,0)</f>
      </c>
      <c r="E3441" s="5" t="str">
        <f>IF(C3441=1,0,IF(D3440=1,E3440+1,0))</f>
      </c>
      <c r="F3441" s="5" t="str">
        <f>IF(AND(C3441=1,D3440=1),MIN(E3440,3),"")</f>
      </c>
    </row>
    <row r="3442">
      <c r="A3442" s="6">
        <v>404</v>
      </c>
      <c r="B3442" s="6" t="str">
        <f>'Lineal Mixto'!$C$408</f>
      </c>
      <c r="C3442" s="6" t="str">
        <f>IF(AND(B3442&gt;=$B$3034,B3442&lt;=$B$3035),1,0)</f>
      </c>
      <c r="D3442" s="6" t="str">
        <f>IF(OR(D3441=1,C3442=1),1,0)</f>
      </c>
      <c r="E3442" s="6" t="str">
        <f>IF(C3442=1,0,IF(D3441=1,E3441+1,0))</f>
      </c>
      <c r="F3442" s="6" t="str">
        <f>IF(AND(C3442=1,D3441=1),MIN(E3441,3),"")</f>
      </c>
    </row>
    <row r="3443">
      <c r="A3443" s="5">
        <v>405</v>
      </c>
      <c r="B3443" s="5" t="str">
        <f>'Lineal Mixto'!$C$409</f>
      </c>
      <c r="C3443" s="5" t="str">
        <f>IF(AND(B3443&gt;=$B$3034,B3443&lt;=$B$3035),1,0)</f>
      </c>
      <c r="D3443" s="5" t="str">
        <f>IF(OR(D3442=1,C3443=1),1,0)</f>
      </c>
      <c r="E3443" s="5" t="str">
        <f>IF(C3443=1,0,IF(D3442=1,E3442+1,0))</f>
      </c>
      <c r="F3443" s="5" t="str">
        <f>IF(AND(C3443=1,D3442=1),MIN(E3442,3),"")</f>
      </c>
    </row>
    <row r="3444">
      <c r="A3444" s="6">
        <v>406</v>
      </c>
      <c r="B3444" s="6" t="str">
        <f>'Lineal Mixto'!$C$410</f>
      </c>
      <c r="C3444" s="6" t="str">
        <f>IF(AND(B3444&gt;=$B$3034,B3444&lt;=$B$3035),1,0)</f>
      </c>
      <c r="D3444" s="6" t="str">
        <f>IF(OR(D3443=1,C3444=1),1,0)</f>
      </c>
      <c r="E3444" s="6" t="str">
        <f>IF(C3444=1,0,IF(D3443=1,E3443+1,0))</f>
      </c>
      <c r="F3444" s="6" t="str">
        <f>IF(AND(C3444=1,D3443=1),MIN(E3443,3),"")</f>
      </c>
    </row>
    <row r="3445">
      <c r="A3445" s="5">
        <v>407</v>
      </c>
      <c r="B3445" s="5" t="str">
        <f>'Lineal Mixto'!$C$411</f>
      </c>
      <c r="C3445" s="5" t="str">
        <f>IF(AND(B3445&gt;=$B$3034,B3445&lt;=$B$3035),1,0)</f>
      </c>
      <c r="D3445" s="5" t="str">
        <f>IF(OR(D3444=1,C3445=1),1,0)</f>
      </c>
      <c r="E3445" s="5" t="str">
        <f>IF(C3445=1,0,IF(D3444=1,E3444+1,0))</f>
      </c>
      <c r="F3445" s="5" t="str">
        <f>IF(AND(C3445=1,D3444=1),MIN(E3444,3),"")</f>
      </c>
    </row>
    <row r="3446">
      <c r="A3446" s="6">
        <v>408</v>
      </c>
      <c r="B3446" s="6" t="str">
        <f>'Lineal Mixto'!$C$412</f>
      </c>
      <c r="C3446" s="6" t="str">
        <f>IF(AND(B3446&gt;=$B$3034,B3446&lt;=$B$3035),1,0)</f>
      </c>
      <c r="D3446" s="6" t="str">
        <f>IF(OR(D3445=1,C3446=1),1,0)</f>
      </c>
      <c r="E3446" s="6" t="str">
        <f>IF(C3446=1,0,IF(D3445=1,E3445+1,0))</f>
      </c>
      <c r="F3446" s="6" t="str">
        <f>IF(AND(C3446=1,D3445=1),MIN(E3445,3),"")</f>
      </c>
    </row>
    <row r="3447">
      <c r="A3447" s="5">
        <v>409</v>
      </c>
      <c r="B3447" s="5" t="str">
        <f>'Lineal Mixto'!$C$413</f>
      </c>
      <c r="C3447" s="5" t="str">
        <f>IF(AND(B3447&gt;=$B$3034,B3447&lt;=$B$3035),1,0)</f>
      </c>
      <c r="D3447" s="5" t="str">
        <f>IF(OR(D3446=1,C3447=1),1,0)</f>
      </c>
      <c r="E3447" s="5" t="str">
        <f>IF(C3447=1,0,IF(D3446=1,E3446+1,0))</f>
      </c>
      <c r="F3447" s="5" t="str">
        <f>IF(AND(C3447=1,D3446=1),MIN(E3446,3),"")</f>
      </c>
    </row>
    <row r="3448">
      <c r="A3448" s="6">
        <v>410</v>
      </c>
      <c r="B3448" s="6" t="str">
        <f>'Lineal Mixto'!$C$414</f>
      </c>
      <c r="C3448" s="6" t="str">
        <f>IF(AND(B3448&gt;=$B$3034,B3448&lt;=$B$3035),1,0)</f>
      </c>
      <c r="D3448" s="6" t="str">
        <f>IF(OR(D3447=1,C3448=1),1,0)</f>
      </c>
      <c r="E3448" s="6" t="str">
        <f>IF(C3448=1,0,IF(D3447=1,E3447+1,0))</f>
      </c>
      <c r="F3448" s="6" t="str">
        <f>IF(AND(C3448=1,D3447=1),MIN(E3447,3),"")</f>
      </c>
    </row>
    <row r="3449">
      <c r="A3449" s="5">
        <v>411</v>
      </c>
      <c r="B3449" s="5" t="str">
        <f>'Lineal Mixto'!$C$415</f>
      </c>
      <c r="C3449" s="5" t="str">
        <f>IF(AND(B3449&gt;=$B$3034,B3449&lt;=$B$3035),1,0)</f>
      </c>
      <c r="D3449" s="5" t="str">
        <f>IF(OR(D3448=1,C3449=1),1,0)</f>
      </c>
      <c r="E3449" s="5" t="str">
        <f>IF(C3449=1,0,IF(D3448=1,E3448+1,0))</f>
      </c>
      <c r="F3449" s="5" t="str">
        <f>IF(AND(C3449=1,D3448=1),MIN(E3448,3),"")</f>
      </c>
    </row>
    <row r="3450">
      <c r="A3450" s="6">
        <v>412</v>
      </c>
      <c r="B3450" s="6" t="str">
        <f>'Lineal Mixto'!$C$416</f>
      </c>
      <c r="C3450" s="6" t="str">
        <f>IF(AND(B3450&gt;=$B$3034,B3450&lt;=$B$3035),1,0)</f>
      </c>
      <c r="D3450" s="6" t="str">
        <f>IF(OR(D3449=1,C3450=1),1,0)</f>
      </c>
      <c r="E3450" s="6" t="str">
        <f>IF(C3450=1,0,IF(D3449=1,E3449+1,0))</f>
      </c>
      <c r="F3450" s="6" t="str">
        <f>IF(AND(C3450=1,D3449=1),MIN(E3449,3),"")</f>
      </c>
    </row>
    <row r="3451">
      <c r="A3451" s="5">
        <v>413</v>
      </c>
      <c r="B3451" s="5" t="str">
        <f>'Lineal Mixto'!$C$417</f>
      </c>
      <c r="C3451" s="5" t="str">
        <f>IF(AND(B3451&gt;=$B$3034,B3451&lt;=$B$3035),1,0)</f>
      </c>
      <c r="D3451" s="5" t="str">
        <f>IF(OR(D3450=1,C3451=1),1,0)</f>
      </c>
      <c r="E3451" s="5" t="str">
        <f>IF(C3451=1,0,IF(D3450=1,E3450+1,0))</f>
      </c>
      <c r="F3451" s="5" t="str">
        <f>IF(AND(C3451=1,D3450=1),MIN(E3450,3),"")</f>
      </c>
    </row>
    <row r="3452">
      <c r="A3452" s="6">
        <v>414</v>
      </c>
      <c r="B3452" s="6" t="str">
        <f>'Lineal Mixto'!$C$418</f>
      </c>
      <c r="C3452" s="6" t="str">
        <f>IF(AND(B3452&gt;=$B$3034,B3452&lt;=$B$3035),1,0)</f>
      </c>
      <c r="D3452" s="6" t="str">
        <f>IF(OR(D3451=1,C3452=1),1,0)</f>
      </c>
      <c r="E3452" s="6" t="str">
        <f>IF(C3452=1,0,IF(D3451=1,E3451+1,0))</f>
      </c>
      <c r="F3452" s="6" t="str">
        <f>IF(AND(C3452=1,D3451=1),MIN(E3451,3),"")</f>
      </c>
    </row>
    <row r="3453">
      <c r="A3453" s="5">
        <v>415</v>
      </c>
      <c r="B3453" s="5" t="str">
        <f>'Lineal Mixto'!$C$419</f>
      </c>
      <c r="C3453" s="5" t="str">
        <f>IF(AND(B3453&gt;=$B$3034,B3453&lt;=$B$3035),1,0)</f>
      </c>
      <c r="D3453" s="5" t="str">
        <f>IF(OR(D3452=1,C3453=1),1,0)</f>
      </c>
      <c r="E3453" s="5" t="str">
        <f>IF(C3453=1,0,IF(D3452=1,E3452+1,0))</f>
      </c>
      <c r="F3453" s="5" t="str">
        <f>IF(AND(C3453=1,D3452=1),MIN(E3452,3),"")</f>
      </c>
    </row>
    <row r="3454">
      <c r="A3454" s="6">
        <v>416</v>
      </c>
      <c r="B3454" s="6" t="str">
        <f>'Lineal Mixto'!$C$420</f>
      </c>
      <c r="C3454" s="6" t="str">
        <f>IF(AND(B3454&gt;=$B$3034,B3454&lt;=$B$3035),1,0)</f>
      </c>
      <c r="D3454" s="6" t="str">
        <f>IF(OR(D3453=1,C3454=1),1,0)</f>
      </c>
      <c r="E3454" s="6" t="str">
        <f>IF(C3454=1,0,IF(D3453=1,E3453+1,0))</f>
      </c>
      <c r="F3454" s="6" t="str">
        <f>IF(AND(C3454=1,D3453=1),MIN(E3453,3),"")</f>
      </c>
    </row>
    <row r="3455">
      <c r="A3455" s="5">
        <v>417</v>
      </c>
      <c r="B3455" s="5" t="str">
        <f>'Lineal Mixto'!$C$421</f>
      </c>
      <c r="C3455" s="5" t="str">
        <f>IF(AND(B3455&gt;=$B$3034,B3455&lt;=$B$3035),1,0)</f>
      </c>
      <c r="D3455" s="5" t="str">
        <f>IF(OR(D3454=1,C3455=1),1,0)</f>
      </c>
      <c r="E3455" s="5" t="str">
        <f>IF(C3455=1,0,IF(D3454=1,E3454+1,0))</f>
      </c>
      <c r="F3455" s="5" t="str">
        <f>IF(AND(C3455=1,D3454=1),MIN(E3454,3),"")</f>
      </c>
    </row>
    <row r="3456">
      <c r="A3456" s="6">
        <v>418</v>
      </c>
      <c r="B3456" s="6" t="str">
        <f>'Lineal Mixto'!$C$422</f>
      </c>
      <c r="C3456" s="6" t="str">
        <f>IF(AND(B3456&gt;=$B$3034,B3456&lt;=$B$3035),1,0)</f>
      </c>
      <c r="D3456" s="6" t="str">
        <f>IF(OR(D3455=1,C3456=1),1,0)</f>
      </c>
      <c r="E3456" s="6" t="str">
        <f>IF(C3456=1,0,IF(D3455=1,E3455+1,0))</f>
      </c>
      <c r="F3456" s="6" t="str">
        <f>IF(AND(C3456=1,D3455=1),MIN(E3455,3),"")</f>
      </c>
    </row>
    <row r="3457">
      <c r="A3457" s="5">
        <v>419</v>
      </c>
      <c r="B3457" s="5" t="str">
        <f>'Lineal Mixto'!$C$423</f>
      </c>
      <c r="C3457" s="5" t="str">
        <f>IF(AND(B3457&gt;=$B$3034,B3457&lt;=$B$3035),1,0)</f>
      </c>
      <c r="D3457" s="5" t="str">
        <f>IF(OR(D3456=1,C3457=1),1,0)</f>
      </c>
      <c r="E3457" s="5" t="str">
        <f>IF(C3457=1,0,IF(D3456=1,E3456+1,0))</f>
      </c>
      <c r="F3457" s="5" t="str">
        <f>IF(AND(C3457=1,D3456=1),MIN(E3456,3),"")</f>
      </c>
    </row>
    <row r="3458">
      <c r="A3458" s="6">
        <v>420</v>
      </c>
      <c r="B3458" s="6" t="str">
        <f>'Lineal Mixto'!$C$424</f>
      </c>
      <c r="C3458" s="6" t="str">
        <f>IF(AND(B3458&gt;=$B$3034,B3458&lt;=$B$3035),1,0)</f>
      </c>
      <c r="D3458" s="6" t="str">
        <f>IF(OR(D3457=1,C3458=1),1,0)</f>
      </c>
      <c r="E3458" s="6" t="str">
        <f>IF(C3458=1,0,IF(D3457=1,E3457+1,0))</f>
      </c>
      <c r="F3458" s="6" t="str">
        <f>IF(AND(C3458=1,D3457=1),MIN(E3457,3),"")</f>
      </c>
    </row>
    <row r="3459">
      <c r="A3459" s="5">
        <v>421</v>
      </c>
      <c r="B3459" s="5" t="str">
        <f>'Lineal Mixto'!$C$425</f>
      </c>
      <c r="C3459" s="5" t="str">
        <f>IF(AND(B3459&gt;=$B$3034,B3459&lt;=$B$3035),1,0)</f>
      </c>
      <c r="D3459" s="5" t="str">
        <f>IF(OR(D3458=1,C3459=1),1,0)</f>
      </c>
      <c r="E3459" s="5" t="str">
        <f>IF(C3459=1,0,IF(D3458=1,E3458+1,0))</f>
      </c>
      <c r="F3459" s="5" t="str">
        <f>IF(AND(C3459=1,D3458=1),MIN(E3458,3),"")</f>
      </c>
    </row>
    <row r="3460">
      <c r="A3460" s="6">
        <v>422</v>
      </c>
      <c r="B3460" s="6" t="str">
        <f>'Lineal Mixto'!$C$426</f>
      </c>
      <c r="C3460" s="6" t="str">
        <f>IF(AND(B3460&gt;=$B$3034,B3460&lt;=$B$3035),1,0)</f>
      </c>
      <c r="D3460" s="6" t="str">
        <f>IF(OR(D3459=1,C3460=1),1,0)</f>
      </c>
      <c r="E3460" s="6" t="str">
        <f>IF(C3460=1,0,IF(D3459=1,E3459+1,0))</f>
      </c>
      <c r="F3460" s="6" t="str">
        <f>IF(AND(C3460=1,D3459=1),MIN(E3459,3),"")</f>
      </c>
    </row>
    <row r="3461">
      <c r="A3461" s="5">
        <v>423</v>
      </c>
      <c r="B3461" s="5" t="str">
        <f>'Lineal Mixto'!$C$427</f>
      </c>
      <c r="C3461" s="5" t="str">
        <f>IF(AND(B3461&gt;=$B$3034,B3461&lt;=$B$3035),1,0)</f>
      </c>
      <c r="D3461" s="5" t="str">
        <f>IF(OR(D3460=1,C3461=1),1,0)</f>
      </c>
      <c r="E3461" s="5" t="str">
        <f>IF(C3461=1,0,IF(D3460=1,E3460+1,0))</f>
      </c>
      <c r="F3461" s="5" t="str">
        <f>IF(AND(C3461=1,D3460=1),MIN(E3460,3),"")</f>
      </c>
    </row>
    <row r="3462">
      <c r="A3462" s="6">
        <v>424</v>
      </c>
      <c r="B3462" s="6" t="str">
        <f>'Lineal Mixto'!$C$428</f>
      </c>
      <c r="C3462" s="6" t="str">
        <f>IF(AND(B3462&gt;=$B$3034,B3462&lt;=$B$3035),1,0)</f>
      </c>
      <c r="D3462" s="6" t="str">
        <f>IF(OR(D3461=1,C3462=1),1,0)</f>
      </c>
      <c r="E3462" s="6" t="str">
        <f>IF(C3462=1,0,IF(D3461=1,E3461+1,0))</f>
      </c>
      <c r="F3462" s="6" t="str">
        <f>IF(AND(C3462=1,D3461=1),MIN(E3461,3),"")</f>
      </c>
    </row>
    <row r="3463">
      <c r="A3463" s="5">
        <v>425</v>
      </c>
      <c r="B3463" s="5" t="str">
        <f>'Lineal Mixto'!$C$429</f>
      </c>
      <c r="C3463" s="5" t="str">
        <f>IF(AND(B3463&gt;=$B$3034,B3463&lt;=$B$3035),1,0)</f>
      </c>
      <c r="D3463" s="5" t="str">
        <f>IF(OR(D3462=1,C3463=1),1,0)</f>
      </c>
      <c r="E3463" s="5" t="str">
        <f>IF(C3463=1,0,IF(D3462=1,E3462+1,0))</f>
      </c>
      <c r="F3463" s="5" t="str">
        <f>IF(AND(C3463=1,D3462=1),MIN(E3462,3),"")</f>
      </c>
    </row>
    <row r="3464">
      <c r="A3464" s="6">
        <v>426</v>
      </c>
      <c r="B3464" s="6" t="str">
        <f>'Lineal Mixto'!$C$430</f>
      </c>
      <c r="C3464" s="6" t="str">
        <f>IF(AND(B3464&gt;=$B$3034,B3464&lt;=$B$3035),1,0)</f>
      </c>
      <c r="D3464" s="6" t="str">
        <f>IF(OR(D3463=1,C3464=1),1,0)</f>
      </c>
      <c r="E3464" s="6" t="str">
        <f>IF(C3464=1,0,IF(D3463=1,E3463+1,0))</f>
      </c>
      <c r="F3464" s="6" t="str">
        <f>IF(AND(C3464=1,D3463=1),MIN(E3463,3),"")</f>
      </c>
    </row>
    <row r="3465">
      <c r="A3465" s="5">
        <v>427</v>
      </c>
      <c r="B3465" s="5" t="str">
        <f>'Lineal Mixto'!$C$431</f>
      </c>
      <c r="C3465" s="5" t="str">
        <f>IF(AND(B3465&gt;=$B$3034,B3465&lt;=$B$3035),1,0)</f>
      </c>
      <c r="D3465" s="5" t="str">
        <f>IF(OR(D3464=1,C3465=1),1,0)</f>
      </c>
      <c r="E3465" s="5" t="str">
        <f>IF(C3465=1,0,IF(D3464=1,E3464+1,0))</f>
      </c>
      <c r="F3465" s="5" t="str">
        <f>IF(AND(C3465=1,D3464=1),MIN(E3464,3),"")</f>
      </c>
    </row>
    <row r="3466">
      <c r="A3466" s="6">
        <v>428</v>
      </c>
      <c r="B3466" s="6" t="str">
        <f>'Lineal Mixto'!$C$432</f>
      </c>
      <c r="C3466" s="6" t="str">
        <f>IF(AND(B3466&gt;=$B$3034,B3466&lt;=$B$3035),1,0)</f>
      </c>
      <c r="D3466" s="6" t="str">
        <f>IF(OR(D3465=1,C3466=1),1,0)</f>
      </c>
      <c r="E3466" s="6" t="str">
        <f>IF(C3466=1,0,IF(D3465=1,E3465+1,0))</f>
      </c>
      <c r="F3466" s="6" t="str">
        <f>IF(AND(C3466=1,D3465=1),MIN(E3465,3),"")</f>
      </c>
    </row>
    <row r="3467">
      <c r="A3467" s="5">
        <v>429</v>
      </c>
      <c r="B3467" s="5" t="str">
        <f>'Lineal Mixto'!$C$433</f>
      </c>
      <c r="C3467" s="5" t="str">
        <f>IF(AND(B3467&gt;=$B$3034,B3467&lt;=$B$3035),1,0)</f>
      </c>
      <c r="D3467" s="5" t="str">
        <f>IF(OR(D3466=1,C3467=1),1,0)</f>
      </c>
      <c r="E3467" s="5" t="str">
        <f>IF(C3467=1,0,IF(D3466=1,E3466+1,0))</f>
      </c>
      <c r="F3467" s="5" t="str">
        <f>IF(AND(C3467=1,D3466=1),MIN(E3466,3),"")</f>
      </c>
    </row>
    <row r="3468">
      <c r="A3468" s="6">
        <v>430</v>
      </c>
      <c r="B3468" s="6" t="str">
        <f>'Lineal Mixto'!$C$434</f>
      </c>
      <c r="C3468" s="6" t="str">
        <f>IF(AND(B3468&gt;=$B$3034,B3468&lt;=$B$3035),1,0)</f>
      </c>
      <c r="D3468" s="6" t="str">
        <f>IF(OR(D3467=1,C3468=1),1,0)</f>
      </c>
      <c r="E3468" s="6" t="str">
        <f>IF(C3468=1,0,IF(D3467=1,E3467+1,0))</f>
      </c>
      <c r="F3468" s="6" t="str">
        <f>IF(AND(C3468=1,D3467=1),MIN(E3467,3),"")</f>
      </c>
    </row>
    <row r="3469">
      <c r="A3469" s="5">
        <v>431</v>
      </c>
      <c r="B3469" s="5" t="str">
        <f>'Lineal Mixto'!$C$435</f>
      </c>
      <c r="C3469" s="5" t="str">
        <f>IF(AND(B3469&gt;=$B$3034,B3469&lt;=$B$3035),1,0)</f>
      </c>
      <c r="D3469" s="5" t="str">
        <f>IF(OR(D3468=1,C3469=1),1,0)</f>
      </c>
      <c r="E3469" s="5" t="str">
        <f>IF(C3469=1,0,IF(D3468=1,E3468+1,0))</f>
      </c>
      <c r="F3469" s="5" t="str">
        <f>IF(AND(C3469=1,D3468=1),MIN(E3468,3),"")</f>
      </c>
    </row>
    <row r="3470">
      <c r="A3470" s="6">
        <v>432</v>
      </c>
      <c r="B3470" s="6" t="str">
        <f>'Lineal Mixto'!$C$436</f>
      </c>
      <c r="C3470" s="6" t="str">
        <f>IF(AND(B3470&gt;=$B$3034,B3470&lt;=$B$3035),1,0)</f>
      </c>
      <c r="D3470" s="6" t="str">
        <f>IF(OR(D3469=1,C3470=1),1,0)</f>
      </c>
      <c r="E3470" s="6" t="str">
        <f>IF(C3470=1,0,IF(D3469=1,E3469+1,0))</f>
      </c>
      <c r="F3470" s="6" t="str">
        <f>IF(AND(C3470=1,D3469=1),MIN(E3469,3),"")</f>
      </c>
    </row>
    <row r="3471">
      <c r="A3471" s="5">
        <v>433</v>
      </c>
      <c r="B3471" s="5" t="str">
        <f>'Lineal Mixto'!$C$437</f>
      </c>
      <c r="C3471" s="5" t="str">
        <f>IF(AND(B3471&gt;=$B$3034,B3471&lt;=$B$3035),1,0)</f>
      </c>
      <c r="D3471" s="5" t="str">
        <f>IF(OR(D3470=1,C3471=1),1,0)</f>
      </c>
      <c r="E3471" s="5" t="str">
        <f>IF(C3471=1,0,IF(D3470=1,E3470+1,0))</f>
      </c>
      <c r="F3471" s="5" t="str">
        <f>IF(AND(C3471=1,D3470=1),MIN(E3470,3),"")</f>
      </c>
    </row>
    <row r="3472">
      <c r="A3472" s="6">
        <v>434</v>
      </c>
      <c r="B3472" s="6" t="str">
        <f>'Lineal Mixto'!$C$438</f>
      </c>
      <c r="C3472" s="6" t="str">
        <f>IF(AND(B3472&gt;=$B$3034,B3472&lt;=$B$3035),1,0)</f>
      </c>
      <c r="D3472" s="6" t="str">
        <f>IF(OR(D3471=1,C3472=1),1,0)</f>
      </c>
      <c r="E3472" s="6" t="str">
        <f>IF(C3472=1,0,IF(D3471=1,E3471+1,0))</f>
      </c>
      <c r="F3472" s="6" t="str">
        <f>IF(AND(C3472=1,D3471=1),MIN(E3471,3),"")</f>
      </c>
    </row>
    <row r="3473">
      <c r="A3473" s="5">
        <v>435</v>
      </c>
      <c r="B3473" s="5" t="str">
        <f>'Lineal Mixto'!$C$439</f>
      </c>
      <c r="C3473" s="5" t="str">
        <f>IF(AND(B3473&gt;=$B$3034,B3473&lt;=$B$3035),1,0)</f>
      </c>
      <c r="D3473" s="5" t="str">
        <f>IF(OR(D3472=1,C3473=1),1,0)</f>
      </c>
      <c r="E3473" s="5" t="str">
        <f>IF(C3473=1,0,IF(D3472=1,E3472+1,0))</f>
      </c>
      <c r="F3473" s="5" t="str">
        <f>IF(AND(C3473=1,D3472=1),MIN(E3472,3),"")</f>
      </c>
    </row>
    <row r="3474">
      <c r="A3474" s="6">
        <v>436</v>
      </c>
      <c r="B3474" s="6" t="str">
        <f>'Lineal Mixto'!$C$440</f>
      </c>
      <c r="C3474" s="6" t="str">
        <f>IF(AND(B3474&gt;=$B$3034,B3474&lt;=$B$3035),1,0)</f>
      </c>
      <c r="D3474" s="6" t="str">
        <f>IF(OR(D3473=1,C3474=1),1,0)</f>
      </c>
      <c r="E3474" s="6" t="str">
        <f>IF(C3474=1,0,IF(D3473=1,E3473+1,0))</f>
      </c>
      <c r="F3474" s="6" t="str">
        <f>IF(AND(C3474=1,D3473=1),MIN(E3473,3),"")</f>
      </c>
    </row>
    <row r="3475">
      <c r="A3475" s="5">
        <v>437</v>
      </c>
      <c r="B3475" s="5" t="str">
        <f>'Lineal Mixto'!$C$441</f>
      </c>
      <c r="C3475" s="5" t="str">
        <f>IF(AND(B3475&gt;=$B$3034,B3475&lt;=$B$3035),1,0)</f>
      </c>
      <c r="D3475" s="5" t="str">
        <f>IF(OR(D3474=1,C3475=1),1,0)</f>
      </c>
      <c r="E3475" s="5" t="str">
        <f>IF(C3475=1,0,IF(D3474=1,E3474+1,0))</f>
      </c>
      <c r="F3475" s="5" t="str">
        <f>IF(AND(C3475=1,D3474=1),MIN(E3474,3),"")</f>
      </c>
    </row>
    <row r="3476">
      <c r="A3476" s="6">
        <v>438</v>
      </c>
      <c r="B3476" s="6" t="str">
        <f>'Lineal Mixto'!$C$442</f>
      </c>
      <c r="C3476" s="6" t="str">
        <f>IF(AND(B3476&gt;=$B$3034,B3476&lt;=$B$3035),1,0)</f>
      </c>
      <c r="D3476" s="6" t="str">
        <f>IF(OR(D3475=1,C3476=1),1,0)</f>
      </c>
      <c r="E3476" s="6" t="str">
        <f>IF(C3476=1,0,IF(D3475=1,E3475+1,0))</f>
      </c>
      <c r="F3476" s="6" t="str">
        <f>IF(AND(C3476=1,D3475=1),MIN(E3475,3),"")</f>
      </c>
    </row>
    <row r="3477">
      <c r="A3477" s="5">
        <v>439</v>
      </c>
      <c r="B3477" s="5" t="str">
        <f>'Lineal Mixto'!$C$443</f>
      </c>
      <c r="C3477" s="5" t="str">
        <f>IF(AND(B3477&gt;=$B$3034,B3477&lt;=$B$3035),1,0)</f>
      </c>
      <c r="D3477" s="5" t="str">
        <f>IF(OR(D3476=1,C3477=1),1,0)</f>
      </c>
      <c r="E3477" s="5" t="str">
        <f>IF(C3477=1,0,IF(D3476=1,E3476+1,0))</f>
      </c>
      <c r="F3477" s="5" t="str">
        <f>IF(AND(C3477=1,D3476=1),MIN(E3476,3),"")</f>
      </c>
    </row>
    <row r="3478">
      <c r="A3478" s="6">
        <v>440</v>
      </c>
      <c r="B3478" s="6" t="str">
        <f>'Lineal Mixto'!$C$444</f>
      </c>
      <c r="C3478" s="6" t="str">
        <f>IF(AND(B3478&gt;=$B$3034,B3478&lt;=$B$3035),1,0)</f>
      </c>
      <c r="D3478" s="6" t="str">
        <f>IF(OR(D3477=1,C3478=1),1,0)</f>
      </c>
      <c r="E3478" s="6" t="str">
        <f>IF(C3478=1,0,IF(D3477=1,E3477+1,0))</f>
      </c>
      <c r="F3478" s="6" t="str">
        <f>IF(AND(C3478=1,D3477=1),MIN(E3477,3),"")</f>
      </c>
    </row>
    <row r="3479">
      <c r="A3479" s="5">
        <v>441</v>
      </c>
      <c r="B3479" s="5" t="str">
        <f>'Lineal Mixto'!$C$445</f>
      </c>
      <c r="C3479" s="5" t="str">
        <f>IF(AND(B3479&gt;=$B$3034,B3479&lt;=$B$3035),1,0)</f>
      </c>
      <c r="D3479" s="5" t="str">
        <f>IF(OR(D3478=1,C3479=1),1,0)</f>
      </c>
      <c r="E3479" s="5" t="str">
        <f>IF(C3479=1,0,IF(D3478=1,E3478+1,0))</f>
      </c>
      <c r="F3479" s="5" t="str">
        <f>IF(AND(C3479=1,D3478=1),MIN(E3478,3),"")</f>
      </c>
    </row>
    <row r="3480">
      <c r="A3480" s="6">
        <v>442</v>
      </c>
      <c r="B3480" s="6" t="str">
        <f>'Lineal Mixto'!$C$446</f>
      </c>
      <c r="C3480" s="6" t="str">
        <f>IF(AND(B3480&gt;=$B$3034,B3480&lt;=$B$3035),1,0)</f>
      </c>
      <c r="D3480" s="6" t="str">
        <f>IF(OR(D3479=1,C3480=1),1,0)</f>
      </c>
      <c r="E3480" s="6" t="str">
        <f>IF(C3480=1,0,IF(D3479=1,E3479+1,0))</f>
      </c>
      <c r="F3480" s="6" t="str">
        <f>IF(AND(C3480=1,D3479=1),MIN(E3479,3),"")</f>
      </c>
    </row>
    <row r="3481">
      <c r="A3481" s="5">
        <v>443</v>
      </c>
      <c r="B3481" s="5" t="str">
        <f>'Lineal Mixto'!$C$447</f>
      </c>
      <c r="C3481" s="5" t="str">
        <f>IF(AND(B3481&gt;=$B$3034,B3481&lt;=$B$3035),1,0)</f>
      </c>
      <c r="D3481" s="5" t="str">
        <f>IF(OR(D3480=1,C3481=1),1,0)</f>
      </c>
      <c r="E3481" s="5" t="str">
        <f>IF(C3481=1,0,IF(D3480=1,E3480+1,0))</f>
      </c>
      <c r="F3481" s="5" t="str">
        <f>IF(AND(C3481=1,D3480=1),MIN(E3480,3),"")</f>
      </c>
    </row>
    <row r="3482">
      <c r="A3482" s="6">
        <v>444</v>
      </c>
      <c r="B3482" s="6" t="str">
        <f>'Lineal Mixto'!$C$448</f>
      </c>
      <c r="C3482" s="6" t="str">
        <f>IF(AND(B3482&gt;=$B$3034,B3482&lt;=$B$3035),1,0)</f>
      </c>
      <c r="D3482" s="6" t="str">
        <f>IF(OR(D3481=1,C3482=1),1,0)</f>
      </c>
      <c r="E3482" s="6" t="str">
        <f>IF(C3482=1,0,IF(D3481=1,E3481+1,0))</f>
      </c>
      <c r="F3482" s="6" t="str">
        <f>IF(AND(C3482=1,D3481=1),MIN(E3481,3),"")</f>
      </c>
    </row>
    <row r="3483">
      <c r="A3483" s="5">
        <v>445</v>
      </c>
      <c r="B3483" s="5" t="str">
        <f>'Lineal Mixto'!$C$449</f>
      </c>
      <c r="C3483" s="5" t="str">
        <f>IF(AND(B3483&gt;=$B$3034,B3483&lt;=$B$3035),1,0)</f>
      </c>
      <c r="D3483" s="5" t="str">
        <f>IF(OR(D3482=1,C3483=1),1,0)</f>
      </c>
      <c r="E3483" s="5" t="str">
        <f>IF(C3483=1,0,IF(D3482=1,E3482+1,0))</f>
      </c>
      <c r="F3483" s="5" t="str">
        <f>IF(AND(C3483=1,D3482=1),MIN(E3482,3),"")</f>
      </c>
    </row>
    <row r="3484">
      <c r="A3484" s="6">
        <v>446</v>
      </c>
      <c r="B3484" s="6" t="str">
        <f>'Lineal Mixto'!$C$450</f>
      </c>
      <c r="C3484" s="6" t="str">
        <f>IF(AND(B3484&gt;=$B$3034,B3484&lt;=$B$3035),1,0)</f>
      </c>
      <c r="D3484" s="6" t="str">
        <f>IF(OR(D3483=1,C3484=1),1,0)</f>
      </c>
      <c r="E3484" s="6" t="str">
        <f>IF(C3484=1,0,IF(D3483=1,E3483+1,0))</f>
      </c>
      <c r="F3484" s="6" t="str">
        <f>IF(AND(C3484=1,D3483=1),MIN(E3483,3),"")</f>
      </c>
    </row>
    <row r="3485">
      <c r="A3485" s="5">
        <v>447</v>
      </c>
      <c r="B3485" s="5" t="str">
        <f>'Lineal Mixto'!$C$451</f>
      </c>
      <c r="C3485" s="5" t="str">
        <f>IF(AND(B3485&gt;=$B$3034,B3485&lt;=$B$3035),1,0)</f>
      </c>
      <c r="D3485" s="5" t="str">
        <f>IF(OR(D3484=1,C3485=1),1,0)</f>
      </c>
      <c r="E3485" s="5" t="str">
        <f>IF(C3485=1,0,IF(D3484=1,E3484+1,0))</f>
      </c>
      <c r="F3485" s="5" t="str">
        <f>IF(AND(C3485=1,D3484=1),MIN(E3484,3),"")</f>
      </c>
    </row>
    <row r="3486">
      <c r="A3486" s="6">
        <v>448</v>
      </c>
      <c r="B3486" s="6" t="str">
        <f>'Lineal Mixto'!$C$452</f>
      </c>
      <c r="C3486" s="6" t="str">
        <f>IF(AND(B3486&gt;=$B$3034,B3486&lt;=$B$3035),1,0)</f>
      </c>
      <c r="D3486" s="6" t="str">
        <f>IF(OR(D3485=1,C3486=1),1,0)</f>
      </c>
      <c r="E3486" s="6" t="str">
        <f>IF(C3486=1,0,IF(D3485=1,E3485+1,0))</f>
      </c>
      <c r="F3486" s="6" t="str">
        <f>IF(AND(C3486=1,D3485=1),MIN(E3485,3),"")</f>
      </c>
    </row>
    <row r="3487">
      <c r="A3487" s="5">
        <v>449</v>
      </c>
      <c r="B3487" s="5" t="str">
        <f>'Lineal Mixto'!$C$453</f>
      </c>
      <c r="C3487" s="5" t="str">
        <f>IF(AND(B3487&gt;=$B$3034,B3487&lt;=$B$3035),1,0)</f>
      </c>
      <c r="D3487" s="5" t="str">
        <f>IF(OR(D3486=1,C3487=1),1,0)</f>
      </c>
      <c r="E3487" s="5" t="str">
        <f>IF(C3487=1,0,IF(D3486=1,E3486+1,0))</f>
      </c>
      <c r="F3487" s="5" t="str">
        <f>IF(AND(C3487=1,D3486=1),MIN(E3486,3),"")</f>
      </c>
    </row>
    <row r="3488">
      <c r="A3488" s="6">
        <v>450</v>
      </c>
      <c r="B3488" s="6" t="str">
        <f>'Lineal Mixto'!$C$454</f>
      </c>
      <c r="C3488" s="6" t="str">
        <f>IF(AND(B3488&gt;=$B$3034,B3488&lt;=$B$3035),1,0)</f>
      </c>
      <c r="D3488" s="6" t="str">
        <f>IF(OR(D3487=1,C3488=1),1,0)</f>
      </c>
      <c r="E3488" s="6" t="str">
        <f>IF(C3488=1,0,IF(D3487=1,E3487+1,0))</f>
      </c>
      <c r="F3488" s="6" t="str">
        <f>IF(AND(C3488=1,D3487=1),MIN(E3487,3),"")</f>
      </c>
    </row>
    <row r="3489">
      <c r="A3489" s="5">
        <v>451</v>
      </c>
      <c r="B3489" s="5" t="str">
        <f>'Lineal Mixto'!$C$455</f>
      </c>
      <c r="C3489" s="5" t="str">
        <f>IF(AND(B3489&gt;=$B$3034,B3489&lt;=$B$3035),1,0)</f>
      </c>
      <c r="D3489" s="5" t="str">
        <f>IF(OR(D3488=1,C3489=1),1,0)</f>
      </c>
      <c r="E3489" s="5" t="str">
        <f>IF(C3489=1,0,IF(D3488=1,E3488+1,0))</f>
      </c>
      <c r="F3489" s="5" t="str">
        <f>IF(AND(C3489=1,D3488=1),MIN(E3488,3),"")</f>
      </c>
    </row>
    <row r="3490">
      <c r="A3490" s="6">
        <v>452</v>
      </c>
      <c r="B3490" s="6" t="str">
        <f>'Lineal Mixto'!$C$456</f>
      </c>
      <c r="C3490" s="6" t="str">
        <f>IF(AND(B3490&gt;=$B$3034,B3490&lt;=$B$3035),1,0)</f>
      </c>
      <c r="D3490" s="6" t="str">
        <f>IF(OR(D3489=1,C3490=1),1,0)</f>
      </c>
      <c r="E3490" s="6" t="str">
        <f>IF(C3490=1,0,IF(D3489=1,E3489+1,0))</f>
      </c>
      <c r="F3490" s="6" t="str">
        <f>IF(AND(C3490=1,D3489=1),MIN(E3489,3),"")</f>
      </c>
    </row>
    <row r="3491">
      <c r="A3491" s="5">
        <v>453</v>
      </c>
      <c r="B3491" s="5" t="str">
        <f>'Lineal Mixto'!$C$457</f>
      </c>
      <c r="C3491" s="5" t="str">
        <f>IF(AND(B3491&gt;=$B$3034,B3491&lt;=$B$3035),1,0)</f>
      </c>
      <c r="D3491" s="5" t="str">
        <f>IF(OR(D3490=1,C3491=1),1,0)</f>
      </c>
      <c r="E3491" s="5" t="str">
        <f>IF(C3491=1,0,IF(D3490=1,E3490+1,0))</f>
      </c>
      <c r="F3491" s="5" t="str">
        <f>IF(AND(C3491=1,D3490=1),MIN(E3490,3),"")</f>
      </c>
    </row>
    <row r="3492">
      <c r="A3492" s="6">
        <v>454</v>
      </c>
      <c r="B3492" s="6" t="str">
        <f>'Lineal Mixto'!$C$458</f>
      </c>
      <c r="C3492" s="6" t="str">
        <f>IF(AND(B3492&gt;=$B$3034,B3492&lt;=$B$3035),1,0)</f>
      </c>
      <c r="D3492" s="6" t="str">
        <f>IF(OR(D3491=1,C3492=1),1,0)</f>
      </c>
      <c r="E3492" s="6" t="str">
        <f>IF(C3492=1,0,IF(D3491=1,E3491+1,0))</f>
      </c>
      <c r="F3492" s="6" t="str">
        <f>IF(AND(C3492=1,D3491=1),MIN(E3491,3),"")</f>
      </c>
    </row>
    <row r="3493">
      <c r="A3493" s="5">
        <v>455</v>
      </c>
      <c r="B3493" s="5" t="str">
        <f>'Lineal Mixto'!$C$459</f>
      </c>
      <c r="C3493" s="5" t="str">
        <f>IF(AND(B3493&gt;=$B$3034,B3493&lt;=$B$3035),1,0)</f>
      </c>
      <c r="D3493" s="5" t="str">
        <f>IF(OR(D3492=1,C3493=1),1,0)</f>
      </c>
      <c r="E3493" s="5" t="str">
        <f>IF(C3493=1,0,IF(D3492=1,E3492+1,0))</f>
      </c>
      <c r="F3493" s="5" t="str">
        <f>IF(AND(C3493=1,D3492=1),MIN(E3492,3),"")</f>
      </c>
    </row>
    <row r="3494">
      <c r="A3494" s="6">
        <v>456</v>
      </c>
      <c r="B3494" s="6" t="str">
        <f>'Lineal Mixto'!$C$460</f>
      </c>
      <c r="C3494" s="6" t="str">
        <f>IF(AND(B3494&gt;=$B$3034,B3494&lt;=$B$3035),1,0)</f>
      </c>
      <c r="D3494" s="6" t="str">
        <f>IF(OR(D3493=1,C3494=1),1,0)</f>
      </c>
      <c r="E3494" s="6" t="str">
        <f>IF(C3494=1,0,IF(D3493=1,E3493+1,0))</f>
      </c>
      <c r="F3494" s="6" t="str">
        <f>IF(AND(C3494=1,D3493=1),MIN(E3493,3),"")</f>
      </c>
    </row>
    <row r="3495">
      <c r="A3495" s="5">
        <v>457</v>
      </c>
      <c r="B3495" s="5" t="str">
        <f>'Lineal Mixto'!$C$461</f>
      </c>
      <c r="C3495" s="5" t="str">
        <f>IF(AND(B3495&gt;=$B$3034,B3495&lt;=$B$3035),1,0)</f>
      </c>
      <c r="D3495" s="5" t="str">
        <f>IF(OR(D3494=1,C3495=1),1,0)</f>
      </c>
      <c r="E3495" s="5" t="str">
        <f>IF(C3495=1,0,IF(D3494=1,E3494+1,0))</f>
      </c>
      <c r="F3495" s="5" t="str">
        <f>IF(AND(C3495=1,D3494=1),MIN(E3494,3),"")</f>
      </c>
    </row>
    <row r="3496">
      <c r="A3496" s="6">
        <v>458</v>
      </c>
      <c r="B3496" s="6" t="str">
        <f>'Lineal Mixto'!$C$462</f>
      </c>
      <c r="C3496" s="6" t="str">
        <f>IF(AND(B3496&gt;=$B$3034,B3496&lt;=$B$3035),1,0)</f>
      </c>
      <c r="D3496" s="6" t="str">
        <f>IF(OR(D3495=1,C3496=1),1,0)</f>
      </c>
      <c r="E3496" s="6" t="str">
        <f>IF(C3496=1,0,IF(D3495=1,E3495+1,0))</f>
      </c>
      <c r="F3496" s="6" t="str">
        <f>IF(AND(C3496=1,D3495=1),MIN(E3495,3),"")</f>
      </c>
    </row>
    <row r="3497">
      <c r="A3497" s="5">
        <v>459</v>
      </c>
      <c r="B3497" s="5" t="str">
        <f>'Lineal Mixto'!$C$463</f>
      </c>
      <c r="C3497" s="5" t="str">
        <f>IF(AND(B3497&gt;=$B$3034,B3497&lt;=$B$3035),1,0)</f>
      </c>
      <c r="D3497" s="5" t="str">
        <f>IF(OR(D3496=1,C3497=1),1,0)</f>
      </c>
      <c r="E3497" s="5" t="str">
        <f>IF(C3497=1,0,IF(D3496=1,E3496+1,0))</f>
      </c>
      <c r="F3497" s="5" t="str">
        <f>IF(AND(C3497=1,D3496=1),MIN(E3496,3),"")</f>
      </c>
    </row>
    <row r="3498">
      <c r="A3498" s="6">
        <v>460</v>
      </c>
      <c r="B3498" s="6" t="str">
        <f>'Lineal Mixto'!$C$464</f>
      </c>
      <c r="C3498" s="6" t="str">
        <f>IF(AND(B3498&gt;=$B$3034,B3498&lt;=$B$3035),1,0)</f>
      </c>
      <c r="D3498" s="6" t="str">
        <f>IF(OR(D3497=1,C3498=1),1,0)</f>
      </c>
      <c r="E3498" s="6" t="str">
        <f>IF(C3498=1,0,IF(D3497=1,E3497+1,0))</f>
      </c>
      <c r="F3498" s="6" t="str">
        <f>IF(AND(C3498=1,D3497=1),MIN(E3497,3),"")</f>
      </c>
    </row>
    <row r="3499">
      <c r="A3499" s="5">
        <v>461</v>
      </c>
      <c r="B3499" s="5" t="str">
        <f>'Lineal Mixto'!$C$465</f>
      </c>
      <c r="C3499" s="5" t="str">
        <f>IF(AND(B3499&gt;=$B$3034,B3499&lt;=$B$3035),1,0)</f>
      </c>
      <c r="D3499" s="5" t="str">
        <f>IF(OR(D3498=1,C3499=1),1,0)</f>
      </c>
      <c r="E3499" s="5" t="str">
        <f>IF(C3499=1,0,IF(D3498=1,E3498+1,0))</f>
      </c>
      <c r="F3499" s="5" t="str">
        <f>IF(AND(C3499=1,D3498=1),MIN(E3498,3),"")</f>
      </c>
    </row>
    <row r="3500">
      <c r="A3500" s="6">
        <v>462</v>
      </c>
      <c r="B3500" s="6" t="str">
        <f>'Lineal Mixto'!$C$466</f>
      </c>
      <c r="C3500" s="6" t="str">
        <f>IF(AND(B3500&gt;=$B$3034,B3500&lt;=$B$3035),1,0)</f>
      </c>
      <c r="D3500" s="6" t="str">
        <f>IF(OR(D3499=1,C3500=1),1,0)</f>
      </c>
      <c r="E3500" s="6" t="str">
        <f>IF(C3500=1,0,IF(D3499=1,E3499+1,0))</f>
      </c>
      <c r="F3500" s="6" t="str">
        <f>IF(AND(C3500=1,D3499=1),MIN(E3499,3),"")</f>
      </c>
    </row>
    <row r="3501">
      <c r="A3501" s="5">
        <v>463</v>
      </c>
      <c r="B3501" s="5" t="str">
        <f>'Lineal Mixto'!$C$467</f>
      </c>
      <c r="C3501" s="5" t="str">
        <f>IF(AND(B3501&gt;=$B$3034,B3501&lt;=$B$3035),1,0)</f>
      </c>
      <c r="D3501" s="5" t="str">
        <f>IF(OR(D3500=1,C3501=1),1,0)</f>
      </c>
      <c r="E3501" s="5" t="str">
        <f>IF(C3501=1,0,IF(D3500=1,E3500+1,0))</f>
      </c>
      <c r="F3501" s="5" t="str">
        <f>IF(AND(C3501=1,D3500=1),MIN(E3500,3),"")</f>
      </c>
    </row>
    <row r="3502">
      <c r="A3502" s="6">
        <v>464</v>
      </c>
      <c r="B3502" s="6" t="str">
        <f>'Lineal Mixto'!$C$468</f>
      </c>
      <c r="C3502" s="6" t="str">
        <f>IF(AND(B3502&gt;=$B$3034,B3502&lt;=$B$3035),1,0)</f>
      </c>
      <c r="D3502" s="6" t="str">
        <f>IF(OR(D3501=1,C3502=1),1,0)</f>
      </c>
      <c r="E3502" s="6" t="str">
        <f>IF(C3502=1,0,IF(D3501=1,E3501+1,0))</f>
      </c>
      <c r="F3502" s="6" t="str">
        <f>IF(AND(C3502=1,D3501=1),MIN(E3501,3),"")</f>
      </c>
    </row>
    <row r="3503">
      <c r="A3503" s="5">
        <v>465</v>
      </c>
      <c r="B3503" s="5" t="str">
        <f>'Lineal Mixto'!$C$469</f>
      </c>
      <c r="C3503" s="5" t="str">
        <f>IF(AND(B3503&gt;=$B$3034,B3503&lt;=$B$3035),1,0)</f>
      </c>
      <c r="D3503" s="5" t="str">
        <f>IF(OR(D3502=1,C3503=1),1,0)</f>
      </c>
      <c r="E3503" s="5" t="str">
        <f>IF(C3503=1,0,IF(D3502=1,E3502+1,0))</f>
      </c>
      <c r="F3503" s="5" t="str">
        <f>IF(AND(C3503=1,D3502=1),MIN(E3502,3),"")</f>
      </c>
    </row>
    <row r="3504">
      <c r="A3504" s="6">
        <v>466</v>
      </c>
      <c r="B3504" s="6" t="str">
        <f>'Lineal Mixto'!$C$470</f>
      </c>
      <c r="C3504" s="6" t="str">
        <f>IF(AND(B3504&gt;=$B$3034,B3504&lt;=$B$3035),1,0)</f>
      </c>
      <c r="D3504" s="6" t="str">
        <f>IF(OR(D3503=1,C3504=1),1,0)</f>
      </c>
      <c r="E3504" s="6" t="str">
        <f>IF(C3504=1,0,IF(D3503=1,E3503+1,0))</f>
      </c>
      <c r="F3504" s="6" t="str">
        <f>IF(AND(C3504=1,D3503=1),MIN(E3503,3),"")</f>
      </c>
    </row>
    <row r="3505">
      <c r="A3505" s="5">
        <v>467</v>
      </c>
      <c r="B3505" s="5" t="str">
        <f>'Lineal Mixto'!$C$471</f>
      </c>
      <c r="C3505" s="5" t="str">
        <f>IF(AND(B3505&gt;=$B$3034,B3505&lt;=$B$3035),1,0)</f>
      </c>
      <c r="D3505" s="5" t="str">
        <f>IF(OR(D3504=1,C3505=1),1,0)</f>
      </c>
      <c r="E3505" s="5" t="str">
        <f>IF(C3505=1,0,IF(D3504=1,E3504+1,0))</f>
      </c>
      <c r="F3505" s="5" t="str">
        <f>IF(AND(C3505=1,D3504=1),MIN(E3504,3),"")</f>
      </c>
    </row>
    <row r="3506">
      <c r="A3506" s="6">
        <v>468</v>
      </c>
      <c r="B3506" s="6" t="str">
        <f>'Lineal Mixto'!$C$472</f>
      </c>
      <c r="C3506" s="6" t="str">
        <f>IF(AND(B3506&gt;=$B$3034,B3506&lt;=$B$3035),1,0)</f>
      </c>
      <c r="D3506" s="6" t="str">
        <f>IF(OR(D3505=1,C3506=1),1,0)</f>
      </c>
      <c r="E3506" s="6" t="str">
        <f>IF(C3506=1,0,IF(D3505=1,E3505+1,0))</f>
      </c>
      <c r="F3506" s="6" t="str">
        <f>IF(AND(C3506=1,D3505=1),MIN(E3505,3),"")</f>
      </c>
    </row>
    <row r="3507">
      <c r="A3507" s="5">
        <v>469</v>
      </c>
      <c r="B3507" s="5" t="str">
        <f>'Lineal Mixto'!$C$473</f>
      </c>
      <c r="C3507" s="5" t="str">
        <f>IF(AND(B3507&gt;=$B$3034,B3507&lt;=$B$3035),1,0)</f>
      </c>
      <c r="D3507" s="5" t="str">
        <f>IF(OR(D3506=1,C3507=1),1,0)</f>
      </c>
      <c r="E3507" s="5" t="str">
        <f>IF(C3507=1,0,IF(D3506=1,E3506+1,0))</f>
      </c>
      <c r="F3507" s="5" t="str">
        <f>IF(AND(C3507=1,D3506=1),MIN(E3506,3),"")</f>
      </c>
    </row>
    <row r="3508">
      <c r="A3508" s="6">
        <v>470</v>
      </c>
      <c r="B3508" s="6" t="str">
        <f>'Lineal Mixto'!$C$474</f>
      </c>
      <c r="C3508" s="6" t="str">
        <f>IF(AND(B3508&gt;=$B$3034,B3508&lt;=$B$3035),1,0)</f>
      </c>
      <c r="D3508" s="6" t="str">
        <f>IF(OR(D3507=1,C3508=1),1,0)</f>
      </c>
      <c r="E3508" s="6" t="str">
        <f>IF(C3508=1,0,IF(D3507=1,E3507+1,0))</f>
      </c>
      <c r="F3508" s="6" t="str">
        <f>IF(AND(C3508=1,D3507=1),MIN(E3507,3),"")</f>
      </c>
    </row>
    <row r="3509">
      <c r="A3509" s="5">
        <v>471</v>
      </c>
      <c r="B3509" s="5" t="str">
        <f>'Lineal Mixto'!$C$475</f>
      </c>
      <c r="C3509" s="5" t="str">
        <f>IF(AND(B3509&gt;=$B$3034,B3509&lt;=$B$3035),1,0)</f>
      </c>
      <c r="D3509" s="5" t="str">
        <f>IF(OR(D3508=1,C3509=1),1,0)</f>
      </c>
      <c r="E3509" s="5" t="str">
        <f>IF(C3509=1,0,IF(D3508=1,E3508+1,0))</f>
      </c>
      <c r="F3509" s="5" t="str">
        <f>IF(AND(C3509=1,D3508=1),MIN(E3508,3),"")</f>
      </c>
    </row>
    <row r="3510">
      <c r="A3510" s="6">
        <v>472</v>
      </c>
      <c r="B3510" s="6" t="str">
        <f>'Lineal Mixto'!$C$476</f>
      </c>
      <c r="C3510" s="6" t="str">
        <f>IF(AND(B3510&gt;=$B$3034,B3510&lt;=$B$3035),1,0)</f>
      </c>
      <c r="D3510" s="6" t="str">
        <f>IF(OR(D3509=1,C3510=1),1,0)</f>
      </c>
      <c r="E3510" s="6" t="str">
        <f>IF(C3510=1,0,IF(D3509=1,E3509+1,0))</f>
      </c>
      <c r="F3510" s="6" t="str">
        <f>IF(AND(C3510=1,D3509=1),MIN(E3509,3),"")</f>
      </c>
    </row>
    <row r="3511">
      <c r="A3511" s="5">
        <v>473</v>
      </c>
      <c r="B3511" s="5" t="str">
        <f>'Lineal Mixto'!$C$477</f>
      </c>
      <c r="C3511" s="5" t="str">
        <f>IF(AND(B3511&gt;=$B$3034,B3511&lt;=$B$3035),1,0)</f>
      </c>
      <c r="D3511" s="5" t="str">
        <f>IF(OR(D3510=1,C3511=1),1,0)</f>
      </c>
      <c r="E3511" s="5" t="str">
        <f>IF(C3511=1,0,IF(D3510=1,E3510+1,0))</f>
      </c>
      <c r="F3511" s="5" t="str">
        <f>IF(AND(C3511=1,D3510=1),MIN(E3510,3),"")</f>
      </c>
    </row>
    <row r="3512">
      <c r="A3512" s="6">
        <v>474</v>
      </c>
      <c r="B3512" s="6" t="str">
        <f>'Lineal Mixto'!$C$478</f>
      </c>
      <c r="C3512" s="6" t="str">
        <f>IF(AND(B3512&gt;=$B$3034,B3512&lt;=$B$3035),1,0)</f>
      </c>
      <c r="D3512" s="6" t="str">
        <f>IF(OR(D3511=1,C3512=1),1,0)</f>
      </c>
      <c r="E3512" s="6" t="str">
        <f>IF(C3512=1,0,IF(D3511=1,E3511+1,0))</f>
      </c>
      <c r="F3512" s="6" t="str">
        <f>IF(AND(C3512=1,D3511=1),MIN(E3511,3),"")</f>
      </c>
    </row>
    <row r="3513">
      <c r="A3513" s="5">
        <v>475</v>
      </c>
      <c r="B3513" s="5" t="str">
        <f>'Lineal Mixto'!$C$479</f>
      </c>
      <c r="C3513" s="5" t="str">
        <f>IF(AND(B3513&gt;=$B$3034,B3513&lt;=$B$3035),1,0)</f>
      </c>
      <c r="D3513" s="5" t="str">
        <f>IF(OR(D3512=1,C3513=1),1,0)</f>
      </c>
      <c r="E3513" s="5" t="str">
        <f>IF(C3513=1,0,IF(D3512=1,E3512+1,0))</f>
      </c>
      <c r="F3513" s="5" t="str">
        <f>IF(AND(C3513=1,D3512=1),MIN(E3512,3),"")</f>
      </c>
    </row>
    <row r="3514">
      <c r="A3514" s="6">
        <v>476</v>
      </c>
      <c r="B3514" s="6" t="str">
        <f>'Lineal Mixto'!$C$480</f>
      </c>
      <c r="C3514" s="6" t="str">
        <f>IF(AND(B3514&gt;=$B$3034,B3514&lt;=$B$3035),1,0)</f>
      </c>
      <c r="D3514" s="6" t="str">
        <f>IF(OR(D3513=1,C3514=1),1,0)</f>
      </c>
      <c r="E3514" s="6" t="str">
        <f>IF(C3514=1,0,IF(D3513=1,E3513+1,0))</f>
      </c>
      <c r="F3514" s="6" t="str">
        <f>IF(AND(C3514=1,D3513=1),MIN(E3513,3),"")</f>
      </c>
    </row>
    <row r="3515">
      <c r="A3515" s="5">
        <v>477</v>
      </c>
      <c r="B3515" s="5" t="str">
        <f>'Lineal Mixto'!$C$481</f>
      </c>
      <c r="C3515" s="5" t="str">
        <f>IF(AND(B3515&gt;=$B$3034,B3515&lt;=$B$3035),1,0)</f>
      </c>
      <c r="D3515" s="5" t="str">
        <f>IF(OR(D3514=1,C3515=1),1,0)</f>
      </c>
      <c r="E3515" s="5" t="str">
        <f>IF(C3515=1,0,IF(D3514=1,E3514+1,0))</f>
      </c>
      <c r="F3515" s="5" t="str">
        <f>IF(AND(C3515=1,D3514=1),MIN(E3514,3),"")</f>
      </c>
    </row>
    <row r="3516">
      <c r="A3516" s="6">
        <v>478</v>
      </c>
      <c r="B3516" s="6" t="str">
        <f>'Lineal Mixto'!$C$482</f>
      </c>
      <c r="C3516" s="6" t="str">
        <f>IF(AND(B3516&gt;=$B$3034,B3516&lt;=$B$3035),1,0)</f>
      </c>
      <c r="D3516" s="6" t="str">
        <f>IF(OR(D3515=1,C3516=1),1,0)</f>
      </c>
      <c r="E3516" s="6" t="str">
        <f>IF(C3516=1,0,IF(D3515=1,E3515+1,0))</f>
      </c>
      <c r="F3516" s="6" t="str">
        <f>IF(AND(C3516=1,D3515=1),MIN(E3515,3),"")</f>
      </c>
    </row>
    <row r="3517">
      <c r="A3517" s="5">
        <v>479</v>
      </c>
      <c r="B3517" s="5" t="str">
        <f>'Lineal Mixto'!$C$483</f>
      </c>
      <c r="C3517" s="5" t="str">
        <f>IF(AND(B3517&gt;=$B$3034,B3517&lt;=$B$3035),1,0)</f>
      </c>
      <c r="D3517" s="5" t="str">
        <f>IF(OR(D3516=1,C3517=1),1,0)</f>
      </c>
      <c r="E3517" s="5" t="str">
        <f>IF(C3517=1,0,IF(D3516=1,E3516+1,0))</f>
      </c>
      <c r="F3517" s="5" t="str">
        <f>IF(AND(C3517=1,D3516=1),MIN(E3516,3),"")</f>
      </c>
    </row>
    <row r="3518">
      <c r="A3518" s="6">
        <v>480</v>
      </c>
      <c r="B3518" s="6" t="str">
        <f>'Lineal Mixto'!$C$484</f>
      </c>
      <c r="C3518" s="6" t="str">
        <f>IF(AND(B3518&gt;=$B$3034,B3518&lt;=$B$3035),1,0)</f>
      </c>
      <c r="D3518" s="6" t="str">
        <f>IF(OR(D3517=1,C3518=1),1,0)</f>
      </c>
      <c r="E3518" s="6" t="str">
        <f>IF(C3518=1,0,IF(D3517=1,E3517+1,0))</f>
      </c>
      <c r="F3518" s="6" t="str">
        <f>IF(AND(C3518=1,D3517=1),MIN(E3517,3),"")</f>
      </c>
    </row>
    <row r="3519">
      <c r="A3519" s="5">
        <v>481</v>
      </c>
      <c r="B3519" s="5" t="str">
        <f>'Lineal Mixto'!$C$485</f>
      </c>
      <c r="C3519" s="5" t="str">
        <f>IF(AND(B3519&gt;=$B$3034,B3519&lt;=$B$3035),1,0)</f>
      </c>
      <c r="D3519" s="5" t="str">
        <f>IF(OR(D3518=1,C3519=1),1,0)</f>
      </c>
      <c r="E3519" s="5" t="str">
        <f>IF(C3519=1,0,IF(D3518=1,E3518+1,0))</f>
      </c>
      <c r="F3519" s="5" t="str">
        <f>IF(AND(C3519=1,D3518=1),MIN(E3518,3),"")</f>
      </c>
    </row>
    <row r="3520">
      <c r="A3520" s="6">
        <v>482</v>
      </c>
      <c r="B3520" s="6" t="str">
        <f>'Lineal Mixto'!$C$486</f>
      </c>
      <c r="C3520" s="6" t="str">
        <f>IF(AND(B3520&gt;=$B$3034,B3520&lt;=$B$3035),1,0)</f>
      </c>
      <c r="D3520" s="6" t="str">
        <f>IF(OR(D3519=1,C3520=1),1,0)</f>
      </c>
      <c r="E3520" s="6" t="str">
        <f>IF(C3520=1,0,IF(D3519=1,E3519+1,0))</f>
      </c>
      <c r="F3520" s="6" t="str">
        <f>IF(AND(C3520=1,D3519=1),MIN(E3519,3),"")</f>
      </c>
    </row>
    <row r="3521">
      <c r="A3521" s="5">
        <v>483</v>
      </c>
      <c r="B3521" s="5" t="str">
        <f>'Lineal Mixto'!$C$487</f>
      </c>
      <c r="C3521" s="5" t="str">
        <f>IF(AND(B3521&gt;=$B$3034,B3521&lt;=$B$3035),1,0)</f>
      </c>
      <c r="D3521" s="5" t="str">
        <f>IF(OR(D3520=1,C3521=1),1,0)</f>
      </c>
      <c r="E3521" s="5" t="str">
        <f>IF(C3521=1,0,IF(D3520=1,E3520+1,0))</f>
      </c>
      <c r="F3521" s="5" t="str">
        <f>IF(AND(C3521=1,D3520=1),MIN(E3520,3),"")</f>
      </c>
    </row>
    <row r="3522">
      <c r="A3522" s="6">
        <v>484</v>
      </c>
      <c r="B3522" s="6" t="str">
        <f>'Lineal Mixto'!$C$488</f>
      </c>
      <c r="C3522" s="6" t="str">
        <f>IF(AND(B3522&gt;=$B$3034,B3522&lt;=$B$3035),1,0)</f>
      </c>
      <c r="D3522" s="6" t="str">
        <f>IF(OR(D3521=1,C3522=1),1,0)</f>
      </c>
      <c r="E3522" s="6" t="str">
        <f>IF(C3522=1,0,IF(D3521=1,E3521+1,0))</f>
      </c>
      <c r="F3522" s="6" t="str">
        <f>IF(AND(C3522=1,D3521=1),MIN(E3521,3),"")</f>
      </c>
    </row>
    <row r="3523">
      <c r="A3523" s="5">
        <v>485</v>
      </c>
      <c r="B3523" s="5" t="str">
        <f>'Lineal Mixto'!$C$489</f>
      </c>
      <c r="C3523" s="5" t="str">
        <f>IF(AND(B3523&gt;=$B$3034,B3523&lt;=$B$3035),1,0)</f>
      </c>
      <c r="D3523" s="5" t="str">
        <f>IF(OR(D3522=1,C3523=1),1,0)</f>
      </c>
      <c r="E3523" s="5" t="str">
        <f>IF(C3523=1,0,IF(D3522=1,E3522+1,0))</f>
      </c>
      <c r="F3523" s="5" t="str">
        <f>IF(AND(C3523=1,D3522=1),MIN(E3522,3),"")</f>
      </c>
    </row>
    <row r="3524">
      <c r="A3524" s="6">
        <v>486</v>
      </c>
      <c r="B3524" s="6" t="str">
        <f>'Lineal Mixto'!$C$490</f>
      </c>
      <c r="C3524" s="6" t="str">
        <f>IF(AND(B3524&gt;=$B$3034,B3524&lt;=$B$3035),1,0)</f>
      </c>
      <c r="D3524" s="6" t="str">
        <f>IF(OR(D3523=1,C3524=1),1,0)</f>
      </c>
      <c r="E3524" s="6" t="str">
        <f>IF(C3524=1,0,IF(D3523=1,E3523+1,0))</f>
      </c>
      <c r="F3524" s="6" t="str">
        <f>IF(AND(C3524=1,D3523=1),MIN(E3523,3),"")</f>
      </c>
    </row>
    <row r="3525">
      <c r="A3525" s="5">
        <v>487</v>
      </c>
      <c r="B3525" s="5" t="str">
        <f>'Lineal Mixto'!$C$491</f>
      </c>
      <c r="C3525" s="5" t="str">
        <f>IF(AND(B3525&gt;=$B$3034,B3525&lt;=$B$3035),1,0)</f>
      </c>
      <c r="D3525" s="5" t="str">
        <f>IF(OR(D3524=1,C3525=1),1,0)</f>
      </c>
      <c r="E3525" s="5" t="str">
        <f>IF(C3525=1,0,IF(D3524=1,E3524+1,0))</f>
      </c>
      <c r="F3525" s="5" t="str">
        <f>IF(AND(C3525=1,D3524=1),MIN(E3524,3),"")</f>
      </c>
    </row>
    <row r="3526">
      <c r="A3526" s="6">
        <v>488</v>
      </c>
      <c r="B3526" s="6" t="str">
        <f>'Lineal Mixto'!$C$492</f>
      </c>
      <c r="C3526" s="6" t="str">
        <f>IF(AND(B3526&gt;=$B$3034,B3526&lt;=$B$3035),1,0)</f>
      </c>
      <c r="D3526" s="6" t="str">
        <f>IF(OR(D3525=1,C3526=1),1,0)</f>
      </c>
      <c r="E3526" s="6" t="str">
        <f>IF(C3526=1,0,IF(D3525=1,E3525+1,0))</f>
      </c>
      <c r="F3526" s="6" t="str">
        <f>IF(AND(C3526=1,D3525=1),MIN(E3525,3),"")</f>
      </c>
    </row>
    <row r="3527">
      <c r="A3527" s="5">
        <v>489</v>
      </c>
      <c r="B3527" s="5" t="str">
        <f>'Lineal Mixto'!$C$493</f>
      </c>
      <c r="C3527" s="5" t="str">
        <f>IF(AND(B3527&gt;=$B$3034,B3527&lt;=$B$3035),1,0)</f>
      </c>
      <c r="D3527" s="5" t="str">
        <f>IF(OR(D3526=1,C3527=1),1,0)</f>
      </c>
      <c r="E3527" s="5" t="str">
        <f>IF(C3527=1,0,IF(D3526=1,E3526+1,0))</f>
      </c>
      <c r="F3527" s="5" t="str">
        <f>IF(AND(C3527=1,D3526=1),MIN(E3526,3),"")</f>
      </c>
    </row>
    <row r="3528">
      <c r="A3528" s="6">
        <v>490</v>
      </c>
      <c r="B3528" s="6" t="str">
        <f>'Lineal Mixto'!$C$494</f>
      </c>
      <c r="C3528" s="6" t="str">
        <f>IF(AND(B3528&gt;=$B$3034,B3528&lt;=$B$3035),1,0)</f>
      </c>
      <c r="D3528" s="6" t="str">
        <f>IF(OR(D3527=1,C3528=1),1,0)</f>
      </c>
      <c r="E3528" s="6" t="str">
        <f>IF(C3528=1,0,IF(D3527=1,E3527+1,0))</f>
      </c>
      <c r="F3528" s="6" t="str">
        <f>IF(AND(C3528=1,D3527=1),MIN(E3527,3),"")</f>
      </c>
    </row>
    <row r="3529">
      <c r="A3529" s="5">
        <v>491</v>
      </c>
      <c r="B3529" s="5" t="str">
        <f>'Lineal Mixto'!$C$495</f>
      </c>
      <c r="C3529" s="5" t="str">
        <f>IF(AND(B3529&gt;=$B$3034,B3529&lt;=$B$3035),1,0)</f>
      </c>
      <c r="D3529" s="5" t="str">
        <f>IF(OR(D3528=1,C3529=1),1,0)</f>
      </c>
      <c r="E3529" s="5" t="str">
        <f>IF(C3529=1,0,IF(D3528=1,E3528+1,0))</f>
      </c>
      <c r="F3529" s="5" t="str">
        <f>IF(AND(C3529=1,D3528=1),MIN(E3528,3),"")</f>
      </c>
    </row>
    <row r="3530">
      <c r="A3530" s="6">
        <v>492</v>
      </c>
      <c r="B3530" s="6" t="str">
        <f>'Lineal Mixto'!$C$496</f>
      </c>
      <c r="C3530" s="6" t="str">
        <f>IF(AND(B3530&gt;=$B$3034,B3530&lt;=$B$3035),1,0)</f>
      </c>
      <c r="D3530" s="6" t="str">
        <f>IF(OR(D3529=1,C3530=1),1,0)</f>
      </c>
      <c r="E3530" s="6" t="str">
        <f>IF(C3530=1,0,IF(D3529=1,E3529+1,0))</f>
      </c>
      <c r="F3530" s="6" t="str">
        <f>IF(AND(C3530=1,D3529=1),MIN(E3529,3),"")</f>
      </c>
    </row>
    <row r="3531">
      <c r="A3531" s="5">
        <v>493</v>
      </c>
      <c r="B3531" s="5" t="str">
        <f>'Lineal Mixto'!$C$497</f>
      </c>
      <c r="C3531" s="5" t="str">
        <f>IF(AND(B3531&gt;=$B$3034,B3531&lt;=$B$3035),1,0)</f>
      </c>
      <c r="D3531" s="5" t="str">
        <f>IF(OR(D3530=1,C3531=1),1,0)</f>
      </c>
      <c r="E3531" s="5" t="str">
        <f>IF(C3531=1,0,IF(D3530=1,E3530+1,0))</f>
      </c>
      <c r="F3531" s="5" t="str">
        <f>IF(AND(C3531=1,D3530=1),MIN(E3530,3),"")</f>
      </c>
    </row>
    <row r="3532">
      <c r="A3532" s="6">
        <v>494</v>
      </c>
      <c r="B3532" s="6" t="str">
        <f>'Lineal Mixto'!$C$498</f>
      </c>
      <c r="C3532" s="6" t="str">
        <f>IF(AND(B3532&gt;=$B$3034,B3532&lt;=$B$3035),1,0)</f>
      </c>
      <c r="D3532" s="6" t="str">
        <f>IF(OR(D3531=1,C3532=1),1,0)</f>
      </c>
      <c r="E3532" s="6" t="str">
        <f>IF(C3532=1,0,IF(D3531=1,E3531+1,0))</f>
      </c>
      <c r="F3532" s="6" t="str">
        <f>IF(AND(C3532=1,D3531=1),MIN(E3531,3),"")</f>
      </c>
    </row>
    <row r="3533">
      <c r="A3533" s="5">
        <v>495</v>
      </c>
      <c r="B3533" s="5" t="str">
        <f>'Lineal Mixto'!$C$499</f>
      </c>
      <c r="C3533" s="5" t="str">
        <f>IF(AND(B3533&gt;=$B$3034,B3533&lt;=$B$3035),1,0)</f>
      </c>
      <c r="D3533" s="5" t="str">
        <f>IF(OR(D3532=1,C3533=1),1,0)</f>
      </c>
      <c r="E3533" s="5" t="str">
        <f>IF(C3533=1,0,IF(D3532=1,E3532+1,0))</f>
      </c>
      <c r="F3533" s="5" t="str">
        <f>IF(AND(C3533=1,D3532=1),MIN(E3532,3),"")</f>
      </c>
    </row>
    <row r="3534">
      <c r="A3534" s="6">
        <v>496</v>
      </c>
      <c r="B3534" s="6" t="str">
        <f>'Lineal Mixto'!$C$500</f>
      </c>
      <c r="C3534" s="6" t="str">
        <f>IF(AND(B3534&gt;=$B$3034,B3534&lt;=$B$3035),1,0)</f>
      </c>
      <c r="D3534" s="6" t="str">
        <f>IF(OR(D3533=1,C3534=1),1,0)</f>
      </c>
      <c r="E3534" s="6" t="str">
        <f>IF(C3534=1,0,IF(D3533=1,E3533+1,0))</f>
      </c>
      <c r="F3534" s="6" t="str">
        <f>IF(AND(C3534=1,D3533=1),MIN(E3533,3),"")</f>
      </c>
    </row>
    <row r="3535">
      <c r="A3535" s="5">
        <v>497</v>
      </c>
      <c r="B3535" s="5" t="str">
        <f>'Lineal Mixto'!$C$501</f>
      </c>
      <c r="C3535" s="5" t="str">
        <f>IF(AND(B3535&gt;=$B$3034,B3535&lt;=$B$3035),1,0)</f>
      </c>
      <c r="D3535" s="5" t="str">
        <f>IF(OR(D3534=1,C3535=1),1,0)</f>
      </c>
      <c r="E3535" s="5" t="str">
        <f>IF(C3535=1,0,IF(D3534=1,E3534+1,0))</f>
      </c>
      <c r="F3535" s="5" t="str">
        <f>IF(AND(C3535=1,D3534=1),MIN(E3534,3),"")</f>
      </c>
    </row>
    <row r="3536">
      <c r="A3536" s="6">
        <v>498</v>
      </c>
      <c r="B3536" s="6" t="str">
        <f>'Lineal Mixto'!$C$502</f>
      </c>
      <c r="C3536" s="6" t="str">
        <f>IF(AND(B3536&gt;=$B$3034,B3536&lt;=$B$3035),1,0)</f>
      </c>
      <c r="D3536" s="6" t="str">
        <f>IF(OR(D3535=1,C3536=1),1,0)</f>
      </c>
      <c r="E3536" s="6" t="str">
        <f>IF(C3536=1,0,IF(D3535=1,E3535+1,0))</f>
      </c>
      <c r="F3536" s="6" t="str">
        <f>IF(AND(C3536=1,D3535=1),MIN(E3535,3),"")</f>
      </c>
    </row>
    <row r="3537">
      <c r="A3537" s="5">
        <v>499</v>
      </c>
      <c r="B3537" s="5" t="str">
        <f>'Lineal Mixto'!$C$503</f>
      </c>
      <c r="C3537" s="5" t="str">
        <f>IF(AND(B3537&gt;=$B$3034,B3537&lt;=$B$3035),1,0)</f>
      </c>
      <c r="D3537" s="5" t="str">
        <f>IF(OR(D3536=1,C3537=1),1,0)</f>
      </c>
      <c r="E3537" s="5" t="str">
        <f>IF(C3537=1,0,IF(D3536=1,E3536+1,0))</f>
      </c>
      <c r="F3537" s="5" t="str">
        <f>IF(AND(C3537=1,D3536=1),MIN(E3536,3),"")</f>
      </c>
    </row>
    <row r="3538">
      <c r="A3538" s="6">
        <v>500</v>
      </c>
      <c r="B3538" s="6" t="str">
        <f>'Lineal Mixto'!$C$504</f>
      </c>
      <c r="C3538" s="6" t="str">
        <f>IF(AND(B3538&gt;=$B$3034,B3538&lt;=$B$3035),1,0)</f>
      </c>
      <c r="D3538" s="6" t="str">
        <f>IF(OR(D3537=1,C3538=1),1,0)</f>
      </c>
      <c r="E3538" s="6" t="str">
        <f>IF(C3538=1,0,IF(D3537=1,E3537+1,0))</f>
      </c>
      <c r="F3538" s="6" t="str">
        <f>IF(AND(C3538=1,D3537=1),MIN(E3537,3),"")</f>
      </c>
    </row>
    <row r="3539">
      <c r="A3539" s="5">
        <v>501</v>
      </c>
      <c r="B3539" s="5" t="str">
        <f>'Lineal Mixto'!$C$505</f>
      </c>
      <c r="C3539" s="5" t="str">
        <f>IF(AND(B3539&gt;=$B$3034,B3539&lt;=$B$3035),1,0)</f>
      </c>
      <c r="D3539" s="5" t="str">
        <f>IF(OR(D3538=1,C3539=1),1,0)</f>
      </c>
      <c r="E3539" s="5" t="str">
        <f>IF(C3539=1,0,IF(D3538=1,E3538+1,0))</f>
      </c>
      <c r="F3539" s="5" t="str">
        <f>IF(AND(C3539=1,D3538=1),MIN(E3538,3),"")</f>
      </c>
    </row>
    <row r="3540">
      <c r="A3540" s="6">
        <v>502</v>
      </c>
      <c r="B3540" s="6" t="str">
        <f>'Lineal Mixto'!$C$506</f>
      </c>
      <c r="C3540" s="6" t="str">
        <f>IF(AND(B3540&gt;=$B$3034,B3540&lt;=$B$3035),1,0)</f>
      </c>
      <c r="D3540" s="6" t="str">
        <f>IF(OR(D3539=1,C3540=1),1,0)</f>
      </c>
      <c r="E3540" s="6" t="str">
        <f>IF(C3540=1,0,IF(D3539=1,E3539+1,0))</f>
      </c>
      <c r="F3540" s="6" t="str">
        <f>IF(AND(C3540=1,D3539=1),MIN(E3539,3),"")</f>
      </c>
    </row>
    <row r="3541">
      <c r="A3541" s="5">
        <v>503</v>
      </c>
      <c r="B3541" s="5" t="str">
        <f>'Lineal Mixto'!$C$507</f>
      </c>
      <c r="C3541" s="5" t="str">
        <f>IF(AND(B3541&gt;=$B$3034,B3541&lt;=$B$3035),1,0)</f>
      </c>
      <c r="D3541" s="5" t="str">
        <f>IF(OR(D3540=1,C3541=1),1,0)</f>
      </c>
      <c r="E3541" s="5" t="str">
        <f>IF(C3541=1,0,IF(D3540=1,E3540+1,0))</f>
      </c>
      <c r="F3541" s="5" t="str">
        <f>IF(AND(C3541=1,D3540=1),MIN(E3540,3),"")</f>
      </c>
    </row>
    <row r="3542">
      <c r="A3542" s="6">
        <v>504</v>
      </c>
      <c r="B3542" s="6" t="str">
        <f>'Lineal Mixto'!$C$508</f>
      </c>
      <c r="C3542" s="6" t="str">
        <f>IF(AND(B3542&gt;=$B$3034,B3542&lt;=$B$3035),1,0)</f>
      </c>
      <c r="D3542" s="6" t="str">
        <f>IF(OR(D3541=1,C3542=1),1,0)</f>
      </c>
      <c r="E3542" s="6" t="str">
        <f>IF(C3542=1,0,IF(D3541=1,E3541+1,0))</f>
      </c>
      <c r="F3542" s="6" t="str">
        <f>IF(AND(C3542=1,D3541=1),MIN(E3541,3),"")</f>
      </c>
    </row>
    <row r="3543">
      <c r="A3543" s="5">
        <v>505</v>
      </c>
      <c r="B3543" s="5" t="str">
        <f>'Lineal Mixto'!$C$509</f>
      </c>
      <c r="C3543" s="5" t="str">
        <f>IF(AND(B3543&gt;=$B$3034,B3543&lt;=$B$3035),1,0)</f>
      </c>
      <c r="D3543" s="5" t="str">
        <f>IF(OR(D3542=1,C3543=1),1,0)</f>
      </c>
      <c r="E3543" s="5" t="str">
        <f>IF(C3543=1,0,IF(D3542=1,E3542+1,0))</f>
      </c>
      <c r="F3543" s="5" t="str">
        <f>IF(AND(C3543=1,D3542=1),MIN(E3542,3),"")</f>
      </c>
    </row>
    <row r="3544">
      <c r="A3544" s="6">
        <v>506</v>
      </c>
      <c r="B3544" s="6" t="str">
        <f>'Lineal Mixto'!$C$510</f>
      </c>
      <c r="C3544" s="6" t="str">
        <f>IF(AND(B3544&gt;=$B$3034,B3544&lt;=$B$3035),1,0)</f>
      </c>
      <c r="D3544" s="6" t="str">
        <f>IF(OR(D3543=1,C3544=1),1,0)</f>
      </c>
      <c r="E3544" s="6" t="str">
        <f>IF(C3544=1,0,IF(D3543=1,E3543+1,0))</f>
      </c>
      <c r="F3544" s="6" t="str">
        <f>IF(AND(C3544=1,D3543=1),MIN(E3543,3),"")</f>
      </c>
    </row>
    <row r="3545">
      <c r="A3545" s="5">
        <v>507</v>
      </c>
      <c r="B3545" s="5" t="str">
        <f>'Lineal Mixto'!$C$511</f>
      </c>
      <c r="C3545" s="5" t="str">
        <f>IF(AND(B3545&gt;=$B$3034,B3545&lt;=$B$3035),1,0)</f>
      </c>
      <c r="D3545" s="5" t="str">
        <f>IF(OR(D3544=1,C3545=1),1,0)</f>
      </c>
      <c r="E3545" s="5" t="str">
        <f>IF(C3545=1,0,IF(D3544=1,E3544+1,0))</f>
      </c>
      <c r="F3545" s="5" t="str">
        <f>IF(AND(C3545=1,D3544=1),MIN(E3544,3),"")</f>
      </c>
    </row>
    <row r="3546">
      <c r="A3546" s="6">
        <v>508</v>
      </c>
      <c r="B3546" s="6" t="str">
        <f>'Lineal Mixto'!$C$512</f>
      </c>
      <c r="C3546" s="6" t="str">
        <f>IF(AND(B3546&gt;=$B$3034,B3546&lt;=$B$3035),1,0)</f>
      </c>
      <c r="D3546" s="6" t="str">
        <f>IF(OR(D3545=1,C3546=1),1,0)</f>
      </c>
      <c r="E3546" s="6" t="str">
        <f>IF(C3546=1,0,IF(D3545=1,E3545+1,0))</f>
      </c>
      <c r="F3546" s="6" t="str">
        <f>IF(AND(C3546=1,D3545=1),MIN(E3545,3),"")</f>
      </c>
    </row>
    <row r="3547">
      <c r="A3547" s="5">
        <v>509</v>
      </c>
      <c r="B3547" s="5" t="str">
        <f>'Lineal Mixto'!$C$513</f>
      </c>
      <c r="C3547" s="5" t="str">
        <f>IF(AND(B3547&gt;=$B$3034,B3547&lt;=$B$3035),1,0)</f>
      </c>
      <c r="D3547" s="5" t="str">
        <f>IF(OR(D3546=1,C3547=1),1,0)</f>
      </c>
      <c r="E3547" s="5" t="str">
        <f>IF(C3547=1,0,IF(D3546=1,E3546+1,0))</f>
      </c>
      <c r="F3547" s="5" t="str">
        <f>IF(AND(C3547=1,D3546=1),MIN(E3546,3),"")</f>
      </c>
    </row>
    <row r="3548">
      <c r="A3548" s="6">
        <v>510</v>
      </c>
      <c r="B3548" s="6" t="str">
        <f>'Lineal Mixto'!$C$514</f>
      </c>
      <c r="C3548" s="6" t="str">
        <f>IF(AND(B3548&gt;=$B$3034,B3548&lt;=$B$3035),1,0)</f>
      </c>
      <c r="D3548" s="6" t="str">
        <f>IF(OR(D3547=1,C3548=1),1,0)</f>
      </c>
      <c r="E3548" s="6" t="str">
        <f>IF(C3548=1,0,IF(D3547=1,E3547+1,0))</f>
      </c>
      <c r="F3548" s="6" t="str">
        <f>IF(AND(C3548=1,D3547=1),MIN(E3547,3),"")</f>
      </c>
    </row>
    <row r="3549">
      <c r="A3549" s="5">
        <v>511</v>
      </c>
      <c r="B3549" s="5" t="str">
        <f>'Lineal Mixto'!$C$515</f>
      </c>
      <c r="C3549" s="5" t="str">
        <f>IF(AND(B3549&gt;=$B$3034,B3549&lt;=$B$3035),1,0)</f>
      </c>
      <c r="D3549" s="5" t="str">
        <f>IF(OR(D3548=1,C3549=1),1,0)</f>
      </c>
      <c r="E3549" s="5" t="str">
        <f>IF(C3549=1,0,IF(D3548=1,E3548+1,0))</f>
      </c>
      <c r="F3549" s="5" t="str">
        <f>IF(AND(C3549=1,D3548=1),MIN(E3548,3),"")</f>
      </c>
    </row>
    <row r="3550">
      <c r="A3550" s="6">
        <v>512</v>
      </c>
      <c r="B3550" s="6" t="str">
        <f>'Lineal Mixto'!$C$516</f>
      </c>
      <c r="C3550" s="6" t="str">
        <f>IF(AND(B3550&gt;=$B$3034,B3550&lt;=$B$3035),1,0)</f>
      </c>
      <c r="D3550" s="6" t="str">
        <f>IF(OR(D3549=1,C3550=1),1,0)</f>
      </c>
      <c r="E3550" s="6" t="str">
        <f>IF(C3550=1,0,IF(D3549=1,E3549+1,0))</f>
      </c>
      <c r="F3550" s="6" t="str">
        <f>IF(AND(C3550=1,D3549=1),MIN(E3549,3),"")</f>
      </c>
    </row>
    <row r="3551">
      <c r="A3551" s="5">
        <v>513</v>
      </c>
      <c r="B3551" s="5" t="str">
        <f>'Lineal Mixto'!$C$517</f>
      </c>
      <c r="C3551" s="5" t="str">
        <f>IF(AND(B3551&gt;=$B$3034,B3551&lt;=$B$3035),1,0)</f>
      </c>
      <c r="D3551" s="5" t="str">
        <f>IF(OR(D3550=1,C3551=1),1,0)</f>
      </c>
      <c r="E3551" s="5" t="str">
        <f>IF(C3551=1,0,IF(D3550=1,E3550+1,0))</f>
      </c>
      <c r="F3551" s="5" t="str">
        <f>IF(AND(C3551=1,D3550=1),MIN(E3550,3),"")</f>
      </c>
    </row>
    <row r="3552">
      <c r="A3552" s="6">
        <v>514</v>
      </c>
      <c r="B3552" s="6" t="str">
        <f>'Lineal Mixto'!$C$518</f>
      </c>
      <c r="C3552" s="6" t="str">
        <f>IF(AND(B3552&gt;=$B$3034,B3552&lt;=$B$3035),1,0)</f>
      </c>
      <c r="D3552" s="6" t="str">
        <f>IF(OR(D3551=1,C3552=1),1,0)</f>
      </c>
      <c r="E3552" s="6" t="str">
        <f>IF(C3552=1,0,IF(D3551=1,E3551+1,0))</f>
      </c>
      <c r="F3552" s="6" t="str">
        <f>IF(AND(C3552=1,D3551=1),MIN(E3551,3),"")</f>
      </c>
    </row>
    <row r="3553">
      <c r="A3553" s="5">
        <v>515</v>
      </c>
      <c r="B3553" s="5" t="str">
        <f>'Lineal Mixto'!$C$519</f>
      </c>
      <c r="C3553" s="5" t="str">
        <f>IF(AND(B3553&gt;=$B$3034,B3553&lt;=$B$3035),1,0)</f>
      </c>
      <c r="D3553" s="5" t="str">
        <f>IF(OR(D3552=1,C3553=1),1,0)</f>
      </c>
      <c r="E3553" s="5" t="str">
        <f>IF(C3553=1,0,IF(D3552=1,E3552+1,0))</f>
      </c>
      <c r="F3553" s="5" t="str">
        <f>IF(AND(C3553=1,D3552=1),MIN(E3552,3),"")</f>
      </c>
    </row>
    <row r="3554">
      <c r="A3554" s="6">
        <v>516</v>
      </c>
      <c r="B3554" s="6" t="str">
        <f>'Lineal Mixto'!$C$520</f>
      </c>
      <c r="C3554" s="6" t="str">
        <f>IF(AND(B3554&gt;=$B$3034,B3554&lt;=$B$3035),1,0)</f>
      </c>
      <c r="D3554" s="6" t="str">
        <f>IF(OR(D3553=1,C3554=1),1,0)</f>
      </c>
      <c r="E3554" s="6" t="str">
        <f>IF(C3554=1,0,IF(D3553=1,E3553+1,0))</f>
      </c>
      <c r="F3554" s="6" t="str">
        <f>IF(AND(C3554=1,D3553=1),MIN(E3553,3),"")</f>
      </c>
    </row>
    <row r="3555">
      <c r="A3555" s="5">
        <v>517</v>
      </c>
      <c r="B3555" s="5" t="str">
        <f>'Lineal Mixto'!$C$521</f>
      </c>
      <c r="C3555" s="5" t="str">
        <f>IF(AND(B3555&gt;=$B$3034,B3555&lt;=$B$3035),1,0)</f>
      </c>
      <c r="D3555" s="5" t="str">
        <f>IF(OR(D3554=1,C3555=1),1,0)</f>
      </c>
      <c r="E3555" s="5" t="str">
        <f>IF(C3555=1,0,IF(D3554=1,E3554+1,0))</f>
      </c>
      <c r="F3555" s="5" t="str">
        <f>IF(AND(C3555=1,D3554=1),MIN(E3554,3),"")</f>
      </c>
    </row>
    <row r="3556">
      <c r="A3556" s="6">
        <v>518</v>
      </c>
      <c r="B3556" s="6" t="str">
        <f>'Lineal Mixto'!$C$522</f>
      </c>
      <c r="C3556" s="6" t="str">
        <f>IF(AND(B3556&gt;=$B$3034,B3556&lt;=$B$3035),1,0)</f>
      </c>
      <c r="D3556" s="6" t="str">
        <f>IF(OR(D3555=1,C3556=1),1,0)</f>
      </c>
      <c r="E3556" s="6" t="str">
        <f>IF(C3556=1,0,IF(D3555=1,E3555+1,0))</f>
      </c>
      <c r="F3556" s="6" t="str">
        <f>IF(AND(C3556=1,D3555=1),MIN(E3555,3),"")</f>
      </c>
    </row>
    <row r="3557">
      <c r="A3557" s="5">
        <v>519</v>
      </c>
      <c r="B3557" s="5" t="str">
        <f>'Lineal Mixto'!$C$523</f>
      </c>
      <c r="C3557" s="5" t="str">
        <f>IF(AND(B3557&gt;=$B$3034,B3557&lt;=$B$3035),1,0)</f>
      </c>
      <c r="D3557" s="5" t="str">
        <f>IF(OR(D3556=1,C3557=1),1,0)</f>
      </c>
      <c r="E3557" s="5" t="str">
        <f>IF(C3557=1,0,IF(D3556=1,E3556+1,0))</f>
      </c>
      <c r="F3557" s="5" t="str">
        <f>IF(AND(C3557=1,D3556=1),MIN(E3556,3),"")</f>
      </c>
    </row>
    <row r="3558">
      <c r="A3558" s="6">
        <v>520</v>
      </c>
      <c r="B3558" s="6" t="str">
        <f>'Lineal Mixto'!$C$524</f>
      </c>
      <c r="C3558" s="6" t="str">
        <f>IF(AND(B3558&gt;=$B$3034,B3558&lt;=$B$3035),1,0)</f>
      </c>
      <c r="D3558" s="6" t="str">
        <f>IF(OR(D3557=1,C3558=1),1,0)</f>
      </c>
      <c r="E3558" s="6" t="str">
        <f>IF(C3558=1,0,IF(D3557=1,E3557+1,0))</f>
      </c>
      <c r="F3558" s="6" t="str">
        <f>IF(AND(C3558=1,D3557=1),MIN(E3557,3),"")</f>
      </c>
    </row>
    <row r="3559">
      <c r="A3559" s="5">
        <v>521</v>
      </c>
      <c r="B3559" s="5" t="str">
        <f>'Lineal Mixto'!$C$525</f>
      </c>
      <c r="C3559" s="5" t="str">
        <f>IF(AND(B3559&gt;=$B$3034,B3559&lt;=$B$3035),1,0)</f>
      </c>
      <c r="D3559" s="5" t="str">
        <f>IF(OR(D3558=1,C3559=1),1,0)</f>
      </c>
      <c r="E3559" s="5" t="str">
        <f>IF(C3559=1,0,IF(D3558=1,E3558+1,0))</f>
      </c>
      <c r="F3559" s="5" t="str">
        <f>IF(AND(C3559=1,D3558=1),MIN(E3558,3),"")</f>
      </c>
    </row>
    <row r="3560">
      <c r="A3560" s="6">
        <v>522</v>
      </c>
      <c r="B3560" s="6" t="str">
        <f>'Lineal Mixto'!$C$526</f>
      </c>
      <c r="C3560" s="6" t="str">
        <f>IF(AND(B3560&gt;=$B$3034,B3560&lt;=$B$3035),1,0)</f>
      </c>
      <c r="D3560" s="6" t="str">
        <f>IF(OR(D3559=1,C3560=1),1,0)</f>
      </c>
      <c r="E3560" s="6" t="str">
        <f>IF(C3560=1,0,IF(D3559=1,E3559+1,0))</f>
      </c>
      <c r="F3560" s="6" t="str">
        <f>IF(AND(C3560=1,D3559=1),MIN(E3559,3),"")</f>
      </c>
    </row>
    <row r="3561">
      <c r="A3561" s="5">
        <v>523</v>
      </c>
      <c r="B3561" s="5" t="str">
        <f>'Lineal Mixto'!$C$527</f>
      </c>
      <c r="C3561" s="5" t="str">
        <f>IF(AND(B3561&gt;=$B$3034,B3561&lt;=$B$3035),1,0)</f>
      </c>
      <c r="D3561" s="5" t="str">
        <f>IF(OR(D3560=1,C3561=1),1,0)</f>
      </c>
      <c r="E3561" s="5" t="str">
        <f>IF(C3561=1,0,IF(D3560=1,E3560+1,0))</f>
      </c>
      <c r="F3561" s="5" t="str">
        <f>IF(AND(C3561=1,D3560=1),MIN(E3560,3),"")</f>
      </c>
    </row>
    <row r="3562">
      <c r="A3562" s="6">
        <v>524</v>
      </c>
      <c r="B3562" s="6" t="str">
        <f>'Lineal Mixto'!$C$528</f>
      </c>
      <c r="C3562" s="6" t="str">
        <f>IF(AND(B3562&gt;=$B$3034,B3562&lt;=$B$3035),1,0)</f>
      </c>
      <c r="D3562" s="6" t="str">
        <f>IF(OR(D3561=1,C3562=1),1,0)</f>
      </c>
      <c r="E3562" s="6" t="str">
        <f>IF(C3562=1,0,IF(D3561=1,E3561+1,0))</f>
      </c>
      <c r="F3562" s="6" t="str">
        <f>IF(AND(C3562=1,D3561=1),MIN(E3561,3),"")</f>
      </c>
    </row>
    <row r="3563">
      <c r="A3563" s="5">
        <v>525</v>
      </c>
      <c r="B3563" s="5" t="str">
        <f>'Lineal Mixto'!$C$529</f>
      </c>
      <c r="C3563" s="5" t="str">
        <f>IF(AND(B3563&gt;=$B$3034,B3563&lt;=$B$3035),1,0)</f>
      </c>
      <c r="D3563" s="5" t="str">
        <f>IF(OR(D3562=1,C3563=1),1,0)</f>
      </c>
      <c r="E3563" s="5" t="str">
        <f>IF(C3563=1,0,IF(D3562=1,E3562+1,0))</f>
      </c>
      <c r="F3563" s="5" t="str">
        <f>IF(AND(C3563=1,D3562=1),MIN(E3562,3),"")</f>
      </c>
    </row>
    <row r="3564">
      <c r="A3564" s="6">
        <v>526</v>
      </c>
      <c r="B3564" s="6" t="str">
        <f>'Lineal Mixto'!$C$530</f>
      </c>
      <c r="C3564" s="6" t="str">
        <f>IF(AND(B3564&gt;=$B$3034,B3564&lt;=$B$3035),1,0)</f>
      </c>
      <c r="D3564" s="6" t="str">
        <f>IF(OR(D3563=1,C3564=1),1,0)</f>
      </c>
      <c r="E3564" s="6" t="str">
        <f>IF(C3564=1,0,IF(D3563=1,E3563+1,0))</f>
      </c>
      <c r="F3564" s="6" t="str">
        <f>IF(AND(C3564=1,D3563=1),MIN(E3563,3),"")</f>
      </c>
    </row>
    <row r="3565">
      <c r="A3565" s="5">
        <v>527</v>
      </c>
      <c r="B3565" s="5" t="str">
        <f>'Lineal Mixto'!$C$531</f>
      </c>
      <c r="C3565" s="5" t="str">
        <f>IF(AND(B3565&gt;=$B$3034,B3565&lt;=$B$3035),1,0)</f>
      </c>
      <c r="D3565" s="5" t="str">
        <f>IF(OR(D3564=1,C3565=1),1,0)</f>
      </c>
      <c r="E3565" s="5" t="str">
        <f>IF(C3565=1,0,IF(D3564=1,E3564+1,0))</f>
      </c>
      <c r="F3565" s="5" t="str">
        <f>IF(AND(C3565=1,D3564=1),MIN(E3564,3),"")</f>
      </c>
    </row>
    <row r="3566">
      <c r="A3566" s="6">
        <v>528</v>
      </c>
      <c r="B3566" s="6" t="str">
        <f>'Lineal Mixto'!$C$532</f>
      </c>
      <c r="C3566" s="6" t="str">
        <f>IF(AND(B3566&gt;=$B$3034,B3566&lt;=$B$3035),1,0)</f>
      </c>
      <c r="D3566" s="6" t="str">
        <f>IF(OR(D3565=1,C3566=1),1,0)</f>
      </c>
      <c r="E3566" s="6" t="str">
        <f>IF(C3566=1,0,IF(D3565=1,E3565+1,0))</f>
      </c>
      <c r="F3566" s="6" t="str">
        <f>IF(AND(C3566=1,D3565=1),MIN(E3565,3),"")</f>
      </c>
    </row>
    <row r="3567">
      <c r="A3567" s="5">
        <v>529</v>
      </c>
      <c r="B3567" s="5" t="str">
        <f>'Lineal Mixto'!$C$533</f>
      </c>
      <c r="C3567" s="5" t="str">
        <f>IF(AND(B3567&gt;=$B$3034,B3567&lt;=$B$3035),1,0)</f>
      </c>
      <c r="D3567" s="5" t="str">
        <f>IF(OR(D3566=1,C3567=1),1,0)</f>
      </c>
      <c r="E3567" s="5" t="str">
        <f>IF(C3567=1,0,IF(D3566=1,E3566+1,0))</f>
      </c>
      <c r="F3567" s="5" t="str">
        <f>IF(AND(C3567=1,D3566=1),MIN(E3566,3),"")</f>
      </c>
    </row>
    <row r="3568">
      <c r="A3568" s="6">
        <v>530</v>
      </c>
      <c r="B3568" s="6" t="str">
        <f>'Lineal Mixto'!$C$534</f>
      </c>
      <c r="C3568" s="6" t="str">
        <f>IF(AND(B3568&gt;=$B$3034,B3568&lt;=$B$3035),1,0)</f>
      </c>
      <c r="D3568" s="6" t="str">
        <f>IF(OR(D3567=1,C3568=1),1,0)</f>
      </c>
      <c r="E3568" s="6" t="str">
        <f>IF(C3568=1,0,IF(D3567=1,E3567+1,0))</f>
      </c>
      <c r="F3568" s="6" t="str">
        <f>IF(AND(C3568=1,D3567=1),MIN(E3567,3),"")</f>
      </c>
    </row>
    <row r="3569">
      <c r="A3569" s="5">
        <v>531</v>
      </c>
      <c r="B3569" s="5" t="str">
        <f>'Lineal Mixto'!$C$535</f>
      </c>
      <c r="C3569" s="5" t="str">
        <f>IF(AND(B3569&gt;=$B$3034,B3569&lt;=$B$3035),1,0)</f>
      </c>
      <c r="D3569" s="5" t="str">
        <f>IF(OR(D3568=1,C3569=1),1,0)</f>
      </c>
      <c r="E3569" s="5" t="str">
        <f>IF(C3569=1,0,IF(D3568=1,E3568+1,0))</f>
      </c>
      <c r="F3569" s="5" t="str">
        <f>IF(AND(C3569=1,D3568=1),MIN(E3568,3),"")</f>
      </c>
    </row>
    <row r="3570">
      <c r="A3570" s="6">
        <v>532</v>
      </c>
      <c r="B3570" s="6" t="str">
        <f>'Lineal Mixto'!$C$536</f>
      </c>
      <c r="C3570" s="6" t="str">
        <f>IF(AND(B3570&gt;=$B$3034,B3570&lt;=$B$3035),1,0)</f>
      </c>
      <c r="D3570" s="6" t="str">
        <f>IF(OR(D3569=1,C3570=1),1,0)</f>
      </c>
      <c r="E3570" s="6" t="str">
        <f>IF(C3570=1,0,IF(D3569=1,E3569+1,0))</f>
      </c>
      <c r="F3570" s="6" t="str">
        <f>IF(AND(C3570=1,D3569=1),MIN(E3569,3),"")</f>
      </c>
    </row>
    <row r="3571">
      <c r="A3571" s="5">
        <v>533</v>
      </c>
      <c r="B3571" s="5" t="str">
        <f>'Lineal Mixto'!$C$537</f>
      </c>
      <c r="C3571" s="5" t="str">
        <f>IF(AND(B3571&gt;=$B$3034,B3571&lt;=$B$3035),1,0)</f>
      </c>
      <c r="D3571" s="5" t="str">
        <f>IF(OR(D3570=1,C3571=1),1,0)</f>
      </c>
      <c r="E3571" s="5" t="str">
        <f>IF(C3571=1,0,IF(D3570=1,E3570+1,0))</f>
      </c>
      <c r="F3571" s="5" t="str">
        <f>IF(AND(C3571=1,D3570=1),MIN(E3570,3),"")</f>
      </c>
    </row>
    <row r="3572">
      <c r="A3572" s="6">
        <v>534</v>
      </c>
      <c r="B3572" s="6" t="str">
        <f>'Lineal Mixto'!$C$538</f>
      </c>
      <c r="C3572" s="6" t="str">
        <f>IF(AND(B3572&gt;=$B$3034,B3572&lt;=$B$3035),1,0)</f>
      </c>
      <c r="D3572" s="6" t="str">
        <f>IF(OR(D3571=1,C3572=1),1,0)</f>
      </c>
      <c r="E3572" s="6" t="str">
        <f>IF(C3572=1,0,IF(D3571=1,E3571+1,0))</f>
      </c>
      <c r="F3572" s="6" t="str">
        <f>IF(AND(C3572=1,D3571=1),MIN(E3571,3),"")</f>
      </c>
    </row>
    <row r="3573">
      <c r="A3573" s="5">
        <v>535</v>
      </c>
      <c r="B3573" s="5" t="str">
        <f>'Lineal Mixto'!$C$539</f>
      </c>
      <c r="C3573" s="5" t="str">
        <f>IF(AND(B3573&gt;=$B$3034,B3573&lt;=$B$3035),1,0)</f>
      </c>
      <c r="D3573" s="5" t="str">
        <f>IF(OR(D3572=1,C3573=1),1,0)</f>
      </c>
      <c r="E3573" s="5" t="str">
        <f>IF(C3573=1,0,IF(D3572=1,E3572+1,0))</f>
      </c>
      <c r="F3573" s="5" t="str">
        <f>IF(AND(C3573=1,D3572=1),MIN(E3572,3),"")</f>
      </c>
    </row>
    <row r="3574">
      <c r="A3574" s="6">
        <v>536</v>
      </c>
      <c r="B3574" s="6" t="str">
        <f>'Lineal Mixto'!$C$540</f>
      </c>
      <c r="C3574" s="6" t="str">
        <f>IF(AND(B3574&gt;=$B$3034,B3574&lt;=$B$3035),1,0)</f>
      </c>
      <c r="D3574" s="6" t="str">
        <f>IF(OR(D3573=1,C3574=1),1,0)</f>
      </c>
      <c r="E3574" s="6" t="str">
        <f>IF(C3574=1,0,IF(D3573=1,E3573+1,0))</f>
      </c>
      <c r="F3574" s="6" t="str">
        <f>IF(AND(C3574=1,D3573=1),MIN(E3573,3),"")</f>
      </c>
    </row>
    <row r="3575">
      <c r="A3575" s="5">
        <v>537</v>
      </c>
      <c r="B3575" s="5" t="str">
        <f>'Lineal Mixto'!$C$541</f>
      </c>
      <c r="C3575" s="5" t="str">
        <f>IF(AND(B3575&gt;=$B$3034,B3575&lt;=$B$3035),1,0)</f>
      </c>
      <c r="D3575" s="5" t="str">
        <f>IF(OR(D3574=1,C3575=1),1,0)</f>
      </c>
      <c r="E3575" s="5" t="str">
        <f>IF(C3575=1,0,IF(D3574=1,E3574+1,0))</f>
      </c>
      <c r="F3575" s="5" t="str">
        <f>IF(AND(C3575=1,D3574=1),MIN(E3574,3),"")</f>
      </c>
    </row>
    <row r="3576">
      <c r="A3576" s="6">
        <v>538</v>
      </c>
      <c r="B3576" s="6" t="str">
        <f>'Lineal Mixto'!$C$542</f>
      </c>
      <c r="C3576" s="6" t="str">
        <f>IF(AND(B3576&gt;=$B$3034,B3576&lt;=$B$3035),1,0)</f>
      </c>
      <c r="D3576" s="6" t="str">
        <f>IF(OR(D3575=1,C3576=1),1,0)</f>
      </c>
      <c r="E3576" s="6" t="str">
        <f>IF(C3576=1,0,IF(D3575=1,E3575+1,0))</f>
      </c>
      <c r="F3576" s="6" t="str">
        <f>IF(AND(C3576=1,D3575=1),MIN(E3575,3),"")</f>
      </c>
    </row>
    <row r="3577">
      <c r="A3577" s="5">
        <v>539</v>
      </c>
      <c r="B3577" s="5" t="str">
        <f>'Lineal Mixto'!$C$543</f>
      </c>
      <c r="C3577" s="5" t="str">
        <f>IF(AND(B3577&gt;=$B$3034,B3577&lt;=$B$3035),1,0)</f>
      </c>
      <c r="D3577" s="5" t="str">
        <f>IF(OR(D3576=1,C3577=1),1,0)</f>
      </c>
      <c r="E3577" s="5" t="str">
        <f>IF(C3577=1,0,IF(D3576=1,E3576+1,0))</f>
      </c>
      <c r="F3577" s="5" t="str">
        <f>IF(AND(C3577=1,D3576=1),MIN(E3576,3),"")</f>
      </c>
    </row>
    <row r="3578">
      <c r="A3578" s="6">
        <v>540</v>
      </c>
      <c r="B3578" s="6" t="str">
        <f>'Lineal Mixto'!$C$544</f>
      </c>
      <c r="C3578" s="6" t="str">
        <f>IF(AND(B3578&gt;=$B$3034,B3578&lt;=$B$3035),1,0)</f>
      </c>
      <c r="D3578" s="6" t="str">
        <f>IF(OR(D3577=1,C3578=1),1,0)</f>
      </c>
      <c r="E3578" s="6" t="str">
        <f>IF(C3578=1,0,IF(D3577=1,E3577+1,0))</f>
      </c>
      <c r="F3578" s="6" t="str">
        <f>IF(AND(C3578=1,D3577=1),MIN(E3577,3),"")</f>
      </c>
    </row>
    <row r="3579">
      <c r="A3579" s="5">
        <v>541</v>
      </c>
      <c r="B3579" s="5" t="str">
        <f>'Lineal Mixto'!$C$545</f>
      </c>
      <c r="C3579" s="5" t="str">
        <f>IF(AND(B3579&gt;=$B$3034,B3579&lt;=$B$3035),1,0)</f>
      </c>
      <c r="D3579" s="5" t="str">
        <f>IF(OR(D3578=1,C3579=1),1,0)</f>
      </c>
      <c r="E3579" s="5" t="str">
        <f>IF(C3579=1,0,IF(D3578=1,E3578+1,0))</f>
      </c>
      <c r="F3579" s="5" t="str">
        <f>IF(AND(C3579=1,D3578=1),MIN(E3578,3),"")</f>
      </c>
    </row>
    <row r="3580">
      <c r="A3580" s="6">
        <v>542</v>
      </c>
      <c r="B3580" s="6" t="str">
        <f>'Lineal Mixto'!$C$546</f>
      </c>
      <c r="C3580" s="6" t="str">
        <f>IF(AND(B3580&gt;=$B$3034,B3580&lt;=$B$3035),1,0)</f>
      </c>
      <c r="D3580" s="6" t="str">
        <f>IF(OR(D3579=1,C3580=1),1,0)</f>
      </c>
      <c r="E3580" s="6" t="str">
        <f>IF(C3580=1,0,IF(D3579=1,E3579+1,0))</f>
      </c>
      <c r="F3580" s="6" t="str">
        <f>IF(AND(C3580=1,D3579=1),MIN(E3579,3),"")</f>
      </c>
    </row>
    <row r="3581">
      <c r="A3581" s="5">
        <v>543</v>
      </c>
      <c r="B3581" s="5" t="str">
        <f>'Lineal Mixto'!$C$547</f>
      </c>
      <c r="C3581" s="5" t="str">
        <f>IF(AND(B3581&gt;=$B$3034,B3581&lt;=$B$3035),1,0)</f>
      </c>
      <c r="D3581" s="5" t="str">
        <f>IF(OR(D3580=1,C3581=1),1,0)</f>
      </c>
      <c r="E3581" s="5" t="str">
        <f>IF(C3581=1,0,IF(D3580=1,E3580+1,0))</f>
      </c>
      <c r="F3581" s="5" t="str">
        <f>IF(AND(C3581=1,D3580=1),MIN(E3580,3),"")</f>
      </c>
    </row>
    <row r="3582">
      <c r="A3582" s="6">
        <v>544</v>
      </c>
      <c r="B3582" s="6" t="str">
        <f>'Lineal Mixto'!$C$548</f>
      </c>
      <c r="C3582" s="6" t="str">
        <f>IF(AND(B3582&gt;=$B$3034,B3582&lt;=$B$3035),1,0)</f>
      </c>
      <c r="D3582" s="6" t="str">
        <f>IF(OR(D3581=1,C3582=1),1,0)</f>
      </c>
      <c r="E3582" s="6" t="str">
        <f>IF(C3582=1,0,IF(D3581=1,E3581+1,0))</f>
      </c>
      <c r="F3582" s="6" t="str">
        <f>IF(AND(C3582=1,D3581=1),MIN(E3581,3),"")</f>
      </c>
    </row>
    <row r="3583">
      <c r="A3583" s="5">
        <v>545</v>
      </c>
      <c r="B3583" s="5" t="str">
        <f>'Lineal Mixto'!$C$549</f>
      </c>
      <c r="C3583" s="5" t="str">
        <f>IF(AND(B3583&gt;=$B$3034,B3583&lt;=$B$3035),1,0)</f>
      </c>
      <c r="D3583" s="5" t="str">
        <f>IF(OR(D3582=1,C3583=1),1,0)</f>
      </c>
      <c r="E3583" s="5" t="str">
        <f>IF(C3583=1,0,IF(D3582=1,E3582+1,0))</f>
      </c>
      <c r="F3583" s="5" t="str">
        <f>IF(AND(C3583=1,D3582=1),MIN(E3582,3),"")</f>
      </c>
    </row>
    <row r="3584">
      <c r="A3584" s="6">
        <v>546</v>
      </c>
      <c r="B3584" s="6" t="str">
        <f>'Lineal Mixto'!$C$550</f>
      </c>
      <c r="C3584" s="6" t="str">
        <f>IF(AND(B3584&gt;=$B$3034,B3584&lt;=$B$3035),1,0)</f>
      </c>
      <c r="D3584" s="6" t="str">
        <f>IF(OR(D3583=1,C3584=1),1,0)</f>
      </c>
      <c r="E3584" s="6" t="str">
        <f>IF(C3584=1,0,IF(D3583=1,E3583+1,0))</f>
      </c>
      <c r="F3584" s="6" t="str">
        <f>IF(AND(C3584=1,D3583=1),MIN(E3583,3),"")</f>
      </c>
    </row>
    <row r="3585">
      <c r="A3585" s="5">
        <v>547</v>
      </c>
      <c r="B3585" s="5" t="str">
        <f>'Lineal Mixto'!$C$551</f>
      </c>
      <c r="C3585" s="5" t="str">
        <f>IF(AND(B3585&gt;=$B$3034,B3585&lt;=$B$3035),1,0)</f>
      </c>
      <c r="D3585" s="5" t="str">
        <f>IF(OR(D3584=1,C3585=1),1,0)</f>
      </c>
      <c r="E3585" s="5" t="str">
        <f>IF(C3585=1,0,IF(D3584=1,E3584+1,0))</f>
      </c>
      <c r="F3585" s="5" t="str">
        <f>IF(AND(C3585=1,D3584=1),MIN(E3584,3),"")</f>
      </c>
    </row>
    <row r="3586">
      <c r="A3586" s="6">
        <v>548</v>
      </c>
      <c r="B3586" s="6" t="str">
        <f>'Lineal Mixto'!$C$552</f>
      </c>
      <c r="C3586" s="6" t="str">
        <f>IF(AND(B3586&gt;=$B$3034,B3586&lt;=$B$3035),1,0)</f>
      </c>
      <c r="D3586" s="6" t="str">
        <f>IF(OR(D3585=1,C3586=1),1,0)</f>
      </c>
      <c r="E3586" s="6" t="str">
        <f>IF(C3586=1,0,IF(D3585=1,E3585+1,0))</f>
      </c>
      <c r="F3586" s="6" t="str">
        <f>IF(AND(C3586=1,D3585=1),MIN(E3585,3),"")</f>
      </c>
    </row>
    <row r="3587">
      <c r="A3587" s="5">
        <v>549</v>
      </c>
      <c r="B3587" s="5" t="str">
        <f>'Lineal Mixto'!$C$553</f>
      </c>
      <c r="C3587" s="5" t="str">
        <f>IF(AND(B3587&gt;=$B$3034,B3587&lt;=$B$3035),1,0)</f>
      </c>
      <c r="D3587" s="5" t="str">
        <f>IF(OR(D3586=1,C3587=1),1,0)</f>
      </c>
      <c r="E3587" s="5" t="str">
        <f>IF(C3587=1,0,IF(D3586=1,E3586+1,0))</f>
      </c>
      <c r="F3587" s="5" t="str">
        <f>IF(AND(C3587=1,D3586=1),MIN(E3586,3),"")</f>
      </c>
    </row>
    <row r="3588">
      <c r="A3588" s="6">
        <v>550</v>
      </c>
      <c r="B3588" s="6" t="str">
        <f>'Lineal Mixto'!$C$554</f>
      </c>
      <c r="C3588" s="6" t="str">
        <f>IF(AND(B3588&gt;=$B$3034,B3588&lt;=$B$3035),1,0)</f>
      </c>
      <c r="D3588" s="6" t="str">
        <f>IF(OR(D3587=1,C3588=1),1,0)</f>
      </c>
      <c r="E3588" s="6" t="str">
        <f>IF(C3588=1,0,IF(D3587=1,E3587+1,0))</f>
      </c>
      <c r="F3588" s="6" t="str">
        <f>IF(AND(C3588=1,D3587=1),MIN(E3587,3),"")</f>
      </c>
    </row>
    <row r="3589">
      <c r="A3589" s="5">
        <v>551</v>
      </c>
      <c r="B3589" s="5" t="str">
        <f>'Lineal Mixto'!$C$555</f>
      </c>
      <c r="C3589" s="5" t="str">
        <f>IF(AND(B3589&gt;=$B$3034,B3589&lt;=$B$3035),1,0)</f>
      </c>
      <c r="D3589" s="5" t="str">
        <f>IF(OR(D3588=1,C3589=1),1,0)</f>
      </c>
      <c r="E3589" s="5" t="str">
        <f>IF(C3589=1,0,IF(D3588=1,E3588+1,0))</f>
      </c>
      <c r="F3589" s="5" t="str">
        <f>IF(AND(C3589=1,D3588=1),MIN(E3588,3),"")</f>
      </c>
    </row>
    <row r="3590">
      <c r="A3590" s="6">
        <v>552</v>
      </c>
      <c r="B3590" s="6" t="str">
        <f>'Lineal Mixto'!$C$556</f>
      </c>
      <c r="C3590" s="6" t="str">
        <f>IF(AND(B3590&gt;=$B$3034,B3590&lt;=$B$3035),1,0)</f>
      </c>
      <c r="D3590" s="6" t="str">
        <f>IF(OR(D3589=1,C3590=1),1,0)</f>
      </c>
      <c r="E3590" s="6" t="str">
        <f>IF(C3590=1,0,IF(D3589=1,E3589+1,0))</f>
      </c>
      <c r="F3590" s="6" t="str">
        <f>IF(AND(C3590=1,D3589=1),MIN(E3589,3),"")</f>
      </c>
    </row>
    <row r="3591">
      <c r="A3591" s="5">
        <v>553</v>
      </c>
      <c r="B3591" s="5" t="str">
        <f>'Lineal Mixto'!$C$557</f>
      </c>
      <c r="C3591" s="5" t="str">
        <f>IF(AND(B3591&gt;=$B$3034,B3591&lt;=$B$3035),1,0)</f>
      </c>
      <c r="D3591" s="5" t="str">
        <f>IF(OR(D3590=1,C3591=1),1,0)</f>
      </c>
      <c r="E3591" s="5" t="str">
        <f>IF(C3591=1,0,IF(D3590=1,E3590+1,0))</f>
      </c>
      <c r="F3591" s="5" t="str">
        <f>IF(AND(C3591=1,D3590=1),MIN(E3590,3),"")</f>
      </c>
    </row>
    <row r="3592">
      <c r="A3592" s="6">
        <v>554</v>
      </c>
      <c r="B3592" s="6" t="str">
        <f>'Lineal Mixto'!$C$558</f>
      </c>
      <c r="C3592" s="6" t="str">
        <f>IF(AND(B3592&gt;=$B$3034,B3592&lt;=$B$3035),1,0)</f>
      </c>
      <c r="D3592" s="6" t="str">
        <f>IF(OR(D3591=1,C3592=1),1,0)</f>
      </c>
      <c r="E3592" s="6" t="str">
        <f>IF(C3592=1,0,IF(D3591=1,E3591+1,0))</f>
      </c>
      <c r="F3592" s="6" t="str">
        <f>IF(AND(C3592=1,D3591=1),MIN(E3591,3),"")</f>
      </c>
    </row>
    <row r="3593">
      <c r="A3593" s="5">
        <v>555</v>
      </c>
      <c r="B3593" s="5" t="str">
        <f>'Lineal Mixto'!$C$559</f>
      </c>
      <c r="C3593" s="5" t="str">
        <f>IF(AND(B3593&gt;=$B$3034,B3593&lt;=$B$3035),1,0)</f>
      </c>
      <c r="D3593" s="5" t="str">
        <f>IF(OR(D3592=1,C3593=1),1,0)</f>
      </c>
      <c r="E3593" s="5" t="str">
        <f>IF(C3593=1,0,IF(D3592=1,E3592+1,0))</f>
      </c>
      <c r="F3593" s="5" t="str">
        <f>IF(AND(C3593=1,D3592=1),MIN(E3592,3),"")</f>
      </c>
    </row>
    <row r="3594">
      <c r="A3594" s="6">
        <v>556</v>
      </c>
      <c r="B3594" s="6" t="str">
        <f>'Lineal Mixto'!$C$560</f>
      </c>
      <c r="C3594" s="6" t="str">
        <f>IF(AND(B3594&gt;=$B$3034,B3594&lt;=$B$3035),1,0)</f>
      </c>
      <c r="D3594" s="6" t="str">
        <f>IF(OR(D3593=1,C3594=1),1,0)</f>
      </c>
      <c r="E3594" s="6" t="str">
        <f>IF(C3594=1,0,IF(D3593=1,E3593+1,0))</f>
      </c>
      <c r="F3594" s="6" t="str">
        <f>IF(AND(C3594=1,D3593=1),MIN(E3593,3),"")</f>
      </c>
    </row>
    <row r="3595">
      <c r="A3595" s="5">
        <v>557</v>
      </c>
      <c r="B3595" s="5" t="str">
        <f>'Lineal Mixto'!$C$561</f>
      </c>
      <c r="C3595" s="5" t="str">
        <f>IF(AND(B3595&gt;=$B$3034,B3595&lt;=$B$3035),1,0)</f>
      </c>
      <c r="D3595" s="5" t="str">
        <f>IF(OR(D3594=1,C3595=1),1,0)</f>
      </c>
      <c r="E3595" s="5" t="str">
        <f>IF(C3595=1,0,IF(D3594=1,E3594+1,0))</f>
      </c>
      <c r="F3595" s="5" t="str">
        <f>IF(AND(C3595=1,D3594=1),MIN(E3594,3),"")</f>
      </c>
    </row>
    <row r="3596">
      <c r="A3596" s="6">
        <v>558</v>
      </c>
      <c r="B3596" s="6" t="str">
        <f>'Lineal Mixto'!$C$562</f>
      </c>
      <c r="C3596" s="6" t="str">
        <f>IF(AND(B3596&gt;=$B$3034,B3596&lt;=$B$3035),1,0)</f>
      </c>
      <c r="D3596" s="6" t="str">
        <f>IF(OR(D3595=1,C3596=1),1,0)</f>
      </c>
      <c r="E3596" s="6" t="str">
        <f>IF(C3596=1,0,IF(D3595=1,E3595+1,0))</f>
      </c>
      <c r="F3596" s="6" t="str">
        <f>IF(AND(C3596=1,D3595=1),MIN(E3595,3),"")</f>
      </c>
    </row>
    <row r="3597">
      <c r="A3597" s="5">
        <v>559</v>
      </c>
      <c r="B3597" s="5" t="str">
        <f>'Lineal Mixto'!$C$563</f>
      </c>
      <c r="C3597" s="5" t="str">
        <f>IF(AND(B3597&gt;=$B$3034,B3597&lt;=$B$3035),1,0)</f>
      </c>
      <c r="D3597" s="5" t="str">
        <f>IF(OR(D3596=1,C3597=1),1,0)</f>
      </c>
      <c r="E3597" s="5" t="str">
        <f>IF(C3597=1,0,IF(D3596=1,E3596+1,0))</f>
      </c>
      <c r="F3597" s="5" t="str">
        <f>IF(AND(C3597=1,D3596=1),MIN(E3596,3),"")</f>
      </c>
    </row>
    <row r="3598">
      <c r="A3598" s="6">
        <v>560</v>
      </c>
      <c r="B3598" s="6" t="str">
        <f>'Lineal Mixto'!$C$564</f>
      </c>
      <c r="C3598" s="6" t="str">
        <f>IF(AND(B3598&gt;=$B$3034,B3598&lt;=$B$3035),1,0)</f>
      </c>
      <c r="D3598" s="6" t="str">
        <f>IF(OR(D3597=1,C3598=1),1,0)</f>
      </c>
      <c r="E3598" s="6" t="str">
        <f>IF(C3598=1,0,IF(D3597=1,E3597+1,0))</f>
      </c>
      <c r="F3598" s="6" t="str">
        <f>IF(AND(C3598=1,D3597=1),MIN(E3597,3),"")</f>
      </c>
    </row>
    <row r="3599">
      <c r="A3599" s="5">
        <v>561</v>
      </c>
      <c r="B3599" s="5" t="str">
        <f>'Lineal Mixto'!$C$565</f>
      </c>
      <c r="C3599" s="5" t="str">
        <f>IF(AND(B3599&gt;=$B$3034,B3599&lt;=$B$3035),1,0)</f>
      </c>
      <c r="D3599" s="5" t="str">
        <f>IF(OR(D3598=1,C3599=1),1,0)</f>
      </c>
      <c r="E3599" s="5" t="str">
        <f>IF(C3599=1,0,IF(D3598=1,E3598+1,0))</f>
      </c>
      <c r="F3599" s="5" t="str">
        <f>IF(AND(C3599=1,D3598=1),MIN(E3598,3),"")</f>
      </c>
    </row>
    <row r="3600">
      <c r="A3600" s="6">
        <v>562</v>
      </c>
      <c r="B3600" s="6" t="str">
        <f>'Lineal Mixto'!$C$566</f>
      </c>
      <c r="C3600" s="6" t="str">
        <f>IF(AND(B3600&gt;=$B$3034,B3600&lt;=$B$3035),1,0)</f>
      </c>
      <c r="D3600" s="6" t="str">
        <f>IF(OR(D3599=1,C3600=1),1,0)</f>
      </c>
      <c r="E3600" s="6" t="str">
        <f>IF(C3600=1,0,IF(D3599=1,E3599+1,0))</f>
      </c>
      <c r="F3600" s="6" t="str">
        <f>IF(AND(C3600=1,D3599=1),MIN(E3599,3),"")</f>
      </c>
    </row>
    <row r="3601">
      <c r="A3601" s="5">
        <v>563</v>
      </c>
      <c r="B3601" s="5" t="str">
        <f>'Lineal Mixto'!$C$567</f>
      </c>
      <c r="C3601" s="5" t="str">
        <f>IF(AND(B3601&gt;=$B$3034,B3601&lt;=$B$3035),1,0)</f>
      </c>
      <c r="D3601" s="5" t="str">
        <f>IF(OR(D3600=1,C3601=1),1,0)</f>
      </c>
      <c r="E3601" s="5" t="str">
        <f>IF(C3601=1,0,IF(D3600=1,E3600+1,0))</f>
      </c>
      <c r="F3601" s="5" t="str">
        <f>IF(AND(C3601=1,D3600=1),MIN(E3600,3),"")</f>
      </c>
    </row>
    <row r="3602">
      <c r="A3602" s="6">
        <v>564</v>
      </c>
      <c r="B3602" s="6" t="str">
        <f>'Lineal Mixto'!$C$568</f>
      </c>
      <c r="C3602" s="6" t="str">
        <f>IF(AND(B3602&gt;=$B$3034,B3602&lt;=$B$3035),1,0)</f>
      </c>
      <c r="D3602" s="6" t="str">
        <f>IF(OR(D3601=1,C3602=1),1,0)</f>
      </c>
      <c r="E3602" s="6" t="str">
        <f>IF(C3602=1,0,IF(D3601=1,E3601+1,0))</f>
      </c>
      <c r="F3602" s="6" t="str">
        <f>IF(AND(C3602=1,D3601=1),MIN(E3601,3),"")</f>
      </c>
    </row>
    <row r="3603">
      <c r="A3603" s="5">
        <v>565</v>
      </c>
      <c r="B3603" s="5" t="str">
        <f>'Lineal Mixto'!$C$569</f>
      </c>
      <c r="C3603" s="5" t="str">
        <f>IF(AND(B3603&gt;=$B$3034,B3603&lt;=$B$3035),1,0)</f>
      </c>
      <c r="D3603" s="5" t="str">
        <f>IF(OR(D3602=1,C3603=1),1,0)</f>
      </c>
      <c r="E3603" s="5" t="str">
        <f>IF(C3603=1,0,IF(D3602=1,E3602+1,0))</f>
      </c>
      <c r="F3603" s="5" t="str">
        <f>IF(AND(C3603=1,D3602=1),MIN(E3602,3),"")</f>
      </c>
    </row>
    <row r="3604">
      <c r="A3604" s="6">
        <v>566</v>
      </c>
      <c r="B3604" s="6" t="str">
        <f>'Lineal Mixto'!$C$570</f>
      </c>
      <c r="C3604" s="6" t="str">
        <f>IF(AND(B3604&gt;=$B$3034,B3604&lt;=$B$3035),1,0)</f>
      </c>
      <c r="D3604" s="6" t="str">
        <f>IF(OR(D3603=1,C3604=1),1,0)</f>
      </c>
      <c r="E3604" s="6" t="str">
        <f>IF(C3604=1,0,IF(D3603=1,E3603+1,0))</f>
      </c>
      <c r="F3604" s="6" t="str">
        <f>IF(AND(C3604=1,D3603=1),MIN(E3603,3),"")</f>
      </c>
    </row>
    <row r="3605">
      <c r="A3605" s="5">
        <v>567</v>
      </c>
      <c r="B3605" s="5" t="str">
        <f>'Lineal Mixto'!$C$571</f>
      </c>
      <c r="C3605" s="5" t="str">
        <f>IF(AND(B3605&gt;=$B$3034,B3605&lt;=$B$3035),1,0)</f>
      </c>
      <c r="D3605" s="5" t="str">
        <f>IF(OR(D3604=1,C3605=1),1,0)</f>
      </c>
      <c r="E3605" s="5" t="str">
        <f>IF(C3605=1,0,IF(D3604=1,E3604+1,0))</f>
      </c>
      <c r="F3605" s="5" t="str">
        <f>IF(AND(C3605=1,D3604=1),MIN(E3604,3),"")</f>
      </c>
    </row>
    <row r="3606">
      <c r="A3606" s="6">
        <v>568</v>
      </c>
      <c r="B3606" s="6" t="str">
        <f>'Lineal Mixto'!$C$572</f>
      </c>
      <c r="C3606" s="6" t="str">
        <f>IF(AND(B3606&gt;=$B$3034,B3606&lt;=$B$3035),1,0)</f>
      </c>
      <c r="D3606" s="6" t="str">
        <f>IF(OR(D3605=1,C3606=1),1,0)</f>
      </c>
      <c r="E3606" s="6" t="str">
        <f>IF(C3606=1,0,IF(D3605=1,E3605+1,0))</f>
      </c>
      <c r="F3606" s="6" t="str">
        <f>IF(AND(C3606=1,D3605=1),MIN(E3605,3),"")</f>
      </c>
    </row>
    <row r="3607">
      <c r="A3607" s="5">
        <v>569</v>
      </c>
      <c r="B3607" s="5" t="str">
        <f>'Lineal Mixto'!$C$573</f>
      </c>
      <c r="C3607" s="5" t="str">
        <f>IF(AND(B3607&gt;=$B$3034,B3607&lt;=$B$3035),1,0)</f>
      </c>
      <c r="D3607" s="5" t="str">
        <f>IF(OR(D3606=1,C3607=1),1,0)</f>
      </c>
      <c r="E3607" s="5" t="str">
        <f>IF(C3607=1,0,IF(D3606=1,E3606+1,0))</f>
      </c>
      <c r="F3607" s="5" t="str">
        <f>IF(AND(C3607=1,D3606=1),MIN(E3606,3),"")</f>
      </c>
    </row>
    <row r="3608">
      <c r="A3608" s="6">
        <v>570</v>
      </c>
      <c r="B3608" s="6" t="str">
        <f>'Lineal Mixto'!$C$574</f>
      </c>
      <c r="C3608" s="6" t="str">
        <f>IF(AND(B3608&gt;=$B$3034,B3608&lt;=$B$3035),1,0)</f>
      </c>
      <c r="D3608" s="6" t="str">
        <f>IF(OR(D3607=1,C3608=1),1,0)</f>
      </c>
      <c r="E3608" s="6" t="str">
        <f>IF(C3608=1,0,IF(D3607=1,E3607+1,0))</f>
      </c>
      <c r="F3608" s="6" t="str">
        <f>IF(AND(C3608=1,D3607=1),MIN(E3607,3),"")</f>
      </c>
    </row>
    <row r="3609">
      <c r="A3609" s="5">
        <v>571</v>
      </c>
      <c r="B3609" s="5" t="str">
        <f>'Lineal Mixto'!$C$575</f>
      </c>
      <c r="C3609" s="5" t="str">
        <f>IF(AND(B3609&gt;=$B$3034,B3609&lt;=$B$3035),1,0)</f>
      </c>
      <c r="D3609" s="5" t="str">
        <f>IF(OR(D3608=1,C3609=1),1,0)</f>
      </c>
      <c r="E3609" s="5" t="str">
        <f>IF(C3609=1,0,IF(D3608=1,E3608+1,0))</f>
      </c>
      <c r="F3609" s="5" t="str">
        <f>IF(AND(C3609=1,D3608=1),MIN(E3608,3),"")</f>
      </c>
    </row>
    <row r="3610">
      <c r="A3610" s="6">
        <v>572</v>
      </c>
      <c r="B3610" s="6" t="str">
        <f>'Lineal Mixto'!$C$576</f>
      </c>
      <c r="C3610" s="6" t="str">
        <f>IF(AND(B3610&gt;=$B$3034,B3610&lt;=$B$3035),1,0)</f>
      </c>
      <c r="D3610" s="6" t="str">
        <f>IF(OR(D3609=1,C3610=1),1,0)</f>
      </c>
      <c r="E3610" s="6" t="str">
        <f>IF(C3610=1,0,IF(D3609=1,E3609+1,0))</f>
      </c>
      <c r="F3610" s="6" t="str">
        <f>IF(AND(C3610=1,D3609=1),MIN(E3609,3),"")</f>
      </c>
    </row>
    <row r="3611">
      <c r="A3611" s="5">
        <v>573</v>
      </c>
      <c r="B3611" s="5" t="str">
        <f>'Lineal Mixto'!$C$577</f>
      </c>
      <c r="C3611" s="5" t="str">
        <f>IF(AND(B3611&gt;=$B$3034,B3611&lt;=$B$3035),1,0)</f>
      </c>
      <c r="D3611" s="5" t="str">
        <f>IF(OR(D3610=1,C3611=1),1,0)</f>
      </c>
      <c r="E3611" s="5" t="str">
        <f>IF(C3611=1,0,IF(D3610=1,E3610+1,0))</f>
      </c>
      <c r="F3611" s="5" t="str">
        <f>IF(AND(C3611=1,D3610=1),MIN(E3610,3),"")</f>
      </c>
    </row>
    <row r="3612">
      <c r="A3612" s="6">
        <v>574</v>
      </c>
      <c r="B3612" s="6" t="str">
        <f>'Lineal Mixto'!$C$578</f>
      </c>
      <c r="C3612" s="6" t="str">
        <f>IF(AND(B3612&gt;=$B$3034,B3612&lt;=$B$3035),1,0)</f>
      </c>
      <c r="D3612" s="6" t="str">
        <f>IF(OR(D3611=1,C3612=1),1,0)</f>
      </c>
      <c r="E3612" s="6" t="str">
        <f>IF(C3612=1,0,IF(D3611=1,E3611+1,0))</f>
      </c>
      <c r="F3612" s="6" t="str">
        <f>IF(AND(C3612=1,D3611=1),MIN(E3611,3),"")</f>
      </c>
    </row>
    <row r="3613">
      <c r="A3613" s="5">
        <v>575</v>
      </c>
      <c r="B3613" s="5" t="str">
        <f>'Lineal Mixto'!$C$579</f>
      </c>
      <c r="C3613" s="5" t="str">
        <f>IF(AND(B3613&gt;=$B$3034,B3613&lt;=$B$3035),1,0)</f>
      </c>
      <c r="D3613" s="5" t="str">
        <f>IF(OR(D3612=1,C3613=1),1,0)</f>
      </c>
      <c r="E3613" s="5" t="str">
        <f>IF(C3613=1,0,IF(D3612=1,E3612+1,0))</f>
      </c>
      <c r="F3613" s="5" t="str">
        <f>IF(AND(C3613=1,D3612=1),MIN(E3612,3),"")</f>
      </c>
    </row>
    <row r="3614">
      <c r="A3614" s="6">
        <v>576</v>
      </c>
      <c r="B3614" s="6" t="str">
        <f>'Lineal Mixto'!$C$580</f>
      </c>
      <c r="C3614" s="6" t="str">
        <f>IF(AND(B3614&gt;=$B$3034,B3614&lt;=$B$3035),1,0)</f>
      </c>
      <c r="D3614" s="6" t="str">
        <f>IF(OR(D3613=1,C3614=1),1,0)</f>
      </c>
      <c r="E3614" s="6" t="str">
        <f>IF(C3614=1,0,IF(D3613=1,E3613+1,0))</f>
      </c>
      <c r="F3614" s="6" t="str">
        <f>IF(AND(C3614=1,D3613=1),MIN(E3613,3),"")</f>
      </c>
    </row>
    <row r="3615">
      <c r="A3615" s="5">
        <v>577</v>
      </c>
      <c r="B3615" s="5" t="str">
        <f>'Lineal Mixto'!$C$581</f>
      </c>
      <c r="C3615" s="5" t="str">
        <f>IF(AND(B3615&gt;=$B$3034,B3615&lt;=$B$3035),1,0)</f>
      </c>
      <c r="D3615" s="5" t="str">
        <f>IF(OR(D3614=1,C3615=1),1,0)</f>
      </c>
      <c r="E3615" s="5" t="str">
        <f>IF(C3615=1,0,IF(D3614=1,E3614+1,0))</f>
      </c>
      <c r="F3615" s="5" t="str">
        <f>IF(AND(C3615=1,D3614=1),MIN(E3614,3),"")</f>
      </c>
    </row>
    <row r="3616">
      <c r="A3616" s="6">
        <v>578</v>
      </c>
      <c r="B3616" s="6" t="str">
        <f>'Lineal Mixto'!$C$582</f>
      </c>
      <c r="C3616" s="6" t="str">
        <f>IF(AND(B3616&gt;=$B$3034,B3616&lt;=$B$3035),1,0)</f>
      </c>
      <c r="D3616" s="6" t="str">
        <f>IF(OR(D3615=1,C3616=1),1,0)</f>
      </c>
      <c r="E3616" s="6" t="str">
        <f>IF(C3616=1,0,IF(D3615=1,E3615+1,0))</f>
      </c>
      <c r="F3616" s="6" t="str">
        <f>IF(AND(C3616=1,D3615=1),MIN(E3615,3),"")</f>
      </c>
    </row>
    <row r="3617">
      <c r="A3617" s="5">
        <v>579</v>
      </c>
      <c r="B3617" s="5" t="str">
        <f>'Lineal Mixto'!$C$583</f>
      </c>
      <c r="C3617" s="5" t="str">
        <f>IF(AND(B3617&gt;=$B$3034,B3617&lt;=$B$3035),1,0)</f>
      </c>
      <c r="D3617" s="5" t="str">
        <f>IF(OR(D3616=1,C3617=1),1,0)</f>
      </c>
      <c r="E3617" s="5" t="str">
        <f>IF(C3617=1,0,IF(D3616=1,E3616+1,0))</f>
      </c>
      <c r="F3617" s="5" t="str">
        <f>IF(AND(C3617=1,D3616=1),MIN(E3616,3),"")</f>
      </c>
    </row>
    <row r="3618">
      <c r="A3618" s="6">
        <v>580</v>
      </c>
      <c r="B3618" s="6" t="str">
        <f>'Lineal Mixto'!$C$584</f>
      </c>
      <c r="C3618" s="6" t="str">
        <f>IF(AND(B3618&gt;=$B$3034,B3618&lt;=$B$3035),1,0)</f>
      </c>
      <c r="D3618" s="6" t="str">
        <f>IF(OR(D3617=1,C3618=1),1,0)</f>
      </c>
      <c r="E3618" s="6" t="str">
        <f>IF(C3618=1,0,IF(D3617=1,E3617+1,0))</f>
      </c>
      <c r="F3618" s="6" t="str">
        <f>IF(AND(C3618=1,D3617=1),MIN(E3617,3),"")</f>
      </c>
    </row>
    <row r="3619">
      <c r="A3619" s="5">
        <v>581</v>
      </c>
      <c r="B3619" s="5" t="str">
        <f>'Lineal Mixto'!$C$585</f>
      </c>
      <c r="C3619" s="5" t="str">
        <f>IF(AND(B3619&gt;=$B$3034,B3619&lt;=$B$3035),1,0)</f>
      </c>
      <c r="D3619" s="5" t="str">
        <f>IF(OR(D3618=1,C3619=1),1,0)</f>
      </c>
      <c r="E3619" s="5" t="str">
        <f>IF(C3619=1,0,IF(D3618=1,E3618+1,0))</f>
      </c>
      <c r="F3619" s="5" t="str">
        <f>IF(AND(C3619=1,D3618=1),MIN(E3618,3),"")</f>
      </c>
    </row>
    <row r="3620">
      <c r="A3620" s="6">
        <v>582</v>
      </c>
      <c r="B3620" s="6" t="str">
        <f>'Lineal Mixto'!$C$586</f>
      </c>
      <c r="C3620" s="6" t="str">
        <f>IF(AND(B3620&gt;=$B$3034,B3620&lt;=$B$3035),1,0)</f>
      </c>
      <c r="D3620" s="6" t="str">
        <f>IF(OR(D3619=1,C3620=1),1,0)</f>
      </c>
      <c r="E3620" s="6" t="str">
        <f>IF(C3620=1,0,IF(D3619=1,E3619+1,0))</f>
      </c>
      <c r="F3620" s="6" t="str">
        <f>IF(AND(C3620=1,D3619=1),MIN(E3619,3),"")</f>
      </c>
    </row>
    <row r="3621">
      <c r="A3621" s="5">
        <v>583</v>
      </c>
      <c r="B3621" s="5" t="str">
        <f>'Lineal Mixto'!$C$587</f>
      </c>
      <c r="C3621" s="5" t="str">
        <f>IF(AND(B3621&gt;=$B$3034,B3621&lt;=$B$3035),1,0)</f>
      </c>
      <c r="D3621" s="5" t="str">
        <f>IF(OR(D3620=1,C3621=1),1,0)</f>
      </c>
      <c r="E3621" s="5" t="str">
        <f>IF(C3621=1,0,IF(D3620=1,E3620+1,0))</f>
      </c>
      <c r="F3621" s="5" t="str">
        <f>IF(AND(C3621=1,D3620=1),MIN(E3620,3),"")</f>
      </c>
    </row>
    <row r="3622">
      <c r="A3622" s="6">
        <v>584</v>
      </c>
      <c r="B3622" s="6" t="str">
        <f>'Lineal Mixto'!$C$588</f>
      </c>
      <c r="C3622" s="6" t="str">
        <f>IF(AND(B3622&gt;=$B$3034,B3622&lt;=$B$3035),1,0)</f>
      </c>
      <c r="D3622" s="6" t="str">
        <f>IF(OR(D3621=1,C3622=1),1,0)</f>
      </c>
      <c r="E3622" s="6" t="str">
        <f>IF(C3622=1,0,IF(D3621=1,E3621+1,0))</f>
      </c>
      <c r="F3622" s="6" t="str">
        <f>IF(AND(C3622=1,D3621=1),MIN(E3621,3),"")</f>
      </c>
    </row>
    <row r="3623">
      <c r="A3623" s="5">
        <v>585</v>
      </c>
      <c r="B3623" s="5" t="str">
        <f>'Lineal Mixto'!$C$589</f>
      </c>
      <c r="C3623" s="5" t="str">
        <f>IF(AND(B3623&gt;=$B$3034,B3623&lt;=$B$3035),1,0)</f>
      </c>
      <c r="D3623" s="5" t="str">
        <f>IF(OR(D3622=1,C3623=1),1,0)</f>
      </c>
      <c r="E3623" s="5" t="str">
        <f>IF(C3623=1,0,IF(D3622=1,E3622+1,0))</f>
      </c>
      <c r="F3623" s="5" t="str">
        <f>IF(AND(C3623=1,D3622=1),MIN(E3622,3),"")</f>
      </c>
    </row>
    <row r="3624">
      <c r="A3624" s="6">
        <v>586</v>
      </c>
      <c r="B3624" s="6" t="str">
        <f>'Lineal Mixto'!$C$590</f>
      </c>
      <c r="C3624" s="6" t="str">
        <f>IF(AND(B3624&gt;=$B$3034,B3624&lt;=$B$3035),1,0)</f>
      </c>
      <c r="D3624" s="6" t="str">
        <f>IF(OR(D3623=1,C3624=1),1,0)</f>
      </c>
      <c r="E3624" s="6" t="str">
        <f>IF(C3624=1,0,IF(D3623=1,E3623+1,0))</f>
      </c>
      <c r="F3624" s="6" t="str">
        <f>IF(AND(C3624=1,D3623=1),MIN(E3623,3),"")</f>
      </c>
    </row>
    <row r="3625">
      <c r="A3625" s="5">
        <v>587</v>
      </c>
      <c r="B3625" s="5" t="str">
        <f>'Lineal Mixto'!$C$591</f>
      </c>
      <c r="C3625" s="5" t="str">
        <f>IF(AND(B3625&gt;=$B$3034,B3625&lt;=$B$3035),1,0)</f>
      </c>
      <c r="D3625" s="5" t="str">
        <f>IF(OR(D3624=1,C3625=1),1,0)</f>
      </c>
      <c r="E3625" s="5" t="str">
        <f>IF(C3625=1,0,IF(D3624=1,E3624+1,0))</f>
      </c>
      <c r="F3625" s="5" t="str">
        <f>IF(AND(C3625=1,D3624=1),MIN(E3624,3),"")</f>
      </c>
    </row>
    <row r="3626">
      <c r="A3626" s="6">
        <v>588</v>
      </c>
      <c r="B3626" s="6" t="str">
        <f>'Lineal Mixto'!$C$592</f>
      </c>
      <c r="C3626" s="6" t="str">
        <f>IF(AND(B3626&gt;=$B$3034,B3626&lt;=$B$3035),1,0)</f>
      </c>
      <c r="D3626" s="6" t="str">
        <f>IF(OR(D3625=1,C3626=1),1,0)</f>
      </c>
      <c r="E3626" s="6" t="str">
        <f>IF(C3626=1,0,IF(D3625=1,E3625+1,0))</f>
      </c>
      <c r="F3626" s="6" t="str">
        <f>IF(AND(C3626=1,D3625=1),MIN(E3625,3),"")</f>
      </c>
    </row>
    <row r="3627">
      <c r="A3627" s="5">
        <v>589</v>
      </c>
      <c r="B3627" s="5" t="str">
        <f>'Lineal Mixto'!$C$593</f>
      </c>
      <c r="C3627" s="5" t="str">
        <f>IF(AND(B3627&gt;=$B$3034,B3627&lt;=$B$3035),1,0)</f>
      </c>
      <c r="D3627" s="5" t="str">
        <f>IF(OR(D3626=1,C3627=1),1,0)</f>
      </c>
      <c r="E3627" s="5" t="str">
        <f>IF(C3627=1,0,IF(D3626=1,E3626+1,0))</f>
      </c>
      <c r="F3627" s="5" t="str">
        <f>IF(AND(C3627=1,D3626=1),MIN(E3626,3),"")</f>
      </c>
    </row>
    <row r="3628">
      <c r="A3628" s="6">
        <v>590</v>
      </c>
      <c r="B3628" s="6" t="str">
        <f>'Lineal Mixto'!$C$594</f>
      </c>
      <c r="C3628" s="6" t="str">
        <f>IF(AND(B3628&gt;=$B$3034,B3628&lt;=$B$3035),1,0)</f>
      </c>
      <c r="D3628" s="6" t="str">
        <f>IF(OR(D3627=1,C3628=1),1,0)</f>
      </c>
      <c r="E3628" s="6" t="str">
        <f>IF(C3628=1,0,IF(D3627=1,E3627+1,0))</f>
      </c>
      <c r="F3628" s="6" t="str">
        <f>IF(AND(C3628=1,D3627=1),MIN(E3627,3),"")</f>
      </c>
    </row>
    <row r="3629">
      <c r="A3629" s="5">
        <v>591</v>
      </c>
      <c r="B3629" s="5" t="str">
        <f>'Lineal Mixto'!$C$595</f>
      </c>
      <c r="C3629" s="5" t="str">
        <f>IF(AND(B3629&gt;=$B$3034,B3629&lt;=$B$3035),1,0)</f>
      </c>
      <c r="D3629" s="5" t="str">
        <f>IF(OR(D3628=1,C3629=1),1,0)</f>
      </c>
      <c r="E3629" s="5" t="str">
        <f>IF(C3629=1,0,IF(D3628=1,E3628+1,0))</f>
      </c>
      <c r="F3629" s="5" t="str">
        <f>IF(AND(C3629=1,D3628=1),MIN(E3628,3),"")</f>
      </c>
    </row>
    <row r="3630">
      <c r="A3630" s="6">
        <v>592</v>
      </c>
      <c r="B3630" s="6" t="str">
        <f>'Lineal Mixto'!$C$596</f>
      </c>
      <c r="C3630" s="6" t="str">
        <f>IF(AND(B3630&gt;=$B$3034,B3630&lt;=$B$3035),1,0)</f>
      </c>
      <c r="D3630" s="6" t="str">
        <f>IF(OR(D3629=1,C3630=1),1,0)</f>
      </c>
      <c r="E3630" s="6" t="str">
        <f>IF(C3630=1,0,IF(D3629=1,E3629+1,0))</f>
      </c>
      <c r="F3630" s="6" t="str">
        <f>IF(AND(C3630=1,D3629=1),MIN(E3629,3),"")</f>
      </c>
    </row>
    <row r="3631">
      <c r="A3631" s="5">
        <v>593</v>
      </c>
      <c r="B3631" s="5" t="str">
        <f>'Lineal Mixto'!$C$597</f>
      </c>
      <c r="C3631" s="5" t="str">
        <f>IF(AND(B3631&gt;=$B$3034,B3631&lt;=$B$3035),1,0)</f>
      </c>
      <c r="D3631" s="5" t="str">
        <f>IF(OR(D3630=1,C3631=1),1,0)</f>
      </c>
      <c r="E3631" s="5" t="str">
        <f>IF(C3631=1,0,IF(D3630=1,E3630+1,0))</f>
      </c>
      <c r="F3631" s="5" t="str">
        <f>IF(AND(C3631=1,D3630=1),MIN(E3630,3),"")</f>
      </c>
    </row>
    <row r="3632">
      <c r="A3632" s="6">
        <v>594</v>
      </c>
      <c r="B3632" s="6" t="str">
        <f>'Lineal Mixto'!$C$598</f>
      </c>
      <c r="C3632" s="6" t="str">
        <f>IF(AND(B3632&gt;=$B$3034,B3632&lt;=$B$3035),1,0)</f>
      </c>
      <c r="D3632" s="6" t="str">
        <f>IF(OR(D3631=1,C3632=1),1,0)</f>
      </c>
      <c r="E3632" s="6" t="str">
        <f>IF(C3632=1,0,IF(D3631=1,E3631+1,0))</f>
      </c>
      <c r="F3632" s="6" t="str">
        <f>IF(AND(C3632=1,D3631=1),MIN(E3631,3),"")</f>
      </c>
    </row>
    <row r="3633">
      <c r="A3633" s="5">
        <v>595</v>
      </c>
      <c r="B3633" s="5" t="str">
        <f>'Lineal Mixto'!$C$599</f>
      </c>
      <c r="C3633" s="5" t="str">
        <f>IF(AND(B3633&gt;=$B$3034,B3633&lt;=$B$3035),1,0)</f>
      </c>
      <c r="D3633" s="5" t="str">
        <f>IF(OR(D3632=1,C3633=1),1,0)</f>
      </c>
      <c r="E3633" s="5" t="str">
        <f>IF(C3633=1,0,IF(D3632=1,E3632+1,0))</f>
      </c>
      <c r="F3633" s="5" t="str">
        <f>IF(AND(C3633=1,D3632=1),MIN(E3632,3),"")</f>
      </c>
    </row>
    <row r="3634">
      <c r="A3634" s="6">
        <v>596</v>
      </c>
      <c r="B3634" s="6" t="str">
        <f>'Lineal Mixto'!$C$600</f>
      </c>
      <c r="C3634" s="6" t="str">
        <f>IF(AND(B3634&gt;=$B$3034,B3634&lt;=$B$3035),1,0)</f>
      </c>
      <c r="D3634" s="6" t="str">
        <f>IF(OR(D3633=1,C3634=1),1,0)</f>
      </c>
      <c r="E3634" s="6" t="str">
        <f>IF(C3634=1,0,IF(D3633=1,E3633+1,0))</f>
      </c>
      <c r="F3634" s="6" t="str">
        <f>IF(AND(C3634=1,D3633=1),MIN(E3633,3),"")</f>
      </c>
    </row>
    <row r="3635">
      <c r="A3635" s="5">
        <v>597</v>
      </c>
      <c r="B3635" s="5" t="str">
        <f>'Lineal Mixto'!$C$601</f>
      </c>
      <c r="C3635" s="5" t="str">
        <f>IF(AND(B3635&gt;=$B$3034,B3635&lt;=$B$3035),1,0)</f>
      </c>
      <c r="D3635" s="5" t="str">
        <f>IF(OR(D3634=1,C3635=1),1,0)</f>
      </c>
      <c r="E3635" s="5" t="str">
        <f>IF(C3635=1,0,IF(D3634=1,E3634+1,0))</f>
      </c>
      <c r="F3635" s="5" t="str">
        <f>IF(AND(C3635=1,D3634=1),MIN(E3634,3),"")</f>
      </c>
    </row>
    <row r="3636">
      <c r="A3636" s="6">
        <v>598</v>
      </c>
      <c r="B3636" s="6" t="str">
        <f>'Lineal Mixto'!$C$602</f>
      </c>
      <c r="C3636" s="6" t="str">
        <f>IF(AND(B3636&gt;=$B$3034,B3636&lt;=$B$3035),1,0)</f>
      </c>
      <c r="D3636" s="6" t="str">
        <f>IF(OR(D3635=1,C3636=1),1,0)</f>
      </c>
      <c r="E3636" s="6" t="str">
        <f>IF(C3636=1,0,IF(D3635=1,E3635+1,0))</f>
      </c>
      <c r="F3636" s="6" t="str">
        <f>IF(AND(C3636=1,D3635=1),MIN(E3635,3),"")</f>
      </c>
    </row>
    <row r="3637">
      <c r="A3637" s="5">
        <v>599</v>
      </c>
      <c r="B3637" s="5" t="str">
        <f>'Lineal Mixto'!$C$603</f>
      </c>
      <c r="C3637" s="5" t="str">
        <f>IF(AND(B3637&gt;=$B$3034,B3637&lt;=$B$3035),1,0)</f>
      </c>
      <c r="D3637" s="5" t="str">
        <f>IF(OR(D3636=1,C3637=1),1,0)</f>
      </c>
      <c r="E3637" s="5" t="str">
        <f>IF(C3637=1,0,IF(D3636=1,E3636+1,0))</f>
      </c>
      <c r="F3637" s="5" t="str">
        <f>IF(AND(C3637=1,D3636=1),MIN(E3636,3),"")</f>
      </c>
    </row>
    <row r="3638">
      <c r="A3638" s="6">
        <v>600</v>
      </c>
      <c r="B3638" s="6" t="str">
        <f>'Lineal Mixto'!$C$604</f>
      </c>
      <c r="C3638" s="6" t="str">
        <f>IF(AND(B3638&gt;=$B$3034,B3638&lt;=$B$3035),1,0)</f>
      </c>
      <c r="D3638" s="6" t="str">
        <f>IF(OR(D3637=1,C3638=1),1,0)</f>
      </c>
      <c r="E3638" s="6" t="str">
        <f>IF(C3638=1,0,IF(D3637=1,E3637+1,0))</f>
      </c>
      <c r="F3638" s="6" t="str">
        <f>IF(AND(C3638=1,D3637=1),MIN(E3637,3),"")</f>
      </c>
    </row>
    <row r="3639">
      <c r="A3639" s="5">
        <v>601</v>
      </c>
      <c r="B3639" s="5" t="str">
        <f>'Lineal Mixto'!$C$605</f>
      </c>
      <c r="C3639" s="5" t="str">
        <f>IF(AND(B3639&gt;=$B$3034,B3639&lt;=$B$3035),1,0)</f>
      </c>
      <c r="D3639" s="5" t="str">
        <f>IF(OR(D3638=1,C3639=1),1,0)</f>
      </c>
      <c r="E3639" s="5" t="str">
        <f>IF(C3639=1,0,IF(D3638=1,E3638+1,0))</f>
      </c>
      <c r="F3639" s="5" t="str">
        <f>IF(AND(C3639=1,D3638=1),MIN(E3638,3),"")</f>
      </c>
    </row>
    <row r="3640">
      <c r="A3640" s="6">
        <v>602</v>
      </c>
      <c r="B3640" s="6" t="str">
        <f>'Lineal Mixto'!$C$606</f>
      </c>
      <c r="C3640" s="6" t="str">
        <f>IF(AND(B3640&gt;=$B$3034,B3640&lt;=$B$3035),1,0)</f>
      </c>
      <c r="D3640" s="6" t="str">
        <f>IF(OR(D3639=1,C3640=1),1,0)</f>
      </c>
      <c r="E3640" s="6" t="str">
        <f>IF(C3640=1,0,IF(D3639=1,E3639+1,0))</f>
      </c>
      <c r="F3640" s="6" t="str">
        <f>IF(AND(C3640=1,D3639=1),MIN(E3639,3),"")</f>
      </c>
    </row>
    <row r="3641">
      <c r="A3641" s="5">
        <v>603</v>
      </c>
      <c r="B3641" s="5" t="str">
        <f>'Lineal Mixto'!$C$607</f>
      </c>
      <c r="C3641" s="5" t="str">
        <f>IF(AND(B3641&gt;=$B$3034,B3641&lt;=$B$3035),1,0)</f>
      </c>
      <c r="D3641" s="5" t="str">
        <f>IF(OR(D3640=1,C3641=1),1,0)</f>
      </c>
      <c r="E3641" s="5" t="str">
        <f>IF(C3641=1,0,IF(D3640=1,E3640+1,0))</f>
      </c>
      <c r="F3641" s="5" t="str">
        <f>IF(AND(C3641=1,D3640=1),MIN(E3640,3),"")</f>
      </c>
    </row>
    <row r="3642">
      <c r="A3642" s="6">
        <v>604</v>
      </c>
      <c r="B3642" s="6" t="str">
        <f>'Lineal Mixto'!$C$608</f>
      </c>
      <c r="C3642" s="6" t="str">
        <f>IF(AND(B3642&gt;=$B$3034,B3642&lt;=$B$3035),1,0)</f>
      </c>
      <c r="D3642" s="6" t="str">
        <f>IF(OR(D3641=1,C3642=1),1,0)</f>
      </c>
      <c r="E3642" s="6" t="str">
        <f>IF(C3642=1,0,IF(D3641=1,E3641+1,0))</f>
      </c>
      <c r="F3642" s="6" t="str">
        <f>IF(AND(C3642=1,D3641=1),MIN(E3641,3),"")</f>
      </c>
    </row>
    <row r="3643">
      <c r="A3643" s="5">
        <v>605</v>
      </c>
      <c r="B3643" s="5" t="str">
        <f>'Lineal Mixto'!$C$609</f>
      </c>
      <c r="C3643" s="5" t="str">
        <f>IF(AND(B3643&gt;=$B$3034,B3643&lt;=$B$3035),1,0)</f>
      </c>
      <c r="D3643" s="5" t="str">
        <f>IF(OR(D3642=1,C3643=1),1,0)</f>
      </c>
      <c r="E3643" s="5" t="str">
        <f>IF(C3643=1,0,IF(D3642=1,E3642+1,0))</f>
      </c>
      <c r="F3643" s="5" t="str">
        <f>IF(AND(C3643=1,D3642=1),MIN(E3642,3),"")</f>
      </c>
    </row>
    <row r="3644">
      <c r="A3644" s="6">
        <v>606</v>
      </c>
      <c r="B3644" s="6" t="str">
        <f>'Lineal Mixto'!$C$610</f>
      </c>
      <c r="C3644" s="6" t="str">
        <f>IF(AND(B3644&gt;=$B$3034,B3644&lt;=$B$3035),1,0)</f>
      </c>
      <c r="D3644" s="6" t="str">
        <f>IF(OR(D3643=1,C3644=1),1,0)</f>
      </c>
      <c r="E3644" s="6" t="str">
        <f>IF(C3644=1,0,IF(D3643=1,E3643+1,0))</f>
      </c>
      <c r="F3644" s="6" t="str">
        <f>IF(AND(C3644=1,D3643=1),MIN(E3643,3),"")</f>
      </c>
    </row>
    <row r="3645">
      <c r="A3645" s="5">
        <v>607</v>
      </c>
      <c r="B3645" s="5" t="str">
        <f>'Lineal Mixto'!$C$611</f>
      </c>
      <c r="C3645" s="5" t="str">
        <f>IF(AND(B3645&gt;=$B$3034,B3645&lt;=$B$3035),1,0)</f>
      </c>
      <c r="D3645" s="5" t="str">
        <f>IF(OR(D3644=1,C3645=1),1,0)</f>
      </c>
      <c r="E3645" s="5" t="str">
        <f>IF(C3645=1,0,IF(D3644=1,E3644+1,0))</f>
      </c>
      <c r="F3645" s="5" t="str">
        <f>IF(AND(C3645=1,D3644=1),MIN(E3644,3),"")</f>
      </c>
    </row>
    <row r="3646">
      <c r="A3646" s="6">
        <v>608</v>
      </c>
      <c r="B3646" s="6" t="str">
        <f>'Lineal Mixto'!$C$612</f>
      </c>
      <c r="C3646" s="6" t="str">
        <f>IF(AND(B3646&gt;=$B$3034,B3646&lt;=$B$3035),1,0)</f>
      </c>
      <c r="D3646" s="6" t="str">
        <f>IF(OR(D3645=1,C3646=1),1,0)</f>
      </c>
      <c r="E3646" s="6" t="str">
        <f>IF(C3646=1,0,IF(D3645=1,E3645+1,0))</f>
      </c>
      <c r="F3646" s="6" t="str">
        <f>IF(AND(C3646=1,D3645=1),MIN(E3645,3),"")</f>
      </c>
    </row>
    <row r="3647">
      <c r="A3647" s="5">
        <v>609</v>
      </c>
      <c r="B3647" s="5" t="str">
        <f>'Lineal Mixto'!$C$613</f>
      </c>
      <c r="C3647" s="5" t="str">
        <f>IF(AND(B3647&gt;=$B$3034,B3647&lt;=$B$3035),1,0)</f>
      </c>
      <c r="D3647" s="5" t="str">
        <f>IF(OR(D3646=1,C3647=1),1,0)</f>
      </c>
      <c r="E3647" s="5" t="str">
        <f>IF(C3647=1,0,IF(D3646=1,E3646+1,0))</f>
      </c>
      <c r="F3647" s="5" t="str">
        <f>IF(AND(C3647=1,D3646=1),MIN(E3646,3),"")</f>
      </c>
    </row>
    <row r="3648">
      <c r="A3648" s="6">
        <v>610</v>
      </c>
      <c r="B3648" s="6" t="str">
        <f>'Lineal Mixto'!$C$614</f>
      </c>
      <c r="C3648" s="6" t="str">
        <f>IF(AND(B3648&gt;=$B$3034,B3648&lt;=$B$3035),1,0)</f>
      </c>
      <c r="D3648" s="6" t="str">
        <f>IF(OR(D3647=1,C3648=1),1,0)</f>
      </c>
      <c r="E3648" s="6" t="str">
        <f>IF(C3648=1,0,IF(D3647=1,E3647+1,0))</f>
      </c>
      <c r="F3648" s="6" t="str">
        <f>IF(AND(C3648=1,D3647=1),MIN(E3647,3),"")</f>
      </c>
    </row>
    <row r="3649">
      <c r="A3649" s="5">
        <v>611</v>
      </c>
      <c r="B3649" s="5" t="str">
        <f>'Lineal Mixto'!$C$615</f>
      </c>
      <c r="C3649" s="5" t="str">
        <f>IF(AND(B3649&gt;=$B$3034,B3649&lt;=$B$3035),1,0)</f>
      </c>
      <c r="D3649" s="5" t="str">
        <f>IF(OR(D3648=1,C3649=1),1,0)</f>
      </c>
      <c r="E3649" s="5" t="str">
        <f>IF(C3649=1,0,IF(D3648=1,E3648+1,0))</f>
      </c>
      <c r="F3649" s="5" t="str">
        <f>IF(AND(C3649=1,D3648=1),MIN(E3648,3),"")</f>
      </c>
    </row>
    <row r="3650">
      <c r="A3650" s="6">
        <v>612</v>
      </c>
      <c r="B3650" s="6" t="str">
        <f>'Lineal Mixto'!$C$616</f>
      </c>
      <c r="C3650" s="6" t="str">
        <f>IF(AND(B3650&gt;=$B$3034,B3650&lt;=$B$3035),1,0)</f>
      </c>
      <c r="D3650" s="6" t="str">
        <f>IF(OR(D3649=1,C3650=1),1,0)</f>
      </c>
      <c r="E3650" s="6" t="str">
        <f>IF(C3650=1,0,IF(D3649=1,E3649+1,0))</f>
      </c>
      <c r="F3650" s="6" t="str">
        <f>IF(AND(C3650=1,D3649=1),MIN(E3649,3),"")</f>
      </c>
    </row>
    <row r="3651">
      <c r="A3651" s="5">
        <v>613</v>
      </c>
      <c r="B3651" s="5" t="str">
        <f>'Lineal Mixto'!$C$617</f>
      </c>
      <c r="C3651" s="5" t="str">
        <f>IF(AND(B3651&gt;=$B$3034,B3651&lt;=$B$3035),1,0)</f>
      </c>
      <c r="D3651" s="5" t="str">
        <f>IF(OR(D3650=1,C3651=1),1,0)</f>
      </c>
      <c r="E3651" s="5" t="str">
        <f>IF(C3651=1,0,IF(D3650=1,E3650+1,0))</f>
      </c>
      <c r="F3651" s="5" t="str">
        <f>IF(AND(C3651=1,D3650=1),MIN(E3650,3),"")</f>
      </c>
    </row>
    <row r="3652">
      <c r="A3652" s="6">
        <v>614</v>
      </c>
      <c r="B3652" s="6" t="str">
        <f>'Lineal Mixto'!$C$618</f>
      </c>
      <c r="C3652" s="6" t="str">
        <f>IF(AND(B3652&gt;=$B$3034,B3652&lt;=$B$3035),1,0)</f>
      </c>
      <c r="D3652" s="6" t="str">
        <f>IF(OR(D3651=1,C3652=1),1,0)</f>
      </c>
      <c r="E3652" s="6" t="str">
        <f>IF(C3652=1,0,IF(D3651=1,E3651+1,0))</f>
      </c>
      <c r="F3652" s="6" t="str">
        <f>IF(AND(C3652=1,D3651=1),MIN(E3651,3),"")</f>
      </c>
    </row>
    <row r="3653">
      <c r="A3653" s="5">
        <v>615</v>
      </c>
      <c r="B3653" s="5" t="str">
        <f>'Lineal Mixto'!$C$619</f>
      </c>
      <c r="C3653" s="5" t="str">
        <f>IF(AND(B3653&gt;=$B$3034,B3653&lt;=$B$3035),1,0)</f>
      </c>
      <c r="D3653" s="5" t="str">
        <f>IF(OR(D3652=1,C3653=1),1,0)</f>
      </c>
      <c r="E3653" s="5" t="str">
        <f>IF(C3653=1,0,IF(D3652=1,E3652+1,0))</f>
      </c>
      <c r="F3653" s="5" t="str">
        <f>IF(AND(C3653=1,D3652=1),MIN(E3652,3),"")</f>
      </c>
    </row>
    <row r="3654">
      <c r="A3654" s="6">
        <v>616</v>
      </c>
      <c r="B3654" s="6" t="str">
        <f>'Lineal Mixto'!$C$620</f>
      </c>
      <c r="C3654" s="6" t="str">
        <f>IF(AND(B3654&gt;=$B$3034,B3654&lt;=$B$3035),1,0)</f>
      </c>
      <c r="D3654" s="6" t="str">
        <f>IF(OR(D3653=1,C3654=1),1,0)</f>
      </c>
      <c r="E3654" s="6" t="str">
        <f>IF(C3654=1,0,IF(D3653=1,E3653+1,0))</f>
      </c>
      <c r="F3654" s="6" t="str">
        <f>IF(AND(C3654=1,D3653=1),MIN(E3653,3),"")</f>
      </c>
    </row>
    <row r="3655">
      <c r="A3655" s="5">
        <v>617</v>
      </c>
      <c r="B3655" s="5" t="str">
        <f>'Lineal Mixto'!$C$621</f>
      </c>
      <c r="C3655" s="5" t="str">
        <f>IF(AND(B3655&gt;=$B$3034,B3655&lt;=$B$3035),1,0)</f>
      </c>
      <c r="D3655" s="5" t="str">
        <f>IF(OR(D3654=1,C3655=1),1,0)</f>
      </c>
      <c r="E3655" s="5" t="str">
        <f>IF(C3655=1,0,IF(D3654=1,E3654+1,0))</f>
      </c>
      <c r="F3655" s="5" t="str">
        <f>IF(AND(C3655=1,D3654=1),MIN(E3654,3),"")</f>
      </c>
    </row>
    <row r="3656">
      <c r="A3656" s="6">
        <v>618</v>
      </c>
      <c r="B3656" s="6" t="str">
        <f>'Lineal Mixto'!$C$622</f>
      </c>
      <c r="C3656" s="6" t="str">
        <f>IF(AND(B3656&gt;=$B$3034,B3656&lt;=$B$3035),1,0)</f>
      </c>
      <c r="D3656" s="6" t="str">
        <f>IF(OR(D3655=1,C3656=1),1,0)</f>
      </c>
      <c r="E3656" s="6" t="str">
        <f>IF(C3656=1,0,IF(D3655=1,E3655+1,0))</f>
      </c>
      <c r="F3656" s="6" t="str">
        <f>IF(AND(C3656=1,D3655=1),MIN(E3655,3),"")</f>
      </c>
    </row>
    <row r="3657">
      <c r="A3657" s="5">
        <v>619</v>
      </c>
      <c r="B3657" s="5" t="str">
        <f>'Lineal Mixto'!$C$623</f>
      </c>
      <c r="C3657" s="5" t="str">
        <f>IF(AND(B3657&gt;=$B$3034,B3657&lt;=$B$3035),1,0)</f>
      </c>
      <c r="D3657" s="5" t="str">
        <f>IF(OR(D3656=1,C3657=1),1,0)</f>
      </c>
      <c r="E3657" s="5" t="str">
        <f>IF(C3657=1,0,IF(D3656=1,E3656+1,0))</f>
      </c>
      <c r="F3657" s="5" t="str">
        <f>IF(AND(C3657=1,D3656=1),MIN(E3656,3),"")</f>
      </c>
    </row>
    <row r="3658">
      <c r="A3658" s="6">
        <v>620</v>
      </c>
      <c r="B3658" s="6" t="str">
        <f>'Lineal Mixto'!$C$624</f>
      </c>
      <c r="C3658" s="6" t="str">
        <f>IF(AND(B3658&gt;=$B$3034,B3658&lt;=$B$3035),1,0)</f>
      </c>
      <c r="D3658" s="6" t="str">
        <f>IF(OR(D3657=1,C3658=1),1,0)</f>
      </c>
      <c r="E3658" s="6" t="str">
        <f>IF(C3658=1,0,IF(D3657=1,E3657+1,0))</f>
      </c>
      <c r="F3658" s="6" t="str">
        <f>IF(AND(C3658=1,D3657=1),MIN(E3657,3),"")</f>
      </c>
    </row>
    <row r="3659">
      <c r="A3659" s="5">
        <v>621</v>
      </c>
      <c r="B3659" s="5" t="str">
        <f>'Lineal Mixto'!$C$625</f>
      </c>
      <c r="C3659" s="5" t="str">
        <f>IF(AND(B3659&gt;=$B$3034,B3659&lt;=$B$3035),1,0)</f>
      </c>
      <c r="D3659" s="5" t="str">
        <f>IF(OR(D3658=1,C3659=1),1,0)</f>
      </c>
      <c r="E3659" s="5" t="str">
        <f>IF(C3659=1,0,IF(D3658=1,E3658+1,0))</f>
      </c>
      <c r="F3659" s="5" t="str">
        <f>IF(AND(C3659=1,D3658=1),MIN(E3658,3),"")</f>
      </c>
    </row>
    <row r="3660">
      <c r="A3660" s="6">
        <v>622</v>
      </c>
      <c r="B3660" s="6" t="str">
        <f>'Lineal Mixto'!$C$626</f>
      </c>
      <c r="C3660" s="6" t="str">
        <f>IF(AND(B3660&gt;=$B$3034,B3660&lt;=$B$3035),1,0)</f>
      </c>
      <c r="D3660" s="6" t="str">
        <f>IF(OR(D3659=1,C3660=1),1,0)</f>
      </c>
      <c r="E3660" s="6" t="str">
        <f>IF(C3660=1,0,IF(D3659=1,E3659+1,0))</f>
      </c>
      <c r="F3660" s="6" t="str">
        <f>IF(AND(C3660=1,D3659=1),MIN(E3659,3),"")</f>
      </c>
    </row>
    <row r="3661">
      <c r="A3661" s="5">
        <v>623</v>
      </c>
      <c r="B3661" s="5" t="str">
        <f>'Lineal Mixto'!$C$627</f>
      </c>
      <c r="C3661" s="5" t="str">
        <f>IF(AND(B3661&gt;=$B$3034,B3661&lt;=$B$3035),1,0)</f>
      </c>
      <c r="D3661" s="5" t="str">
        <f>IF(OR(D3660=1,C3661=1),1,0)</f>
      </c>
      <c r="E3661" s="5" t="str">
        <f>IF(C3661=1,0,IF(D3660=1,E3660+1,0))</f>
      </c>
      <c r="F3661" s="5" t="str">
        <f>IF(AND(C3661=1,D3660=1),MIN(E3660,3),"")</f>
      </c>
    </row>
    <row r="3662">
      <c r="A3662" s="6">
        <v>624</v>
      </c>
      <c r="B3662" s="6" t="str">
        <f>'Lineal Mixto'!$C$628</f>
      </c>
      <c r="C3662" s="6" t="str">
        <f>IF(AND(B3662&gt;=$B$3034,B3662&lt;=$B$3035),1,0)</f>
      </c>
      <c r="D3662" s="6" t="str">
        <f>IF(OR(D3661=1,C3662=1),1,0)</f>
      </c>
      <c r="E3662" s="6" t="str">
        <f>IF(C3662=1,0,IF(D3661=1,E3661+1,0))</f>
      </c>
      <c r="F3662" s="6" t="str">
        <f>IF(AND(C3662=1,D3661=1),MIN(E3661,3),"")</f>
      </c>
    </row>
    <row r="3663">
      <c r="A3663" s="5">
        <v>625</v>
      </c>
      <c r="B3663" s="5" t="str">
        <f>'Lineal Mixto'!$C$629</f>
      </c>
      <c r="C3663" s="5" t="str">
        <f>IF(AND(B3663&gt;=$B$3034,B3663&lt;=$B$3035),1,0)</f>
      </c>
      <c r="D3663" s="5" t="str">
        <f>IF(OR(D3662=1,C3663=1),1,0)</f>
      </c>
      <c r="E3663" s="5" t="str">
        <f>IF(C3663=1,0,IF(D3662=1,E3662+1,0))</f>
      </c>
      <c r="F3663" s="5" t="str">
        <f>IF(AND(C3663=1,D3662=1),MIN(E3662,3),"")</f>
      </c>
    </row>
    <row r="3664">
      <c r="A3664" s="6">
        <v>626</v>
      </c>
      <c r="B3664" s="6" t="str">
        <f>'Lineal Mixto'!$C$630</f>
      </c>
      <c r="C3664" s="6" t="str">
        <f>IF(AND(B3664&gt;=$B$3034,B3664&lt;=$B$3035),1,0)</f>
      </c>
      <c r="D3664" s="6" t="str">
        <f>IF(OR(D3663=1,C3664=1),1,0)</f>
      </c>
      <c r="E3664" s="6" t="str">
        <f>IF(C3664=1,0,IF(D3663=1,E3663+1,0))</f>
      </c>
      <c r="F3664" s="6" t="str">
        <f>IF(AND(C3664=1,D3663=1),MIN(E3663,3),"")</f>
      </c>
    </row>
    <row r="3665">
      <c r="A3665" s="5">
        <v>627</v>
      </c>
      <c r="B3665" s="5" t="str">
        <f>'Lineal Mixto'!$C$631</f>
      </c>
      <c r="C3665" s="5" t="str">
        <f>IF(AND(B3665&gt;=$B$3034,B3665&lt;=$B$3035),1,0)</f>
      </c>
      <c r="D3665" s="5" t="str">
        <f>IF(OR(D3664=1,C3665=1),1,0)</f>
      </c>
      <c r="E3665" s="5" t="str">
        <f>IF(C3665=1,0,IF(D3664=1,E3664+1,0))</f>
      </c>
      <c r="F3665" s="5" t="str">
        <f>IF(AND(C3665=1,D3664=1),MIN(E3664,3),"")</f>
      </c>
    </row>
    <row r="3666">
      <c r="A3666" s="6">
        <v>628</v>
      </c>
      <c r="B3666" s="6" t="str">
        <f>'Lineal Mixto'!$C$632</f>
      </c>
      <c r="C3666" s="6" t="str">
        <f>IF(AND(B3666&gt;=$B$3034,B3666&lt;=$B$3035),1,0)</f>
      </c>
      <c r="D3666" s="6" t="str">
        <f>IF(OR(D3665=1,C3666=1),1,0)</f>
      </c>
      <c r="E3666" s="6" t="str">
        <f>IF(C3666=1,0,IF(D3665=1,E3665+1,0))</f>
      </c>
      <c r="F3666" s="6" t="str">
        <f>IF(AND(C3666=1,D3665=1),MIN(E3665,3),"")</f>
      </c>
    </row>
    <row r="3667">
      <c r="A3667" s="5">
        <v>629</v>
      </c>
      <c r="B3667" s="5" t="str">
        <f>'Lineal Mixto'!$C$633</f>
      </c>
      <c r="C3667" s="5" t="str">
        <f>IF(AND(B3667&gt;=$B$3034,B3667&lt;=$B$3035),1,0)</f>
      </c>
      <c r="D3667" s="5" t="str">
        <f>IF(OR(D3666=1,C3667=1),1,0)</f>
      </c>
      <c r="E3667" s="5" t="str">
        <f>IF(C3667=1,0,IF(D3666=1,E3666+1,0))</f>
      </c>
      <c r="F3667" s="5" t="str">
        <f>IF(AND(C3667=1,D3666=1),MIN(E3666,3),"")</f>
      </c>
    </row>
    <row r="3668">
      <c r="A3668" s="6">
        <v>630</v>
      </c>
      <c r="B3668" s="6" t="str">
        <f>'Lineal Mixto'!$C$634</f>
      </c>
      <c r="C3668" s="6" t="str">
        <f>IF(AND(B3668&gt;=$B$3034,B3668&lt;=$B$3035),1,0)</f>
      </c>
      <c r="D3668" s="6" t="str">
        <f>IF(OR(D3667=1,C3668=1),1,0)</f>
      </c>
      <c r="E3668" s="6" t="str">
        <f>IF(C3668=1,0,IF(D3667=1,E3667+1,0))</f>
      </c>
      <c r="F3668" s="6" t="str">
        <f>IF(AND(C3668=1,D3667=1),MIN(E3667,3),"")</f>
      </c>
    </row>
    <row r="3669">
      <c r="A3669" s="5">
        <v>631</v>
      </c>
      <c r="B3669" s="5" t="str">
        <f>'Lineal Mixto'!$C$635</f>
      </c>
      <c r="C3669" s="5" t="str">
        <f>IF(AND(B3669&gt;=$B$3034,B3669&lt;=$B$3035),1,0)</f>
      </c>
      <c r="D3669" s="5" t="str">
        <f>IF(OR(D3668=1,C3669=1),1,0)</f>
      </c>
      <c r="E3669" s="5" t="str">
        <f>IF(C3669=1,0,IF(D3668=1,E3668+1,0))</f>
      </c>
      <c r="F3669" s="5" t="str">
        <f>IF(AND(C3669=1,D3668=1),MIN(E3668,3),"")</f>
      </c>
    </row>
    <row r="3670">
      <c r="A3670" s="6">
        <v>632</v>
      </c>
      <c r="B3670" s="6" t="str">
        <f>'Lineal Mixto'!$C$636</f>
      </c>
      <c r="C3670" s="6" t="str">
        <f>IF(AND(B3670&gt;=$B$3034,B3670&lt;=$B$3035),1,0)</f>
      </c>
      <c r="D3670" s="6" t="str">
        <f>IF(OR(D3669=1,C3670=1),1,0)</f>
      </c>
      <c r="E3670" s="6" t="str">
        <f>IF(C3670=1,0,IF(D3669=1,E3669+1,0))</f>
      </c>
      <c r="F3670" s="6" t="str">
        <f>IF(AND(C3670=1,D3669=1),MIN(E3669,3),"")</f>
      </c>
    </row>
    <row r="3671">
      <c r="A3671" s="5">
        <v>633</v>
      </c>
      <c r="B3671" s="5" t="str">
        <f>'Lineal Mixto'!$C$637</f>
      </c>
      <c r="C3671" s="5" t="str">
        <f>IF(AND(B3671&gt;=$B$3034,B3671&lt;=$B$3035),1,0)</f>
      </c>
      <c r="D3671" s="5" t="str">
        <f>IF(OR(D3670=1,C3671=1),1,0)</f>
      </c>
      <c r="E3671" s="5" t="str">
        <f>IF(C3671=1,0,IF(D3670=1,E3670+1,0))</f>
      </c>
      <c r="F3671" s="5" t="str">
        <f>IF(AND(C3671=1,D3670=1),MIN(E3670,3),"")</f>
      </c>
    </row>
    <row r="3672">
      <c r="A3672" s="6">
        <v>634</v>
      </c>
      <c r="B3672" s="6" t="str">
        <f>'Lineal Mixto'!$C$638</f>
      </c>
      <c r="C3672" s="6" t="str">
        <f>IF(AND(B3672&gt;=$B$3034,B3672&lt;=$B$3035),1,0)</f>
      </c>
      <c r="D3672" s="6" t="str">
        <f>IF(OR(D3671=1,C3672=1),1,0)</f>
      </c>
      <c r="E3672" s="6" t="str">
        <f>IF(C3672=1,0,IF(D3671=1,E3671+1,0))</f>
      </c>
      <c r="F3672" s="6" t="str">
        <f>IF(AND(C3672=1,D3671=1),MIN(E3671,3),"")</f>
      </c>
    </row>
    <row r="3673">
      <c r="A3673" s="5">
        <v>635</v>
      </c>
      <c r="B3673" s="5" t="str">
        <f>'Lineal Mixto'!$C$639</f>
      </c>
      <c r="C3673" s="5" t="str">
        <f>IF(AND(B3673&gt;=$B$3034,B3673&lt;=$B$3035),1,0)</f>
      </c>
      <c r="D3673" s="5" t="str">
        <f>IF(OR(D3672=1,C3673=1),1,0)</f>
      </c>
      <c r="E3673" s="5" t="str">
        <f>IF(C3673=1,0,IF(D3672=1,E3672+1,0))</f>
      </c>
      <c r="F3673" s="5" t="str">
        <f>IF(AND(C3673=1,D3672=1),MIN(E3672,3),"")</f>
      </c>
    </row>
    <row r="3674">
      <c r="A3674" s="6">
        <v>636</v>
      </c>
      <c r="B3674" s="6" t="str">
        <f>'Lineal Mixto'!$C$640</f>
      </c>
      <c r="C3674" s="6" t="str">
        <f>IF(AND(B3674&gt;=$B$3034,B3674&lt;=$B$3035),1,0)</f>
      </c>
      <c r="D3674" s="6" t="str">
        <f>IF(OR(D3673=1,C3674=1),1,0)</f>
      </c>
      <c r="E3674" s="6" t="str">
        <f>IF(C3674=1,0,IF(D3673=1,E3673+1,0))</f>
      </c>
      <c r="F3674" s="6" t="str">
        <f>IF(AND(C3674=1,D3673=1),MIN(E3673,3),"")</f>
      </c>
    </row>
    <row r="3675">
      <c r="A3675" s="5">
        <v>637</v>
      </c>
      <c r="B3675" s="5" t="str">
        <f>'Lineal Mixto'!$C$641</f>
      </c>
      <c r="C3675" s="5" t="str">
        <f>IF(AND(B3675&gt;=$B$3034,B3675&lt;=$B$3035),1,0)</f>
      </c>
      <c r="D3675" s="5" t="str">
        <f>IF(OR(D3674=1,C3675=1),1,0)</f>
      </c>
      <c r="E3675" s="5" t="str">
        <f>IF(C3675=1,0,IF(D3674=1,E3674+1,0))</f>
      </c>
      <c r="F3675" s="5" t="str">
        <f>IF(AND(C3675=1,D3674=1),MIN(E3674,3),"")</f>
      </c>
    </row>
    <row r="3676">
      <c r="A3676" s="6">
        <v>638</v>
      </c>
      <c r="B3676" s="6" t="str">
        <f>'Lineal Mixto'!$C$642</f>
      </c>
      <c r="C3676" s="6" t="str">
        <f>IF(AND(B3676&gt;=$B$3034,B3676&lt;=$B$3035),1,0)</f>
      </c>
      <c r="D3676" s="6" t="str">
        <f>IF(OR(D3675=1,C3676=1),1,0)</f>
      </c>
      <c r="E3676" s="6" t="str">
        <f>IF(C3676=1,0,IF(D3675=1,E3675+1,0))</f>
      </c>
      <c r="F3676" s="6" t="str">
        <f>IF(AND(C3676=1,D3675=1),MIN(E3675,3),"")</f>
      </c>
    </row>
    <row r="3677">
      <c r="A3677" s="5">
        <v>639</v>
      </c>
      <c r="B3677" s="5" t="str">
        <f>'Lineal Mixto'!$C$643</f>
      </c>
      <c r="C3677" s="5" t="str">
        <f>IF(AND(B3677&gt;=$B$3034,B3677&lt;=$B$3035),1,0)</f>
      </c>
      <c r="D3677" s="5" t="str">
        <f>IF(OR(D3676=1,C3677=1),1,0)</f>
      </c>
      <c r="E3677" s="5" t="str">
        <f>IF(C3677=1,0,IF(D3676=1,E3676+1,0))</f>
      </c>
      <c r="F3677" s="5" t="str">
        <f>IF(AND(C3677=1,D3676=1),MIN(E3676,3),"")</f>
      </c>
    </row>
    <row r="3678">
      <c r="A3678" s="6">
        <v>640</v>
      </c>
      <c r="B3678" s="6" t="str">
        <f>'Lineal Mixto'!$C$644</f>
      </c>
      <c r="C3678" s="6" t="str">
        <f>IF(AND(B3678&gt;=$B$3034,B3678&lt;=$B$3035),1,0)</f>
      </c>
      <c r="D3678" s="6" t="str">
        <f>IF(OR(D3677=1,C3678=1),1,0)</f>
      </c>
      <c r="E3678" s="6" t="str">
        <f>IF(C3678=1,0,IF(D3677=1,E3677+1,0))</f>
      </c>
      <c r="F3678" s="6" t="str">
        <f>IF(AND(C3678=1,D3677=1),MIN(E3677,3),"")</f>
      </c>
    </row>
    <row r="3679">
      <c r="A3679" s="5">
        <v>641</v>
      </c>
      <c r="B3679" s="5" t="str">
        <f>'Lineal Mixto'!$C$645</f>
      </c>
      <c r="C3679" s="5" t="str">
        <f>IF(AND(B3679&gt;=$B$3034,B3679&lt;=$B$3035),1,0)</f>
      </c>
      <c r="D3679" s="5" t="str">
        <f>IF(OR(D3678=1,C3679=1),1,0)</f>
      </c>
      <c r="E3679" s="5" t="str">
        <f>IF(C3679=1,0,IF(D3678=1,E3678+1,0))</f>
      </c>
      <c r="F3679" s="5" t="str">
        <f>IF(AND(C3679=1,D3678=1),MIN(E3678,3),"")</f>
      </c>
    </row>
    <row r="3680">
      <c r="A3680" s="6">
        <v>642</v>
      </c>
      <c r="B3680" s="6" t="str">
        <f>'Lineal Mixto'!$C$646</f>
      </c>
      <c r="C3680" s="6" t="str">
        <f>IF(AND(B3680&gt;=$B$3034,B3680&lt;=$B$3035),1,0)</f>
      </c>
      <c r="D3680" s="6" t="str">
        <f>IF(OR(D3679=1,C3680=1),1,0)</f>
      </c>
      <c r="E3680" s="6" t="str">
        <f>IF(C3680=1,0,IF(D3679=1,E3679+1,0))</f>
      </c>
      <c r="F3680" s="6" t="str">
        <f>IF(AND(C3680=1,D3679=1),MIN(E3679,3),"")</f>
      </c>
    </row>
    <row r="3681">
      <c r="A3681" s="5">
        <v>643</v>
      </c>
      <c r="B3681" s="5" t="str">
        <f>'Lineal Mixto'!$C$647</f>
      </c>
      <c r="C3681" s="5" t="str">
        <f>IF(AND(B3681&gt;=$B$3034,B3681&lt;=$B$3035),1,0)</f>
      </c>
      <c r="D3681" s="5" t="str">
        <f>IF(OR(D3680=1,C3681=1),1,0)</f>
      </c>
      <c r="E3681" s="5" t="str">
        <f>IF(C3681=1,0,IF(D3680=1,E3680+1,0))</f>
      </c>
      <c r="F3681" s="5" t="str">
        <f>IF(AND(C3681=1,D3680=1),MIN(E3680,3),"")</f>
      </c>
    </row>
    <row r="3682">
      <c r="A3682" s="6">
        <v>644</v>
      </c>
      <c r="B3682" s="6" t="str">
        <f>'Lineal Mixto'!$C$648</f>
      </c>
      <c r="C3682" s="6" t="str">
        <f>IF(AND(B3682&gt;=$B$3034,B3682&lt;=$B$3035),1,0)</f>
      </c>
      <c r="D3682" s="6" t="str">
        <f>IF(OR(D3681=1,C3682=1),1,0)</f>
      </c>
      <c r="E3682" s="6" t="str">
        <f>IF(C3682=1,0,IF(D3681=1,E3681+1,0))</f>
      </c>
      <c r="F3682" s="6" t="str">
        <f>IF(AND(C3682=1,D3681=1),MIN(E3681,3),"")</f>
      </c>
    </row>
    <row r="3683">
      <c r="A3683" s="5">
        <v>645</v>
      </c>
      <c r="B3683" s="5" t="str">
        <f>'Lineal Mixto'!$C$649</f>
      </c>
      <c r="C3683" s="5" t="str">
        <f>IF(AND(B3683&gt;=$B$3034,B3683&lt;=$B$3035),1,0)</f>
      </c>
      <c r="D3683" s="5" t="str">
        <f>IF(OR(D3682=1,C3683=1),1,0)</f>
      </c>
      <c r="E3683" s="5" t="str">
        <f>IF(C3683=1,0,IF(D3682=1,E3682+1,0))</f>
      </c>
      <c r="F3683" s="5" t="str">
        <f>IF(AND(C3683=1,D3682=1),MIN(E3682,3),"")</f>
      </c>
    </row>
    <row r="3684">
      <c r="A3684" s="6">
        <v>646</v>
      </c>
      <c r="B3684" s="6" t="str">
        <f>'Lineal Mixto'!$C$650</f>
      </c>
      <c r="C3684" s="6" t="str">
        <f>IF(AND(B3684&gt;=$B$3034,B3684&lt;=$B$3035),1,0)</f>
      </c>
      <c r="D3684" s="6" t="str">
        <f>IF(OR(D3683=1,C3684=1),1,0)</f>
      </c>
      <c r="E3684" s="6" t="str">
        <f>IF(C3684=1,0,IF(D3683=1,E3683+1,0))</f>
      </c>
      <c r="F3684" s="6" t="str">
        <f>IF(AND(C3684=1,D3683=1),MIN(E3683,3),"")</f>
      </c>
    </row>
    <row r="3685">
      <c r="A3685" s="5">
        <v>647</v>
      </c>
      <c r="B3685" s="5" t="str">
        <f>'Lineal Mixto'!$C$651</f>
      </c>
      <c r="C3685" s="5" t="str">
        <f>IF(AND(B3685&gt;=$B$3034,B3685&lt;=$B$3035),1,0)</f>
      </c>
      <c r="D3685" s="5" t="str">
        <f>IF(OR(D3684=1,C3685=1),1,0)</f>
      </c>
      <c r="E3685" s="5" t="str">
        <f>IF(C3685=1,0,IF(D3684=1,E3684+1,0))</f>
      </c>
      <c r="F3685" s="5" t="str">
        <f>IF(AND(C3685=1,D3684=1),MIN(E3684,3),"")</f>
      </c>
    </row>
    <row r="3686">
      <c r="A3686" s="6">
        <v>648</v>
      </c>
      <c r="B3686" s="6" t="str">
        <f>'Lineal Mixto'!$C$652</f>
      </c>
      <c r="C3686" s="6" t="str">
        <f>IF(AND(B3686&gt;=$B$3034,B3686&lt;=$B$3035),1,0)</f>
      </c>
      <c r="D3686" s="6" t="str">
        <f>IF(OR(D3685=1,C3686=1),1,0)</f>
      </c>
      <c r="E3686" s="6" t="str">
        <f>IF(C3686=1,0,IF(D3685=1,E3685+1,0))</f>
      </c>
      <c r="F3686" s="6" t="str">
        <f>IF(AND(C3686=1,D3685=1),MIN(E3685,3),"")</f>
      </c>
    </row>
    <row r="3687">
      <c r="A3687" s="5">
        <v>649</v>
      </c>
      <c r="B3687" s="5" t="str">
        <f>'Lineal Mixto'!$C$653</f>
      </c>
      <c r="C3687" s="5" t="str">
        <f>IF(AND(B3687&gt;=$B$3034,B3687&lt;=$B$3035),1,0)</f>
      </c>
      <c r="D3687" s="5" t="str">
        <f>IF(OR(D3686=1,C3687=1),1,0)</f>
      </c>
      <c r="E3687" s="5" t="str">
        <f>IF(C3687=1,0,IF(D3686=1,E3686+1,0))</f>
      </c>
      <c r="F3687" s="5" t="str">
        <f>IF(AND(C3687=1,D3686=1),MIN(E3686,3),"")</f>
      </c>
    </row>
    <row r="3688">
      <c r="A3688" s="6">
        <v>650</v>
      </c>
      <c r="B3688" s="6" t="str">
        <f>'Lineal Mixto'!$C$654</f>
      </c>
      <c r="C3688" s="6" t="str">
        <f>IF(AND(B3688&gt;=$B$3034,B3688&lt;=$B$3035),1,0)</f>
      </c>
      <c r="D3688" s="6" t="str">
        <f>IF(OR(D3687=1,C3688=1),1,0)</f>
      </c>
      <c r="E3688" s="6" t="str">
        <f>IF(C3688=1,0,IF(D3687=1,E3687+1,0))</f>
      </c>
      <c r="F3688" s="6" t="str">
        <f>IF(AND(C3688=1,D3687=1),MIN(E3687,3),"")</f>
      </c>
    </row>
    <row r="3689">
      <c r="A3689" s="5">
        <v>651</v>
      </c>
      <c r="B3689" s="5" t="str">
        <f>'Lineal Mixto'!$C$655</f>
      </c>
      <c r="C3689" s="5" t="str">
        <f>IF(AND(B3689&gt;=$B$3034,B3689&lt;=$B$3035),1,0)</f>
      </c>
      <c r="D3689" s="5" t="str">
        <f>IF(OR(D3688=1,C3689=1),1,0)</f>
      </c>
      <c r="E3689" s="5" t="str">
        <f>IF(C3689=1,0,IF(D3688=1,E3688+1,0))</f>
      </c>
      <c r="F3689" s="5" t="str">
        <f>IF(AND(C3689=1,D3688=1),MIN(E3688,3),"")</f>
      </c>
    </row>
    <row r="3690">
      <c r="A3690" s="6">
        <v>652</v>
      </c>
      <c r="B3690" s="6" t="str">
        <f>'Lineal Mixto'!$C$656</f>
      </c>
      <c r="C3690" s="6" t="str">
        <f>IF(AND(B3690&gt;=$B$3034,B3690&lt;=$B$3035),1,0)</f>
      </c>
      <c r="D3690" s="6" t="str">
        <f>IF(OR(D3689=1,C3690=1),1,0)</f>
      </c>
      <c r="E3690" s="6" t="str">
        <f>IF(C3690=1,0,IF(D3689=1,E3689+1,0))</f>
      </c>
      <c r="F3690" s="6" t="str">
        <f>IF(AND(C3690=1,D3689=1),MIN(E3689,3),"")</f>
      </c>
    </row>
    <row r="3691">
      <c r="A3691" s="5">
        <v>653</v>
      </c>
      <c r="B3691" s="5" t="str">
        <f>'Lineal Mixto'!$C$657</f>
      </c>
      <c r="C3691" s="5" t="str">
        <f>IF(AND(B3691&gt;=$B$3034,B3691&lt;=$B$3035),1,0)</f>
      </c>
      <c r="D3691" s="5" t="str">
        <f>IF(OR(D3690=1,C3691=1),1,0)</f>
      </c>
      <c r="E3691" s="5" t="str">
        <f>IF(C3691=1,0,IF(D3690=1,E3690+1,0))</f>
      </c>
      <c r="F3691" s="5" t="str">
        <f>IF(AND(C3691=1,D3690=1),MIN(E3690,3),"")</f>
      </c>
    </row>
    <row r="3692">
      <c r="A3692" s="6">
        <v>654</v>
      </c>
      <c r="B3692" s="6" t="str">
        <f>'Lineal Mixto'!$C$658</f>
      </c>
      <c r="C3692" s="6" t="str">
        <f>IF(AND(B3692&gt;=$B$3034,B3692&lt;=$B$3035),1,0)</f>
      </c>
      <c r="D3692" s="6" t="str">
        <f>IF(OR(D3691=1,C3692=1),1,0)</f>
      </c>
      <c r="E3692" s="6" t="str">
        <f>IF(C3692=1,0,IF(D3691=1,E3691+1,0))</f>
      </c>
      <c r="F3692" s="6" t="str">
        <f>IF(AND(C3692=1,D3691=1),MIN(E3691,3),"")</f>
      </c>
    </row>
    <row r="3693">
      <c r="A3693" s="5">
        <v>655</v>
      </c>
      <c r="B3693" s="5" t="str">
        <f>'Lineal Mixto'!$C$659</f>
      </c>
      <c r="C3693" s="5" t="str">
        <f>IF(AND(B3693&gt;=$B$3034,B3693&lt;=$B$3035),1,0)</f>
      </c>
      <c r="D3693" s="5" t="str">
        <f>IF(OR(D3692=1,C3693=1),1,0)</f>
      </c>
      <c r="E3693" s="5" t="str">
        <f>IF(C3693=1,0,IF(D3692=1,E3692+1,0))</f>
      </c>
      <c r="F3693" s="5" t="str">
        <f>IF(AND(C3693=1,D3692=1),MIN(E3692,3),"")</f>
      </c>
    </row>
    <row r="3694">
      <c r="A3694" s="6">
        <v>656</v>
      </c>
      <c r="B3694" s="6" t="str">
        <f>'Lineal Mixto'!$C$660</f>
      </c>
      <c r="C3694" s="6" t="str">
        <f>IF(AND(B3694&gt;=$B$3034,B3694&lt;=$B$3035),1,0)</f>
      </c>
      <c r="D3694" s="6" t="str">
        <f>IF(OR(D3693=1,C3694=1),1,0)</f>
      </c>
      <c r="E3694" s="6" t="str">
        <f>IF(C3694=1,0,IF(D3693=1,E3693+1,0))</f>
      </c>
      <c r="F3694" s="6" t="str">
        <f>IF(AND(C3694=1,D3693=1),MIN(E3693,3),"")</f>
      </c>
    </row>
    <row r="3695">
      <c r="A3695" s="5">
        <v>657</v>
      </c>
      <c r="B3695" s="5" t="str">
        <f>'Lineal Mixto'!$C$661</f>
      </c>
      <c r="C3695" s="5" t="str">
        <f>IF(AND(B3695&gt;=$B$3034,B3695&lt;=$B$3035),1,0)</f>
      </c>
      <c r="D3695" s="5" t="str">
        <f>IF(OR(D3694=1,C3695=1),1,0)</f>
      </c>
      <c r="E3695" s="5" t="str">
        <f>IF(C3695=1,0,IF(D3694=1,E3694+1,0))</f>
      </c>
      <c r="F3695" s="5" t="str">
        <f>IF(AND(C3695=1,D3694=1),MIN(E3694,3),"")</f>
      </c>
    </row>
    <row r="3696">
      <c r="A3696" s="6">
        <v>658</v>
      </c>
      <c r="B3696" s="6" t="str">
        <f>'Lineal Mixto'!$C$662</f>
      </c>
      <c r="C3696" s="6" t="str">
        <f>IF(AND(B3696&gt;=$B$3034,B3696&lt;=$B$3035),1,0)</f>
      </c>
      <c r="D3696" s="6" t="str">
        <f>IF(OR(D3695=1,C3696=1),1,0)</f>
      </c>
      <c r="E3696" s="6" t="str">
        <f>IF(C3696=1,0,IF(D3695=1,E3695+1,0))</f>
      </c>
      <c r="F3696" s="6" t="str">
        <f>IF(AND(C3696=1,D3695=1),MIN(E3695,3),"")</f>
      </c>
    </row>
    <row r="3697">
      <c r="A3697" s="5">
        <v>659</v>
      </c>
      <c r="B3697" s="5" t="str">
        <f>'Lineal Mixto'!$C$663</f>
      </c>
      <c r="C3697" s="5" t="str">
        <f>IF(AND(B3697&gt;=$B$3034,B3697&lt;=$B$3035),1,0)</f>
      </c>
      <c r="D3697" s="5" t="str">
        <f>IF(OR(D3696=1,C3697=1),1,0)</f>
      </c>
      <c r="E3697" s="5" t="str">
        <f>IF(C3697=1,0,IF(D3696=1,E3696+1,0))</f>
      </c>
      <c r="F3697" s="5" t="str">
        <f>IF(AND(C3697=1,D3696=1),MIN(E3696,3),"")</f>
      </c>
    </row>
    <row r="3698">
      <c r="A3698" s="6">
        <v>660</v>
      </c>
      <c r="B3698" s="6" t="str">
        <f>'Lineal Mixto'!$C$664</f>
      </c>
      <c r="C3698" s="6" t="str">
        <f>IF(AND(B3698&gt;=$B$3034,B3698&lt;=$B$3035),1,0)</f>
      </c>
      <c r="D3698" s="6" t="str">
        <f>IF(OR(D3697=1,C3698=1),1,0)</f>
      </c>
      <c r="E3698" s="6" t="str">
        <f>IF(C3698=1,0,IF(D3697=1,E3697+1,0))</f>
      </c>
      <c r="F3698" s="6" t="str">
        <f>IF(AND(C3698=1,D3697=1),MIN(E3697,3),"")</f>
      </c>
    </row>
    <row r="3699">
      <c r="A3699" s="5">
        <v>661</v>
      </c>
      <c r="B3699" s="5" t="str">
        <f>'Lineal Mixto'!$C$665</f>
      </c>
      <c r="C3699" s="5" t="str">
        <f>IF(AND(B3699&gt;=$B$3034,B3699&lt;=$B$3035),1,0)</f>
      </c>
      <c r="D3699" s="5" t="str">
        <f>IF(OR(D3698=1,C3699=1),1,0)</f>
      </c>
      <c r="E3699" s="5" t="str">
        <f>IF(C3699=1,0,IF(D3698=1,E3698+1,0))</f>
      </c>
      <c r="F3699" s="5" t="str">
        <f>IF(AND(C3699=1,D3698=1),MIN(E3698,3),"")</f>
      </c>
    </row>
    <row r="3700">
      <c r="A3700" s="6">
        <v>662</v>
      </c>
      <c r="B3700" s="6" t="str">
        <f>'Lineal Mixto'!$C$666</f>
      </c>
      <c r="C3700" s="6" t="str">
        <f>IF(AND(B3700&gt;=$B$3034,B3700&lt;=$B$3035),1,0)</f>
      </c>
      <c r="D3700" s="6" t="str">
        <f>IF(OR(D3699=1,C3700=1),1,0)</f>
      </c>
      <c r="E3700" s="6" t="str">
        <f>IF(C3700=1,0,IF(D3699=1,E3699+1,0))</f>
      </c>
      <c r="F3700" s="6" t="str">
        <f>IF(AND(C3700=1,D3699=1),MIN(E3699,3),"")</f>
      </c>
    </row>
    <row r="3701">
      <c r="A3701" s="5">
        <v>663</v>
      </c>
      <c r="B3701" s="5" t="str">
        <f>'Lineal Mixto'!$C$667</f>
      </c>
      <c r="C3701" s="5" t="str">
        <f>IF(AND(B3701&gt;=$B$3034,B3701&lt;=$B$3035),1,0)</f>
      </c>
      <c r="D3701" s="5" t="str">
        <f>IF(OR(D3700=1,C3701=1),1,0)</f>
      </c>
      <c r="E3701" s="5" t="str">
        <f>IF(C3701=1,0,IF(D3700=1,E3700+1,0))</f>
      </c>
      <c r="F3701" s="5" t="str">
        <f>IF(AND(C3701=1,D3700=1),MIN(E3700,3),"")</f>
      </c>
    </row>
    <row r="3702">
      <c r="A3702" s="6">
        <v>664</v>
      </c>
      <c r="B3702" s="6" t="str">
        <f>'Lineal Mixto'!$C$668</f>
      </c>
      <c r="C3702" s="6" t="str">
        <f>IF(AND(B3702&gt;=$B$3034,B3702&lt;=$B$3035),1,0)</f>
      </c>
      <c r="D3702" s="6" t="str">
        <f>IF(OR(D3701=1,C3702=1),1,0)</f>
      </c>
      <c r="E3702" s="6" t="str">
        <f>IF(C3702=1,0,IF(D3701=1,E3701+1,0))</f>
      </c>
      <c r="F3702" s="6" t="str">
        <f>IF(AND(C3702=1,D3701=1),MIN(E3701,3),"")</f>
      </c>
    </row>
    <row r="3703">
      <c r="A3703" s="5">
        <v>665</v>
      </c>
      <c r="B3703" s="5" t="str">
        <f>'Lineal Mixto'!$C$669</f>
      </c>
      <c r="C3703" s="5" t="str">
        <f>IF(AND(B3703&gt;=$B$3034,B3703&lt;=$B$3035),1,0)</f>
      </c>
      <c r="D3703" s="5" t="str">
        <f>IF(OR(D3702=1,C3703=1),1,0)</f>
      </c>
      <c r="E3703" s="5" t="str">
        <f>IF(C3703=1,0,IF(D3702=1,E3702+1,0))</f>
      </c>
      <c r="F3703" s="5" t="str">
        <f>IF(AND(C3703=1,D3702=1),MIN(E3702,3),"")</f>
      </c>
    </row>
    <row r="3704">
      <c r="A3704" s="6">
        <v>666</v>
      </c>
      <c r="B3704" s="6" t="str">
        <f>'Lineal Mixto'!$C$670</f>
      </c>
      <c r="C3704" s="6" t="str">
        <f>IF(AND(B3704&gt;=$B$3034,B3704&lt;=$B$3035),1,0)</f>
      </c>
      <c r="D3704" s="6" t="str">
        <f>IF(OR(D3703=1,C3704=1),1,0)</f>
      </c>
      <c r="E3704" s="6" t="str">
        <f>IF(C3704=1,0,IF(D3703=1,E3703+1,0))</f>
      </c>
      <c r="F3704" s="6" t="str">
        <f>IF(AND(C3704=1,D3703=1),MIN(E3703,3),"")</f>
      </c>
    </row>
    <row r="3705">
      <c r="A3705" s="5">
        <v>667</v>
      </c>
      <c r="B3705" s="5" t="str">
        <f>'Lineal Mixto'!$C$671</f>
      </c>
      <c r="C3705" s="5" t="str">
        <f>IF(AND(B3705&gt;=$B$3034,B3705&lt;=$B$3035),1,0)</f>
      </c>
      <c r="D3705" s="5" t="str">
        <f>IF(OR(D3704=1,C3705=1),1,0)</f>
      </c>
      <c r="E3705" s="5" t="str">
        <f>IF(C3705=1,0,IF(D3704=1,E3704+1,0))</f>
      </c>
      <c r="F3705" s="5" t="str">
        <f>IF(AND(C3705=1,D3704=1),MIN(E3704,3),"")</f>
      </c>
    </row>
    <row r="3706">
      <c r="A3706" s="6">
        <v>668</v>
      </c>
      <c r="B3706" s="6" t="str">
        <f>'Lineal Mixto'!$C$672</f>
      </c>
      <c r="C3706" s="6" t="str">
        <f>IF(AND(B3706&gt;=$B$3034,B3706&lt;=$B$3035),1,0)</f>
      </c>
      <c r="D3706" s="6" t="str">
        <f>IF(OR(D3705=1,C3706=1),1,0)</f>
      </c>
      <c r="E3706" s="6" t="str">
        <f>IF(C3706=1,0,IF(D3705=1,E3705+1,0))</f>
      </c>
      <c r="F3706" s="6" t="str">
        <f>IF(AND(C3706=1,D3705=1),MIN(E3705,3),"")</f>
      </c>
    </row>
    <row r="3707">
      <c r="A3707" s="5">
        <v>669</v>
      </c>
      <c r="B3707" s="5" t="str">
        <f>'Lineal Mixto'!$C$673</f>
      </c>
      <c r="C3707" s="5" t="str">
        <f>IF(AND(B3707&gt;=$B$3034,B3707&lt;=$B$3035),1,0)</f>
      </c>
      <c r="D3707" s="5" t="str">
        <f>IF(OR(D3706=1,C3707=1),1,0)</f>
      </c>
      <c r="E3707" s="5" t="str">
        <f>IF(C3707=1,0,IF(D3706=1,E3706+1,0))</f>
      </c>
      <c r="F3707" s="5" t="str">
        <f>IF(AND(C3707=1,D3706=1),MIN(E3706,3),"")</f>
      </c>
    </row>
    <row r="3708">
      <c r="A3708" s="6">
        <v>670</v>
      </c>
      <c r="B3708" s="6" t="str">
        <f>'Lineal Mixto'!$C$674</f>
      </c>
      <c r="C3708" s="6" t="str">
        <f>IF(AND(B3708&gt;=$B$3034,B3708&lt;=$B$3035),1,0)</f>
      </c>
      <c r="D3708" s="6" t="str">
        <f>IF(OR(D3707=1,C3708=1),1,0)</f>
      </c>
      <c r="E3708" s="6" t="str">
        <f>IF(C3708=1,0,IF(D3707=1,E3707+1,0))</f>
      </c>
      <c r="F3708" s="6" t="str">
        <f>IF(AND(C3708=1,D3707=1),MIN(E3707,3),"")</f>
      </c>
    </row>
    <row r="3709">
      <c r="A3709" s="5">
        <v>671</v>
      </c>
      <c r="B3709" s="5" t="str">
        <f>'Lineal Mixto'!$C$675</f>
      </c>
      <c r="C3709" s="5" t="str">
        <f>IF(AND(B3709&gt;=$B$3034,B3709&lt;=$B$3035),1,0)</f>
      </c>
      <c r="D3709" s="5" t="str">
        <f>IF(OR(D3708=1,C3709=1),1,0)</f>
      </c>
      <c r="E3709" s="5" t="str">
        <f>IF(C3709=1,0,IF(D3708=1,E3708+1,0))</f>
      </c>
      <c r="F3709" s="5" t="str">
        <f>IF(AND(C3709=1,D3708=1),MIN(E3708,3),"")</f>
      </c>
    </row>
    <row r="3710">
      <c r="A3710" s="6">
        <v>672</v>
      </c>
      <c r="B3710" s="6" t="str">
        <f>'Lineal Mixto'!$C$676</f>
      </c>
      <c r="C3710" s="6" t="str">
        <f>IF(AND(B3710&gt;=$B$3034,B3710&lt;=$B$3035),1,0)</f>
      </c>
      <c r="D3710" s="6" t="str">
        <f>IF(OR(D3709=1,C3710=1),1,0)</f>
      </c>
      <c r="E3710" s="6" t="str">
        <f>IF(C3710=1,0,IF(D3709=1,E3709+1,0))</f>
      </c>
      <c r="F3710" s="6" t="str">
        <f>IF(AND(C3710=1,D3709=1),MIN(E3709,3),"")</f>
      </c>
    </row>
    <row r="3711">
      <c r="A3711" s="5">
        <v>673</v>
      </c>
      <c r="B3711" s="5" t="str">
        <f>'Lineal Mixto'!$C$677</f>
      </c>
      <c r="C3711" s="5" t="str">
        <f>IF(AND(B3711&gt;=$B$3034,B3711&lt;=$B$3035),1,0)</f>
      </c>
      <c r="D3711" s="5" t="str">
        <f>IF(OR(D3710=1,C3711=1),1,0)</f>
      </c>
      <c r="E3711" s="5" t="str">
        <f>IF(C3711=1,0,IF(D3710=1,E3710+1,0))</f>
      </c>
      <c r="F3711" s="5" t="str">
        <f>IF(AND(C3711=1,D3710=1),MIN(E3710,3),"")</f>
      </c>
    </row>
    <row r="3712">
      <c r="A3712" s="6">
        <v>674</v>
      </c>
      <c r="B3712" s="6" t="str">
        <f>'Lineal Mixto'!$C$678</f>
      </c>
      <c r="C3712" s="6" t="str">
        <f>IF(AND(B3712&gt;=$B$3034,B3712&lt;=$B$3035),1,0)</f>
      </c>
      <c r="D3712" s="6" t="str">
        <f>IF(OR(D3711=1,C3712=1),1,0)</f>
      </c>
      <c r="E3712" s="6" t="str">
        <f>IF(C3712=1,0,IF(D3711=1,E3711+1,0))</f>
      </c>
      <c r="F3712" s="6" t="str">
        <f>IF(AND(C3712=1,D3711=1),MIN(E3711,3),"")</f>
      </c>
    </row>
    <row r="3713">
      <c r="A3713" s="5">
        <v>675</v>
      </c>
      <c r="B3713" s="5" t="str">
        <f>'Lineal Mixto'!$C$679</f>
      </c>
      <c r="C3713" s="5" t="str">
        <f>IF(AND(B3713&gt;=$B$3034,B3713&lt;=$B$3035),1,0)</f>
      </c>
      <c r="D3713" s="5" t="str">
        <f>IF(OR(D3712=1,C3713=1),1,0)</f>
      </c>
      <c r="E3713" s="5" t="str">
        <f>IF(C3713=1,0,IF(D3712=1,E3712+1,0))</f>
      </c>
      <c r="F3713" s="5" t="str">
        <f>IF(AND(C3713=1,D3712=1),MIN(E3712,3),"")</f>
      </c>
    </row>
    <row r="3714">
      <c r="A3714" s="6">
        <v>676</v>
      </c>
      <c r="B3714" s="6" t="str">
        <f>'Lineal Mixto'!$C$680</f>
      </c>
      <c r="C3714" s="6" t="str">
        <f>IF(AND(B3714&gt;=$B$3034,B3714&lt;=$B$3035),1,0)</f>
      </c>
      <c r="D3714" s="6" t="str">
        <f>IF(OR(D3713=1,C3714=1),1,0)</f>
      </c>
      <c r="E3714" s="6" t="str">
        <f>IF(C3714=1,0,IF(D3713=1,E3713+1,0))</f>
      </c>
      <c r="F3714" s="6" t="str">
        <f>IF(AND(C3714=1,D3713=1),MIN(E3713,3),"")</f>
      </c>
    </row>
    <row r="3715">
      <c r="A3715" s="5">
        <v>677</v>
      </c>
      <c r="B3715" s="5" t="str">
        <f>'Lineal Mixto'!$C$681</f>
      </c>
      <c r="C3715" s="5" t="str">
        <f>IF(AND(B3715&gt;=$B$3034,B3715&lt;=$B$3035),1,0)</f>
      </c>
      <c r="D3715" s="5" t="str">
        <f>IF(OR(D3714=1,C3715=1),1,0)</f>
      </c>
      <c r="E3715" s="5" t="str">
        <f>IF(C3715=1,0,IF(D3714=1,E3714+1,0))</f>
      </c>
      <c r="F3715" s="5" t="str">
        <f>IF(AND(C3715=1,D3714=1),MIN(E3714,3),"")</f>
      </c>
    </row>
    <row r="3716">
      <c r="A3716" s="6">
        <v>678</v>
      </c>
      <c r="B3716" s="6" t="str">
        <f>'Lineal Mixto'!$C$682</f>
      </c>
      <c r="C3716" s="6" t="str">
        <f>IF(AND(B3716&gt;=$B$3034,B3716&lt;=$B$3035),1,0)</f>
      </c>
      <c r="D3716" s="6" t="str">
        <f>IF(OR(D3715=1,C3716=1),1,0)</f>
      </c>
      <c r="E3716" s="6" t="str">
        <f>IF(C3716=1,0,IF(D3715=1,E3715+1,0))</f>
      </c>
      <c r="F3716" s="6" t="str">
        <f>IF(AND(C3716=1,D3715=1),MIN(E3715,3),"")</f>
      </c>
    </row>
    <row r="3717">
      <c r="A3717" s="5">
        <v>679</v>
      </c>
      <c r="B3717" s="5" t="str">
        <f>'Lineal Mixto'!$C$683</f>
      </c>
      <c r="C3717" s="5" t="str">
        <f>IF(AND(B3717&gt;=$B$3034,B3717&lt;=$B$3035),1,0)</f>
      </c>
      <c r="D3717" s="5" t="str">
        <f>IF(OR(D3716=1,C3717=1),1,0)</f>
      </c>
      <c r="E3717" s="5" t="str">
        <f>IF(C3717=1,0,IF(D3716=1,E3716+1,0))</f>
      </c>
      <c r="F3717" s="5" t="str">
        <f>IF(AND(C3717=1,D3716=1),MIN(E3716,3),"")</f>
      </c>
    </row>
    <row r="3718">
      <c r="A3718" s="6">
        <v>680</v>
      </c>
      <c r="B3718" s="6" t="str">
        <f>'Lineal Mixto'!$C$684</f>
      </c>
      <c r="C3718" s="6" t="str">
        <f>IF(AND(B3718&gt;=$B$3034,B3718&lt;=$B$3035),1,0)</f>
      </c>
      <c r="D3718" s="6" t="str">
        <f>IF(OR(D3717=1,C3718=1),1,0)</f>
      </c>
      <c r="E3718" s="6" t="str">
        <f>IF(C3718=1,0,IF(D3717=1,E3717+1,0))</f>
      </c>
      <c r="F3718" s="6" t="str">
        <f>IF(AND(C3718=1,D3717=1),MIN(E3717,3),"")</f>
      </c>
    </row>
    <row r="3719">
      <c r="A3719" s="5">
        <v>681</v>
      </c>
      <c r="B3719" s="5" t="str">
        <f>'Lineal Mixto'!$C$685</f>
      </c>
      <c r="C3719" s="5" t="str">
        <f>IF(AND(B3719&gt;=$B$3034,B3719&lt;=$B$3035),1,0)</f>
      </c>
      <c r="D3719" s="5" t="str">
        <f>IF(OR(D3718=1,C3719=1),1,0)</f>
      </c>
      <c r="E3719" s="5" t="str">
        <f>IF(C3719=1,0,IF(D3718=1,E3718+1,0))</f>
      </c>
      <c r="F3719" s="5" t="str">
        <f>IF(AND(C3719=1,D3718=1),MIN(E3718,3),"")</f>
      </c>
    </row>
    <row r="3720">
      <c r="A3720" s="6">
        <v>682</v>
      </c>
      <c r="B3720" s="6" t="str">
        <f>'Lineal Mixto'!$C$686</f>
      </c>
      <c r="C3720" s="6" t="str">
        <f>IF(AND(B3720&gt;=$B$3034,B3720&lt;=$B$3035),1,0)</f>
      </c>
      <c r="D3720" s="6" t="str">
        <f>IF(OR(D3719=1,C3720=1),1,0)</f>
      </c>
      <c r="E3720" s="6" t="str">
        <f>IF(C3720=1,0,IF(D3719=1,E3719+1,0))</f>
      </c>
      <c r="F3720" s="6" t="str">
        <f>IF(AND(C3720=1,D3719=1),MIN(E3719,3),"")</f>
      </c>
    </row>
    <row r="3721">
      <c r="A3721" s="5">
        <v>683</v>
      </c>
      <c r="B3721" s="5" t="str">
        <f>'Lineal Mixto'!$C$687</f>
      </c>
      <c r="C3721" s="5" t="str">
        <f>IF(AND(B3721&gt;=$B$3034,B3721&lt;=$B$3035),1,0)</f>
      </c>
      <c r="D3721" s="5" t="str">
        <f>IF(OR(D3720=1,C3721=1),1,0)</f>
      </c>
      <c r="E3721" s="5" t="str">
        <f>IF(C3721=1,0,IF(D3720=1,E3720+1,0))</f>
      </c>
      <c r="F3721" s="5" t="str">
        <f>IF(AND(C3721=1,D3720=1),MIN(E3720,3),"")</f>
      </c>
    </row>
    <row r="3722">
      <c r="A3722" s="6">
        <v>684</v>
      </c>
      <c r="B3722" s="6" t="str">
        <f>'Lineal Mixto'!$C$688</f>
      </c>
      <c r="C3722" s="6" t="str">
        <f>IF(AND(B3722&gt;=$B$3034,B3722&lt;=$B$3035),1,0)</f>
      </c>
      <c r="D3722" s="6" t="str">
        <f>IF(OR(D3721=1,C3722=1),1,0)</f>
      </c>
      <c r="E3722" s="6" t="str">
        <f>IF(C3722=1,0,IF(D3721=1,E3721+1,0))</f>
      </c>
      <c r="F3722" s="6" t="str">
        <f>IF(AND(C3722=1,D3721=1),MIN(E3721,3),"")</f>
      </c>
    </row>
    <row r="3723">
      <c r="A3723" s="5">
        <v>685</v>
      </c>
      <c r="B3723" s="5" t="str">
        <f>'Lineal Mixto'!$C$689</f>
      </c>
      <c r="C3723" s="5" t="str">
        <f>IF(AND(B3723&gt;=$B$3034,B3723&lt;=$B$3035),1,0)</f>
      </c>
      <c r="D3723" s="5" t="str">
        <f>IF(OR(D3722=1,C3723=1),1,0)</f>
      </c>
      <c r="E3723" s="5" t="str">
        <f>IF(C3723=1,0,IF(D3722=1,E3722+1,0))</f>
      </c>
      <c r="F3723" s="5" t="str">
        <f>IF(AND(C3723=1,D3722=1),MIN(E3722,3),"")</f>
      </c>
    </row>
    <row r="3724">
      <c r="A3724" s="6">
        <v>686</v>
      </c>
      <c r="B3724" s="6" t="str">
        <f>'Lineal Mixto'!$C$690</f>
      </c>
      <c r="C3724" s="6" t="str">
        <f>IF(AND(B3724&gt;=$B$3034,B3724&lt;=$B$3035),1,0)</f>
      </c>
      <c r="D3724" s="6" t="str">
        <f>IF(OR(D3723=1,C3724=1),1,0)</f>
      </c>
      <c r="E3724" s="6" t="str">
        <f>IF(C3724=1,0,IF(D3723=1,E3723+1,0))</f>
      </c>
      <c r="F3724" s="6" t="str">
        <f>IF(AND(C3724=1,D3723=1),MIN(E3723,3),"")</f>
      </c>
    </row>
    <row r="3725">
      <c r="A3725" s="5">
        <v>687</v>
      </c>
      <c r="B3725" s="5" t="str">
        <f>'Lineal Mixto'!$C$691</f>
      </c>
      <c r="C3725" s="5" t="str">
        <f>IF(AND(B3725&gt;=$B$3034,B3725&lt;=$B$3035),1,0)</f>
      </c>
      <c r="D3725" s="5" t="str">
        <f>IF(OR(D3724=1,C3725=1),1,0)</f>
      </c>
      <c r="E3725" s="5" t="str">
        <f>IF(C3725=1,0,IF(D3724=1,E3724+1,0))</f>
      </c>
      <c r="F3725" s="5" t="str">
        <f>IF(AND(C3725=1,D3724=1),MIN(E3724,3),"")</f>
      </c>
    </row>
    <row r="3726">
      <c r="A3726" s="6">
        <v>688</v>
      </c>
      <c r="B3726" s="6" t="str">
        <f>'Lineal Mixto'!$C$692</f>
      </c>
      <c r="C3726" s="6" t="str">
        <f>IF(AND(B3726&gt;=$B$3034,B3726&lt;=$B$3035),1,0)</f>
      </c>
      <c r="D3726" s="6" t="str">
        <f>IF(OR(D3725=1,C3726=1),1,0)</f>
      </c>
      <c r="E3726" s="6" t="str">
        <f>IF(C3726=1,0,IF(D3725=1,E3725+1,0))</f>
      </c>
      <c r="F3726" s="6" t="str">
        <f>IF(AND(C3726=1,D3725=1),MIN(E3725,3),"")</f>
      </c>
    </row>
    <row r="3727">
      <c r="A3727" s="5">
        <v>689</v>
      </c>
      <c r="B3727" s="5" t="str">
        <f>'Lineal Mixto'!$C$693</f>
      </c>
      <c r="C3727" s="5" t="str">
        <f>IF(AND(B3727&gt;=$B$3034,B3727&lt;=$B$3035),1,0)</f>
      </c>
      <c r="D3727" s="5" t="str">
        <f>IF(OR(D3726=1,C3727=1),1,0)</f>
      </c>
      <c r="E3727" s="5" t="str">
        <f>IF(C3727=1,0,IF(D3726=1,E3726+1,0))</f>
      </c>
      <c r="F3727" s="5" t="str">
        <f>IF(AND(C3727=1,D3726=1),MIN(E3726,3),"")</f>
      </c>
    </row>
    <row r="3728">
      <c r="A3728" s="6">
        <v>690</v>
      </c>
      <c r="B3728" s="6" t="str">
        <f>'Lineal Mixto'!$C$694</f>
      </c>
      <c r="C3728" s="6" t="str">
        <f>IF(AND(B3728&gt;=$B$3034,B3728&lt;=$B$3035),1,0)</f>
      </c>
      <c r="D3728" s="6" t="str">
        <f>IF(OR(D3727=1,C3728=1),1,0)</f>
      </c>
      <c r="E3728" s="6" t="str">
        <f>IF(C3728=1,0,IF(D3727=1,E3727+1,0))</f>
      </c>
      <c r="F3728" s="6" t="str">
        <f>IF(AND(C3728=1,D3727=1),MIN(E3727,3),"")</f>
      </c>
    </row>
    <row r="3729">
      <c r="A3729" s="5">
        <v>691</v>
      </c>
      <c r="B3729" s="5" t="str">
        <f>'Lineal Mixto'!$C$695</f>
      </c>
      <c r="C3729" s="5" t="str">
        <f>IF(AND(B3729&gt;=$B$3034,B3729&lt;=$B$3035),1,0)</f>
      </c>
      <c r="D3729" s="5" t="str">
        <f>IF(OR(D3728=1,C3729=1),1,0)</f>
      </c>
      <c r="E3729" s="5" t="str">
        <f>IF(C3729=1,0,IF(D3728=1,E3728+1,0))</f>
      </c>
      <c r="F3729" s="5" t="str">
        <f>IF(AND(C3729=1,D3728=1),MIN(E3728,3),"")</f>
      </c>
    </row>
    <row r="3730">
      <c r="A3730" s="6">
        <v>692</v>
      </c>
      <c r="B3730" s="6" t="str">
        <f>'Lineal Mixto'!$C$696</f>
      </c>
      <c r="C3730" s="6" t="str">
        <f>IF(AND(B3730&gt;=$B$3034,B3730&lt;=$B$3035),1,0)</f>
      </c>
      <c r="D3730" s="6" t="str">
        <f>IF(OR(D3729=1,C3730=1),1,0)</f>
      </c>
      <c r="E3730" s="6" t="str">
        <f>IF(C3730=1,0,IF(D3729=1,E3729+1,0))</f>
      </c>
      <c r="F3730" s="6" t="str">
        <f>IF(AND(C3730=1,D3729=1),MIN(E3729,3),"")</f>
      </c>
    </row>
    <row r="3731">
      <c r="A3731" s="5">
        <v>693</v>
      </c>
      <c r="B3731" s="5" t="str">
        <f>'Lineal Mixto'!$C$697</f>
      </c>
      <c r="C3731" s="5" t="str">
        <f>IF(AND(B3731&gt;=$B$3034,B3731&lt;=$B$3035),1,0)</f>
      </c>
      <c r="D3731" s="5" t="str">
        <f>IF(OR(D3730=1,C3731=1),1,0)</f>
      </c>
      <c r="E3731" s="5" t="str">
        <f>IF(C3731=1,0,IF(D3730=1,E3730+1,0))</f>
      </c>
      <c r="F3731" s="5" t="str">
        <f>IF(AND(C3731=1,D3730=1),MIN(E3730,3),"")</f>
      </c>
    </row>
    <row r="3732">
      <c r="A3732" s="6">
        <v>694</v>
      </c>
      <c r="B3732" s="6" t="str">
        <f>'Lineal Mixto'!$C$698</f>
      </c>
      <c r="C3732" s="6" t="str">
        <f>IF(AND(B3732&gt;=$B$3034,B3732&lt;=$B$3035),1,0)</f>
      </c>
      <c r="D3732" s="6" t="str">
        <f>IF(OR(D3731=1,C3732=1),1,0)</f>
      </c>
      <c r="E3732" s="6" t="str">
        <f>IF(C3732=1,0,IF(D3731=1,E3731+1,0))</f>
      </c>
      <c r="F3732" s="6" t="str">
        <f>IF(AND(C3732=1,D3731=1),MIN(E3731,3),"")</f>
      </c>
    </row>
    <row r="3733">
      <c r="A3733" s="5">
        <v>695</v>
      </c>
      <c r="B3733" s="5" t="str">
        <f>'Lineal Mixto'!$C$699</f>
      </c>
      <c r="C3733" s="5" t="str">
        <f>IF(AND(B3733&gt;=$B$3034,B3733&lt;=$B$3035),1,0)</f>
      </c>
      <c r="D3733" s="5" t="str">
        <f>IF(OR(D3732=1,C3733=1),1,0)</f>
      </c>
      <c r="E3733" s="5" t="str">
        <f>IF(C3733=1,0,IF(D3732=1,E3732+1,0))</f>
      </c>
      <c r="F3733" s="5" t="str">
        <f>IF(AND(C3733=1,D3732=1),MIN(E3732,3),"")</f>
      </c>
    </row>
    <row r="3734">
      <c r="A3734" s="6">
        <v>696</v>
      </c>
      <c r="B3734" s="6" t="str">
        <f>'Lineal Mixto'!$C$700</f>
      </c>
      <c r="C3734" s="6" t="str">
        <f>IF(AND(B3734&gt;=$B$3034,B3734&lt;=$B$3035),1,0)</f>
      </c>
      <c r="D3734" s="6" t="str">
        <f>IF(OR(D3733=1,C3734=1),1,0)</f>
      </c>
      <c r="E3734" s="6" t="str">
        <f>IF(C3734=1,0,IF(D3733=1,E3733+1,0))</f>
      </c>
      <c r="F3734" s="6" t="str">
        <f>IF(AND(C3734=1,D3733=1),MIN(E3733,3),"")</f>
      </c>
    </row>
    <row r="3735">
      <c r="A3735" s="5">
        <v>697</v>
      </c>
      <c r="B3735" s="5" t="str">
        <f>'Lineal Mixto'!$C$701</f>
      </c>
      <c r="C3735" s="5" t="str">
        <f>IF(AND(B3735&gt;=$B$3034,B3735&lt;=$B$3035),1,0)</f>
      </c>
      <c r="D3735" s="5" t="str">
        <f>IF(OR(D3734=1,C3735=1),1,0)</f>
      </c>
      <c r="E3735" s="5" t="str">
        <f>IF(C3735=1,0,IF(D3734=1,E3734+1,0))</f>
      </c>
      <c r="F3735" s="5" t="str">
        <f>IF(AND(C3735=1,D3734=1),MIN(E3734,3),"")</f>
      </c>
    </row>
    <row r="3736">
      <c r="A3736" s="6">
        <v>698</v>
      </c>
      <c r="B3736" s="6" t="str">
        <f>'Lineal Mixto'!$C$702</f>
      </c>
      <c r="C3736" s="6" t="str">
        <f>IF(AND(B3736&gt;=$B$3034,B3736&lt;=$B$3035),1,0)</f>
      </c>
      <c r="D3736" s="6" t="str">
        <f>IF(OR(D3735=1,C3736=1),1,0)</f>
      </c>
      <c r="E3736" s="6" t="str">
        <f>IF(C3736=1,0,IF(D3735=1,E3735+1,0))</f>
      </c>
      <c r="F3736" s="6" t="str">
        <f>IF(AND(C3736=1,D3735=1),MIN(E3735,3),"")</f>
      </c>
    </row>
    <row r="3737">
      <c r="A3737" s="5">
        <v>699</v>
      </c>
      <c r="B3737" s="5" t="str">
        <f>'Lineal Mixto'!$C$703</f>
      </c>
      <c r="C3737" s="5" t="str">
        <f>IF(AND(B3737&gt;=$B$3034,B3737&lt;=$B$3035),1,0)</f>
      </c>
      <c r="D3737" s="5" t="str">
        <f>IF(OR(D3736=1,C3737=1),1,0)</f>
      </c>
      <c r="E3737" s="5" t="str">
        <f>IF(C3737=1,0,IF(D3736=1,E3736+1,0))</f>
      </c>
      <c r="F3737" s="5" t="str">
        <f>IF(AND(C3737=1,D3736=1),MIN(E3736,3),"")</f>
      </c>
    </row>
    <row r="3738">
      <c r="A3738" s="6">
        <v>700</v>
      </c>
      <c r="B3738" s="6" t="str">
        <f>'Lineal Mixto'!$C$704</f>
      </c>
      <c r="C3738" s="6" t="str">
        <f>IF(AND(B3738&gt;=$B$3034,B3738&lt;=$B$3035),1,0)</f>
      </c>
      <c r="D3738" s="6" t="str">
        <f>IF(OR(D3737=1,C3738=1),1,0)</f>
      </c>
      <c r="E3738" s="6" t="str">
        <f>IF(C3738=1,0,IF(D3737=1,E3737+1,0))</f>
      </c>
      <c r="F3738" s="6" t="str">
        <f>IF(AND(C3738=1,D3737=1),MIN(E3737,3),"")</f>
      </c>
    </row>
    <row r="3739">
      <c r="A3739" s="5">
        <v>701</v>
      </c>
      <c r="B3739" s="5" t="str">
        <f>'Lineal Mixto'!$C$705</f>
      </c>
      <c r="C3739" s="5" t="str">
        <f>IF(AND(B3739&gt;=$B$3034,B3739&lt;=$B$3035),1,0)</f>
      </c>
      <c r="D3739" s="5" t="str">
        <f>IF(OR(D3738=1,C3739=1),1,0)</f>
      </c>
      <c r="E3739" s="5" t="str">
        <f>IF(C3739=1,0,IF(D3738=1,E3738+1,0))</f>
      </c>
      <c r="F3739" s="5" t="str">
        <f>IF(AND(C3739=1,D3738=1),MIN(E3738,3),"")</f>
      </c>
    </row>
    <row r="3740">
      <c r="A3740" s="6">
        <v>702</v>
      </c>
      <c r="B3740" s="6" t="str">
        <f>'Lineal Mixto'!$C$706</f>
      </c>
      <c r="C3740" s="6" t="str">
        <f>IF(AND(B3740&gt;=$B$3034,B3740&lt;=$B$3035),1,0)</f>
      </c>
      <c r="D3740" s="6" t="str">
        <f>IF(OR(D3739=1,C3740=1),1,0)</f>
      </c>
      <c r="E3740" s="6" t="str">
        <f>IF(C3740=1,0,IF(D3739=1,E3739+1,0))</f>
      </c>
      <c r="F3740" s="6" t="str">
        <f>IF(AND(C3740=1,D3739=1),MIN(E3739,3),"")</f>
      </c>
    </row>
    <row r="3741">
      <c r="A3741" s="5">
        <v>703</v>
      </c>
      <c r="B3741" s="5" t="str">
        <f>'Lineal Mixto'!$C$707</f>
      </c>
      <c r="C3741" s="5" t="str">
        <f>IF(AND(B3741&gt;=$B$3034,B3741&lt;=$B$3035),1,0)</f>
      </c>
      <c r="D3741" s="5" t="str">
        <f>IF(OR(D3740=1,C3741=1),1,0)</f>
      </c>
      <c r="E3741" s="5" t="str">
        <f>IF(C3741=1,0,IF(D3740=1,E3740+1,0))</f>
      </c>
      <c r="F3741" s="5" t="str">
        <f>IF(AND(C3741=1,D3740=1),MIN(E3740,3),"")</f>
      </c>
    </row>
    <row r="3742">
      <c r="A3742" s="6">
        <v>704</v>
      </c>
      <c r="B3742" s="6" t="str">
        <f>'Lineal Mixto'!$C$708</f>
      </c>
      <c r="C3742" s="6" t="str">
        <f>IF(AND(B3742&gt;=$B$3034,B3742&lt;=$B$3035),1,0)</f>
      </c>
      <c r="D3742" s="6" t="str">
        <f>IF(OR(D3741=1,C3742=1),1,0)</f>
      </c>
      <c r="E3742" s="6" t="str">
        <f>IF(C3742=1,0,IF(D3741=1,E3741+1,0))</f>
      </c>
      <c r="F3742" s="6" t="str">
        <f>IF(AND(C3742=1,D3741=1),MIN(E3741,3),"")</f>
      </c>
    </row>
    <row r="3743">
      <c r="A3743" s="5">
        <v>705</v>
      </c>
      <c r="B3743" s="5" t="str">
        <f>'Lineal Mixto'!$C$709</f>
      </c>
      <c r="C3743" s="5" t="str">
        <f>IF(AND(B3743&gt;=$B$3034,B3743&lt;=$B$3035),1,0)</f>
      </c>
      <c r="D3743" s="5" t="str">
        <f>IF(OR(D3742=1,C3743=1),1,0)</f>
      </c>
      <c r="E3743" s="5" t="str">
        <f>IF(C3743=1,0,IF(D3742=1,E3742+1,0))</f>
      </c>
      <c r="F3743" s="5" t="str">
        <f>IF(AND(C3743=1,D3742=1),MIN(E3742,3),"")</f>
      </c>
    </row>
    <row r="3744">
      <c r="A3744" s="6">
        <v>706</v>
      </c>
      <c r="B3744" s="6" t="str">
        <f>'Lineal Mixto'!$C$710</f>
      </c>
      <c r="C3744" s="6" t="str">
        <f>IF(AND(B3744&gt;=$B$3034,B3744&lt;=$B$3035),1,0)</f>
      </c>
      <c r="D3744" s="6" t="str">
        <f>IF(OR(D3743=1,C3744=1),1,0)</f>
      </c>
      <c r="E3744" s="6" t="str">
        <f>IF(C3744=1,0,IF(D3743=1,E3743+1,0))</f>
      </c>
      <c r="F3744" s="6" t="str">
        <f>IF(AND(C3744=1,D3743=1),MIN(E3743,3),"")</f>
      </c>
    </row>
    <row r="3745">
      <c r="A3745" s="5">
        <v>707</v>
      </c>
      <c r="B3745" s="5" t="str">
        <f>'Lineal Mixto'!$C$711</f>
      </c>
      <c r="C3745" s="5" t="str">
        <f>IF(AND(B3745&gt;=$B$3034,B3745&lt;=$B$3035),1,0)</f>
      </c>
      <c r="D3745" s="5" t="str">
        <f>IF(OR(D3744=1,C3745=1),1,0)</f>
      </c>
      <c r="E3745" s="5" t="str">
        <f>IF(C3745=1,0,IF(D3744=1,E3744+1,0))</f>
      </c>
      <c r="F3745" s="5" t="str">
        <f>IF(AND(C3745=1,D3744=1),MIN(E3744,3),"")</f>
      </c>
    </row>
    <row r="3746">
      <c r="A3746" s="6">
        <v>708</v>
      </c>
      <c r="B3746" s="6" t="str">
        <f>'Lineal Mixto'!$C$712</f>
      </c>
      <c r="C3746" s="6" t="str">
        <f>IF(AND(B3746&gt;=$B$3034,B3746&lt;=$B$3035),1,0)</f>
      </c>
      <c r="D3746" s="6" t="str">
        <f>IF(OR(D3745=1,C3746=1),1,0)</f>
      </c>
      <c r="E3746" s="6" t="str">
        <f>IF(C3746=1,0,IF(D3745=1,E3745+1,0))</f>
      </c>
      <c r="F3746" s="6" t="str">
        <f>IF(AND(C3746=1,D3745=1),MIN(E3745,3),"")</f>
      </c>
    </row>
    <row r="3747">
      <c r="A3747" s="5">
        <v>709</v>
      </c>
      <c r="B3747" s="5" t="str">
        <f>'Lineal Mixto'!$C$713</f>
      </c>
      <c r="C3747" s="5" t="str">
        <f>IF(AND(B3747&gt;=$B$3034,B3747&lt;=$B$3035),1,0)</f>
      </c>
      <c r="D3747" s="5" t="str">
        <f>IF(OR(D3746=1,C3747=1),1,0)</f>
      </c>
      <c r="E3747" s="5" t="str">
        <f>IF(C3747=1,0,IF(D3746=1,E3746+1,0))</f>
      </c>
      <c r="F3747" s="5" t="str">
        <f>IF(AND(C3747=1,D3746=1),MIN(E3746,3),"")</f>
      </c>
    </row>
    <row r="3748">
      <c r="A3748" s="6">
        <v>710</v>
      </c>
      <c r="B3748" s="6" t="str">
        <f>'Lineal Mixto'!$C$714</f>
      </c>
      <c r="C3748" s="6" t="str">
        <f>IF(AND(B3748&gt;=$B$3034,B3748&lt;=$B$3035),1,0)</f>
      </c>
      <c r="D3748" s="6" t="str">
        <f>IF(OR(D3747=1,C3748=1),1,0)</f>
      </c>
      <c r="E3748" s="6" t="str">
        <f>IF(C3748=1,0,IF(D3747=1,E3747+1,0))</f>
      </c>
      <c r="F3748" s="6" t="str">
        <f>IF(AND(C3748=1,D3747=1),MIN(E3747,3),"")</f>
      </c>
    </row>
    <row r="3749">
      <c r="A3749" s="5">
        <v>711</v>
      </c>
      <c r="B3749" s="5" t="str">
        <f>'Lineal Mixto'!$C$715</f>
      </c>
      <c r="C3749" s="5" t="str">
        <f>IF(AND(B3749&gt;=$B$3034,B3749&lt;=$B$3035),1,0)</f>
      </c>
      <c r="D3749" s="5" t="str">
        <f>IF(OR(D3748=1,C3749=1),1,0)</f>
      </c>
      <c r="E3749" s="5" t="str">
        <f>IF(C3749=1,0,IF(D3748=1,E3748+1,0))</f>
      </c>
      <c r="F3749" s="5" t="str">
        <f>IF(AND(C3749=1,D3748=1),MIN(E3748,3),"")</f>
      </c>
    </row>
    <row r="3750">
      <c r="A3750" s="6">
        <v>712</v>
      </c>
      <c r="B3750" s="6" t="str">
        <f>'Lineal Mixto'!$C$716</f>
      </c>
      <c r="C3750" s="6" t="str">
        <f>IF(AND(B3750&gt;=$B$3034,B3750&lt;=$B$3035),1,0)</f>
      </c>
      <c r="D3750" s="6" t="str">
        <f>IF(OR(D3749=1,C3750=1),1,0)</f>
      </c>
      <c r="E3750" s="6" t="str">
        <f>IF(C3750=1,0,IF(D3749=1,E3749+1,0))</f>
      </c>
      <c r="F3750" s="6" t="str">
        <f>IF(AND(C3750=1,D3749=1),MIN(E3749,3),"")</f>
      </c>
    </row>
    <row r="3751">
      <c r="A3751" s="5">
        <v>713</v>
      </c>
      <c r="B3751" s="5" t="str">
        <f>'Lineal Mixto'!$C$717</f>
      </c>
      <c r="C3751" s="5" t="str">
        <f>IF(AND(B3751&gt;=$B$3034,B3751&lt;=$B$3035),1,0)</f>
      </c>
      <c r="D3751" s="5" t="str">
        <f>IF(OR(D3750=1,C3751=1),1,0)</f>
      </c>
      <c r="E3751" s="5" t="str">
        <f>IF(C3751=1,0,IF(D3750=1,E3750+1,0))</f>
      </c>
      <c r="F3751" s="5" t="str">
        <f>IF(AND(C3751=1,D3750=1),MIN(E3750,3),"")</f>
      </c>
    </row>
    <row r="3752">
      <c r="A3752" s="6">
        <v>714</v>
      </c>
      <c r="B3752" s="6" t="str">
        <f>'Lineal Mixto'!$C$718</f>
      </c>
      <c r="C3752" s="6" t="str">
        <f>IF(AND(B3752&gt;=$B$3034,B3752&lt;=$B$3035),1,0)</f>
      </c>
      <c r="D3752" s="6" t="str">
        <f>IF(OR(D3751=1,C3752=1),1,0)</f>
      </c>
      <c r="E3752" s="6" t="str">
        <f>IF(C3752=1,0,IF(D3751=1,E3751+1,0))</f>
      </c>
      <c r="F3752" s="6" t="str">
        <f>IF(AND(C3752=1,D3751=1),MIN(E3751,3),"")</f>
      </c>
    </row>
    <row r="3753">
      <c r="A3753" s="5">
        <v>715</v>
      </c>
      <c r="B3753" s="5" t="str">
        <f>'Lineal Mixto'!$C$719</f>
      </c>
      <c r="C3753" s="5" t="str">
        <f>IF(AND(B3753&gt;=$B$3034,B3753&lt;=$B$3035),1,0)</f>
      </c>
      <c r="D3753" s="5" t="str">
        <f>IF(OR(D3752=1,C3753=1),1,0)</f>
      </c>
      <c r="E3753" s="5" t="str">
        <f>IF(C3753=1,0,IF(D3752=1,E3752+1,0))</f>
      </c>
      <c r="F3753" s="5" t="str">
        <f>IF(AND(C3753=1,D3752=1),MIN(E3752,3),"")</f>
      </c>
    </row>
    <row r="3754">
      <c r="A3754" s="6">
        <v>716</v>
      </c>
      <c r="B3754" s="6" t="str">
        <f>'Lineal Mixto'!$C$720</f>
      </c>
      <c r="C3754" s="6" t="str">
        <f>IF(AND(B3754&gt;=$B$3034,B3754&lt;=$B$3035),1,0)</f>
      </c>
      <c r="D3754" s="6" t="str">
        <f>IF(OR(D3753=1,C3754=1),1,0)</f>
      </c>
      <c r="E3754" s="6" t="str">
        <f>IF(C3754=1,0,IF(D3753=1,E3753+1,0))</f>
      </c>
      <c r="F3754" s="6" t="str">
        <f>IF(AND(C3754=1,D3753=1),MIN(E3753,3),"")</f>
      </c>
    </row>
    <row r="3755">
      <c r="A3755" s="5">
        <v>717</v>
      </c>
      <c r="B3755" s="5" t="str">
        <f>'Lineal Mixto'!$C$721</f>
      </c>
      <c r="C3755" s="5" t="str">
        <f>IF(AND(B3755&gt;=$B$3034,B3755&lt;=$B$3035),1,0)</f>
      </c>
      <c r="D3755" s="5" t="str">
        <f>IF(OR(D3754=1,C3755=1),1,0)</f>
      </c>
      <c r="E3755" s="5" t="str">
        <f>IF(C3755=1,0,IF(D3754=1,E3754+1,0))</f>
      </c>
      <c r="F3755" s="5" t="str">
        <f>IF(AND(C3755=1,D3754=1),MIN(E3754,3),"")</f>
      </c>
    </row>
    <row r="3756">
      <c r="A3756" s="6">
        <v>718</v>
      </c>
      <c r="B3756" s="6" t="str">
        <f>'Lineal Mixto'!$C$722</f>
      </c>
      <c r="C3756" s="6" t="str">
        <f>IF(AND(B3756&gt;=$B$3034,B3756&lt;=$B$3035),1,0)</f>
      </c>
      <c r="D3756" s="6" t="str">
        <f>IF(OR(D3755=1,C3756=1),1,0)</f>
      </c>
      <c r="E3756" s="6" t="str">
        <f>IF(C3756=1,0,IF(D3755=1,E3755+1,0))</f>
      </c>
      <c r="F3756" s="6" t="str">
        <f>IF(AND(C3756=1,D3755=1),MIN(E3755,3),"")</f>
      </c>
    </row>
    <row r="3757">
      <c r="A3757" s="5">
        <v>719</v>
      </c>
      <c r="B3757" s="5" t="str">
        <f>'Lineal Mixto'!$C$723</f>
      </c>
      <c r="C3757" s="5" t="str">
        <f>IF(AND(B3757&gt;=$B$3034,B3757&lt;=$B$3035),1,0)</f>
      </c>
      <c r="D3757" s="5" t="str">
        <f>IF(OR(D3756=1,C3757=1),1,0)</f>
      </c>
      <c r="E3757" s="5" t="str">
        <f>IF(C3757=1,0,IF(D3756=1,E3756+1,0))</f>
      </c>
      <c r="F3757" s="5" t="str">
        <f>IF(AND(C3757=1,D3756=1),MIN(E3756,3),"")</f>
      </c>
    </row>
    <row r="3758">
      <c r="A3758" s="6">
        <v>720</v>
      </c>
      <c r="B3758" s="6" t="str">
        <f>'Lineal Mixto'!$C$724</f>
      </c>
      <c r="C3758" s="6" t="str">
        <f>IF(AND(B3758&gt;=$B$3034,B3758&lt;=$B$3035),1,0)</f>
      </c>
      <c r="D3758" s="6" t="str">
        <f>IF(OR(D3757=1,C3758=1),1,0)</f>
      </c>
      <c r="E3758" s="6" t="str">
        <f>IF(C3758=1,0,IF(D3757=1,E3757+1,0))</f>
      </c>
      <c r="F3758" s="6" t="str">
        <f>IF(AND(C3758=1,D3757=1),MIN(E3757,3),"")</f>
      </c>
    </row>
    <row r="3759">
      <c r="A3759" s="5">
        <v>721</v>
      </c>
      <c r="B3759" s="5" t="str">
        <f>'Lineal Mixto'!$C$725</f>
      </c>
      <c r="C3759" s="5" t="str">
        <f>IF(AND(B3759&gt;=$B$3034,B3759&lt;=$B$3035),1,0)</f>
      </c>
      <c r="D3759" s="5" t="str">
        <f>IF(OR(D3758=1,C3759=1),1,0)</f>
      </c>
      <c r="E3759" s="5" t="str">
        <f>IF(C3759=1,0,IF(D3758=1,E3758+1,0))</f>
      </c>
      <c r="F3759" s="5" t="str">
        <f>IF(AND(C3759=1,D3758=1),MIN(E3758,3),"")</f>
      </c>
    </row>
    <row r="3760">
      <c r="A3760" s="6">
        <v>722</v>
      </c>
      <c r="B3760" s="6" t="str">
        <f>'Lineal Mixto'!$C$726</f>
      </c>
      <c r="C3760" s="6" t="str">
        <f>IF(AND(B3760&gt;=$B$3034,B3760&lt;=$B$3035),1,0)</f>
      </c>
      <c r="D3760" s="6" t="str">
        <f>IF(OR(D3759=1,C3760=1),1,0)</f>
      </c>
      <c r="E3760" s="6" t="str">
        <f>IF(C3760=1,0,IF(D3759=1,E3759+1,0))</f>
      </c>
      <c r="F3760" s="6" t="str">
        <f>IF(AND(C3760=1,D3759=1),MIN(E3759,3),"")</f>
      </c>
    </row>
    <row r="3761">
      <c r="A3761" s="5">
        <v>723</v>
      </c>
      <c r="B3761" s="5" t="str">
        <f>'Lineal Mixto'!$C$727</f>
      </c>
      <c r="C3761" s="5" t="str">
        <f>IF(AND(B3761&gt;=$B$3034,B3761&lt;=$B$3035),1,0)</f>
      </c>
      <c r="D3761" s="5" t="str">
        <f>IF(OR(D3760=1,C3761=1),1,0)</f>
      </c>
      <c r="E3761" s="5" t="str">
        <f>IF(C3761=1,0,IF(D3760=1,E3760+1,0))</f>
      </c>
      <c r="F3761" s="5" t="str">
        <f>IF(AND(C3761=1,D3760=1),MIN(E3760,3),"")</f>
      </c>
    </row>
    <row r="3762">
      <c r="A3762" s="6">
        <v>724</v>
      </c>
      <c r="B3762" s="6" t="str">
        <f>'Lineal Mixto'!$C$728</f>
      </c>
      <c r="C3762" s="6" t="str">
        <f>IF(AND(B3762&gt;=$B$3034,B3762&lt;=$B$3035),1,0)</f>
      </c>
      <c r="D3762" s="6" t="str">
        <f>IF(OR(D3761=1,C3762=1),1,0)</f>
      </c>
      <c r="E3762" s="6" t="str">
        <f>IF(C3762=1,0,IF(D3761=1,E3761+1,0))</f>
      </c>
      <c r="F3762" s="6" t="str">
        <f>IF(AND(C3762=1,D3761=1),MIN(E3761,3),"")</f>
      </c>
    </row>
    <row r="3763">
      <c r="A3763" s="5">
        <v>725</v>
      </c>
      <c r="B3763" s="5" t="str">
        <f>'Lineal Mixto'!$C$729</f>
      </c>
      <c r="C3763" s="5" t="str">
        <f>IF(AND(B3763&gt;=$B$3034,B3763&lt;=$B$3035),1,0)</f>
      </c>
      <c r="D3763" s="5" t="str">
        <f>IF(OR(D3762=1,C3763=1),1,0)</f>
      </c>
      <c r="E3763" s="5" t="str">
        <f>IF(C3763=1,0,IF(D3762=1,E3762+1,0))</f>
      </c>
      <c r="F3763" s="5" t="str">
        <f>IF(AND(C3763=1,D3762=1),MIN(E3762,3),"")</f>
      </c>
    </row>
    <row r="3764">
      <c r="A3764" s="6">
        <v>726</v>
      </c>
      <c r="B3764" s="6" t="str">
        <f>'Lineal Mixto'!$C$730</f>
      </c>
      <c r="C3764" s="6" t="str">
        <f>IF(AND(B3764&gt;=$B$3034,B3764&lt;=$B$3035),1,0)</f>
      </c>
      <c r="D3764" s="6" t="str">
        <f>IF(OR(D3763=1,C3764=1),1,0)</f>
      </c>
      <c r="E3764" s="6" t="str">
        <f>IF(C3764=1,0,IF(D3763=1,E3763+1,0))</f>
      </c>
      <c r="F3764" s="6" t="str">
        <f>IF(AND(C3764=1,D3763=1),MIN(E3763,3),"")</f>
      </c>
    </row>
    <row r="3765">
      <c r="A3765" s="5">
        <v>727</v>
      </c>
      <c r="B3765" s="5" t="str">
        <f>'Lineal Mixto'!$C$731</f>
      </c>
      <c r="C3765" s="5" t="str">
        <f>IF(AND(B3765&gt;=$B$3034,B3765&lt;=$B$3035),1,0)</f>
      </c>
      <c r="D3765" s="5" t="str">
        <f>IF(OR(D3764=1,C3765=1),1,0)</f>
      </c>
      <c r="E3765" s="5" t="str">
        <f>IF(C3765=1,0,IF(D3764=1,E3764+1,0))</f>
      </c>
      <c r="F3765" s="5" t="str">
        <f>IF(AND(C3765=1,D3764=1),MIN(E3764,3),"")</f>
      </c>
    </row>
    <row r="3766">
      <c r="A3766" s="6">
        <v>728</v>
      </c>
      <c r="B3766" s="6" t="str">
        <f>'Lineal Mixto'!$C$732</f>
      </c>
      <c r="C3766" s="6" t="str">
        <f>IF(AND(B3766&gt;=$B$3034,B3766&lt;=$B$3035),1,0)</f>
      </c>
      <c r="D3766" s="6" t="str">
        <f>IF(OR(D3765=1,C3766=1),1,0)</f>
      </c>
      <c r="E3766" s="6" t="str">
        <f>IF(C3766=1,0,IF(D3765=1,E3765+1,0))</f>
      </c>
      <c r="F3766" s="6" t="str">
        <f>IF(AND(C3766=1,D3765=1),MIN(E3765,3),"")</f>
      </c>
    </row>
    <row r="3767">
      <c r="A3767" s="5">
        <v>729</v>
      </c>
      <c r="B3767" s="5" t="str">
        <f>'Lineal Mixto'!$C$733</f>
      </c>
      <c r="C3767" s="5" t="str">
        <f>IF(AND(B3767&gt;=$B$3034,B3767&lt;=$B$3035),1,0)</f>
      </c>
      <c r="D3767" s="5" t="str">
        <f>IF(OR(D3766=1,C3767=1),1,0)</f>
      </c>
      <c r="E3767" s="5" t="str">
        <f>IF(C3767=1,0,IF(D3766=1,E3766+1,0))</f>
      </c>
      <c r="F3767" s="5" t="str">
        <f>IF(AND(C3767=1,D3766=1),MIN(E3766,3),"")</f>
      </c>
    </row>
    <row r="3768">
      <c r="A3768" s="6">
        <v>730</v>
      </c>
      <c r="B3768" s="6" t="str">
        <f>'Lineal Mixto'!$C$734</f>
      </c>
      <c r="C3768" s="6" t="str">
        <f>IF(AND(B3768&gt;=$B$3034,B3768&lt;=$B$3035),1,0)</f>
      </c>
      <c r="D3768" s="6" t="str">
        <f>IF(OR(D3767=1,C3768=1),1,0)</f>
      </c>
      <c r="E3768" s="6" t="str">
        <f>IF(C3768=1,0,IF(D3767=1,E3767+1,0))</f>
      </c>
      <c r="F3768" s="6" t="str">
        <f>IF(AND(C3768=1,D3767=1),MIN(E3767,3),"")</f>
      </c>
    </row>
    <row r="3769">
      <c r="A3769" s="5">
        <v>731</v>
      </c>
      <c r="B3769" s="5" t="str">
        <f>'Lineal Mixto'!$C$735</f>
      </c>
      <c r="C3769" s="5" t="str">
        <f>IF(AND(B3769&gt;=$B$3034,B3769&lt;=$B$3035),1,0)</f>
      </c>
      <c r="D3769" s="5" t="str">
        <f>IF(OR(D3768=1,C3769=1),1,0)</f>
      </c>
      <c r="E3769" s="5" t="str">
        <f>IF(C3769=1,0,IF(D3768=1,E3768+1,0))</f>
      </c>
      <c r="F3769" s="5" t="str">
        <f>IF(AND(C3769=1,D3768=1),MIN(E3768,3),"")</f>
      </c>
    </row>
    <row r="3770">
      <c r="A3770" s="6">
        <v>732</v>
      </c>
      <c r="B3770" s="6" t="str">
        <f>'Lineal Mixto'!$C$736</f>
      </c>
      <c r="C3770" s="6" t="str">
        <f>IF(AND(B3770&gt;=$B$3034,B3770&lt;=$B$3035),1,0)</f>
      </c>
      <c r="D3770" s="6" t="str">
        <f>IF(OR(D3769=1,C3770=1),1,0)</f>
      </c>
      <c r="E3770" s="6" t="str">
        <f>IF(C3770=1,0,IF(D3769=1,E3769+1,0))</f>
      </c>
      <c r="F3770" s="6" t="str">
        <f>IF(AND(C3770=1,D3769=1),MIN(E3769,3),"")</f>
      </c>
    </row>
    <row r="3771">
      <c r="A3771" s="5">
        <v>733</v>
      </c>
      <c r="B3771" s="5" t="str">
        <f>'Lineal Mixto'!$C$737</f>
      </c>
      <c r="C3771" s="5" t="str">
        <f>IF(AND(B3771&gt;=$B$3034,B3771&lt;=$B$3035),1,0)</f>
      </c>
      <c r="D3771" s="5" t="str">
        <f>IF(OR(D3770=1,C3771=1),1,0)</f>
      </c>
      <c r="E3771" s="5" t="str">
        <f>IF(C3771=1,0,IF(D3770=1,E3770+1,0))</f>
      </c>
      <c r="F3771" s="5" t="str">
        <f>IF(AND(C3771=1,D3770=1),MIN(E3770,3),"")</f>
      </c>
    </row>
    <row r="3772">
      <c r="A3772" s="6">
        <v>734</v>
      </c>
      <c r="B3772" s="6" t="str">
        <f>'Lineal Mixto'!$C$738</f>
      </c>
      <c r="C3772" s="6" t="str">
        <f>IF(AND(B3772&gt;=$B$3034,B3772&lt;=$B$3035),1,0)</f>
      </c>
      <c r="D3772" s="6" t="str">
        <f>IF(OR(D3771=1,C3772=1),1,0)</f>
      </c>
      <c r="E3772" s="6" t="str">
        <f>IF(C3772=1,0,IF(D3771=1,E3771+1,0))</f>
      </c>
      <c r="F3772" s="6" t="str">
        <f>IF(AND(C3772=1,D3771=1),MIN(E3771,3),"")</f>
      </c>
    </row>
    <row r="3773">
      <c r="A3773" s="5">
        <v>735</v>
      </c>
      <c r="B3773" s="5" t="str">
        <f>'Lineal Mixto'!$C$739</f>
      </c>
      <c r="C3773" s="5" t="str">
        <f>IF(AND(B3773&gt;=$B$3034,B3773&lt;=$B$3035),1,0)</f>
      </c>
      <c r="D3773" s="5" t="str">
        <f>IF(OR(D3772=1,C3773=1),1,0)</f>
      </c>
      <c r="E3773" s="5" t="str">
        <f>IF(C3773=1,0,IF(D3772=1,E3772+1,0))</f>
      </c>
      <c r="F3773" s="5" t="str">
        <f>IF(AND(C3773=1,D3772=1),MIN(E3772,3),"")</f>
      </c>
    </row>
    <row r="3774">
      <c r="A3774" s="6">
        <v>736</v>
      </c>
      <c r="B3774" s="6" t="str">
        <f>'Lineal Mixto'!$C$740</f>
      </c>
      <c r="C3774" s="6" t="str">
        <f>IF(AND(B3774&gt;=$B$3034,B3774&lt;=$B$3035),1,0)</f>
      </c>
      <c r="D3774" s="6" t="str">
        <f>IF(OR(D3773=1,C3774=1),1,0)</f>
      </c>
      <c r="E3774" s="6" t="str">
        <f>IF(C3774=1,0,IF(D3773=1,E3773+1,0))</f>
      </c>
      <c r="F3774" s="6" t="str">
        <f>IF(AND(C3774=1,D3773=1),MIN(E3773,3),"")</f>
      </c>
    </row>
    <row r="3775">
      <c r="A3775" s="5">
        <v>737</v>
      </c>
      <c r="B3775" s="5" t="str">
        <f>'Lineal Mixto'!$C$741</f>
      </c>
      <c r="C3775" s="5" t="str">
        <f>IF(AND(B3775&gt;=$B$3034,B3775&lt;=$B$3035),1,0)</f>
      </c>
      <c r="D3775" s="5" t="str">
        <f>IF(OR(D3774=1,C3775=1),1,0)</f>
      </c>
      <c r="E3775" s="5" t="str">
        <f>IF(C3775=1,0,IF(D3774=1,E3774+1,0))</f>
      </c>
      <c r="F3775" s="5" t="str">
        <f>IF(AND(C3775=1,D3774=1),MIN(E3774,3),"")</f>
      </c>
    </row>
    <row r="3776">
      <c r="A3776" s="6">
        <v>738</v>
      </c>
      <c r="B3776" s="6" t="str">
        <f>'Lineal Mixto'!$C$742</f>
      </c>
      <c r="C3776" s="6" t="str">
        <f>IF(AND(B3776&gt;=$B$3034,B3776&lt;=$B$3035),1,0)</f>
      </c>
      <c r="D3776" s="6" t="str">
        <f>IF(OR(D3775=1,C3776=1),1,0)</f>
      </c>
      <c r="E3776" s="6" t="str">
        <f>IF(C3776=1,0,IF(D3775=1,E3775+1,0))</f>
      </c>
      <c r="F3776" s="6" t="str">
        <f>IF(AND(C3776=1,D3775=1),MIN(E3775,3),"")</f>
      </c>
    </row>
    <row r="3777">
      <c r="A3777" s="5">
        <v>739</v>
      </c>
      <c r="B3777" s="5" t="str">
        <f>'Lineal Mixto'!$C$743</f>
      </c>
      <c r="C3777" s="5" t="str">
        <f>IF(AND(B3777&gt;=$B$3034,B3777&lt;=$B$3035),1,0)</f>
      </c>
      <c r="D3777" s="5" t="str">
        <f>IF(OR(D3776=1,C3777=1),1,0)</f>
      </c>
      <c r="E3777" s="5" t="str">
        <f>IF(C3777=1,0,IF(D3776=1,E3776+1,0))</f>
      </c>
      <c r="F3777" s="5" t="str">
        <f>IF(AND(C3777=1,D3776=1),MIN(E3776,3),"")</f>
      </c>
    </row>
    <row r="3778">
      <c r="A3778" s="6">
        <v>740</v>
      </c>
      <c r="B3778" s="6" t="str">
        <f>'Lineal Mixto'!$C$744</f>
      </c>
      <c r="C3778" s="6" t="str">
        <f>IF(AND(B3778&gt;=$B$3034,B3778&lt;=$B$3035),1,0)</f>
      </c>
      <c r="D3778" s="6" t="str">
        <f>IF(OR(D3777=1,C3778=1),1,0)</f>
      </c>
      <c r="E3778" s="6" t="str">
        <f>IF(C3778=1,0,IF(D3777=1,E3777+1,0))</f>
      </c>
      <c r="F3778" s="6" t="str">
        <f>IF(AND(C3778=1,D3777=1),MIN(E3777,3),"")</f>
      </c>
    </row>
    <row r="3779">
      <c r="A3779" s="5">
        <v>741</v>
      </c>
      <c r="B3779" s="5" t="str">
        <f>'Lineal Mixto'!$C$745</f>
      </c>
      <c r="C3779" s="5" t="str">
        <f>IF(AND(B3779&gt;=$B$3034,B3779&lt;=$B$3035),1,0)</f>
      </c>
      <c r="D3779" s="5" t="str">
        <f>IF(OR(D3778=1,C3779=1),1,0)</f>
      </c>
      <c r="E3779" s="5" t="str">
        <f>IF(C3779=1,0,IF(D3778=1,E3778+1,0))</f>
      </c>
      <c r="F3779" s="5" t="str">
        <f>IF(AND(C3779=1,D3778=1),MIN(E3778,3),"")</f>
      </c>
    </row>
    <row r="3780">
      <c r="A3780" s="6">
        <v>742</v>
      </c>
      <c r="B3780" s="6" t="str">
        <f>'Lineal Mixto'!$C$746</f>
      </c>
      <c r="C3780" s="6" t="str">
        <f>IF(AND(B3780&gt;=$B$3034,B3780&lt;=$B$3035),1,0)</f>
      </c>
      <c r="D3780" s="6" t="str">
        <f>IF(OR(D3779=1,C3780=1),1,0)</f>
      </c>
      <c r="E3780" s="6" t="str">
        <f>IF(C3780=1,0,IF(D3779=1,E3779+1,0))</f>
      </c>
      <c r="F3780" s="6" t="str">
        <f>IF(AND(C3780=1,D3779=1),MIN(E3779,3),"")</f>
      </c>
    </row>
    <row r="3781">
      <c r="A3781" s="5">
        <v>743</v>
      </c>
      <c r="B3781" s="5" t="str">
        <f>'Lineal Mixto'!$C$747</f>
      </c>
      <c r="C3781" s="5" t="str">
        <f>IF(AND(B3781&gt;=$B$3034,B3781&lt;=$B$3035),1,0)</f>
      </c>
      <c r="D3781" s="5" t="str">
        <f>IF(OR(D3780=1,C3781=1),1,0)</f>
      </c>
      <c r="E3781" s="5" t="str">
        <f>IF(C3781=1,0,IF(D3780=1,E3780+1,0))</f>
      </c>
      <c r="F3781" s="5" t="str">
        <f>IF(AND(C3781=1,D3780=1),MIN(E3780,3),"")</f>
      </c>
    </row>
    <row r="3782">
      <c r="A3782" s="6">
        <v>744</v>
      </c>
      <c r="B3782" s="6" t="str">
        <f>'Lineal Mixto'!$C$748</f>
      </c>
      <c r="C3782" s="6" t="str">
        <f>IF(AND(B3782&gt;=$B$3034,B3782&lt;=$B$3035),1,0)</f>
      </c>
      <c r="D3782" s="6" t="str">
        <f>IF(OR(D3781=1,C3782=1),1,0)</f>
      </c>
      <c r="E3782" s="6" t="str">
        <f>IF(C3782=1,0,IF(D3781=1,E3781+1,0))</f>
      </c>
      <c r="F3782" s="6" t="str">
        <f>IF(AND(C3782=1,D3781=1),MIN(E3781,3),"")</f>
      </c>
    </row>
    <row r="3783">
      <c r="A3783" s="5">
        <v>745</v>
      </c>
      <c r="B3783" s="5" t="str">
        <f>'Lineal Mixto'!$C$749</f>
      </c>
      <c r="C3783" s="5" t="str">
        <f>IF(AND(B3783&gt;=$B$3034,B3783&lt;=$B$3035),1,0)</f>
      </c>
      <c r="D3783" s="5" t="str">
        <f>IF(OR(D3782=1,C3783=1),1,0)</f>
      </c>
      <c r="E3783" s="5" t="str">
        <f>IF(C3783=1,0,IF(D3782=1,E3782+1,0))</f>
      </c>
      <c r="F3783" s="5" t="str">
        <f>IF(AND(C3783=1,D3782=1),MIN(E3782,3),"")</f>
      </c>
    </row>
    <row r="3784">
      <c r="A3784" s="6">
        <v>746</v>
      </c>
      <c r="B3784" s="6" t="str">
        <f>'Lineal Mixto'!$C$750</f>
      </c>
      <c r="C3784" s="6" t="str">
        <f>IF(AND(B3784&gt;=$B$3034,B3784&lt;=$B$3035),1,0)</f>
      </c>
      <c r="D3784" s="6" t="str">
        <f>IF(OR(D3783=1,C3784=1),1,0)</f>
      </c>
      <c r="E3784" s="6" t="str">
        <f>IF(C3784=1,0,IF(D3783=1,E3783+1,0))</f>
      </c>
      <c r="F3784" s="6" t="str">
        <f>IF(AND(C3784=1,D3783=1),MIN(E3783,3),"")</f>
      </c>
    </row>
    <row r="3785">
      <c r="A3785" s="5">
        <v>747</v>
      </c>
      <c r="B3785" s="5" t="str">
        <f>'Lineal Mixto'!$C$751</f>
      </c>
      <c r="C3785" s="5" t="str">
        <f>IF(AND(B3785&gt;=$B$3034,B3785&lt;=$B$3035),1,0)</f>
      </c>
      <c r="D3785" s="5" t="str">
        <f>IF(OR(D3784=1,C3785=1),1,0)</f>
      </c>
      <c r="E3785" s="5" t="str">
        <f>IF(C3785=1,0,IF(D3784=1,E3784+1,0))</f>
      </c>
      <c r="F3785" s="5" t="str">
        <f>IF(AND(C3785=1,D3784=1),MIN(E3784,3),"")</f>
      </c>
    </row>
    <row r="3786">
      <c r="A3786" s="6">
        <v>748</v>
      </c>
      <c r="B3786" s="6" t="str">
        <f>'Lineal Mixto'!$C$752</f>
      </c>
      <c r="C3786" s="6" t="str">
        <f>IF(AND(B3786&gt;=$B$3034,B3786&lt;=$B$3035),1,0)</f>
      </c>
      <c r="D3786" s="6" t="str">
        <f>IF(OR(D3785=1,C3786=1),1,0)</f>
      </c>
      <c r="E3786" s="6" t="str">
        <f>IF(C3786=1,0,IF(D3785=1,E3785+1,0))</f>
      </c>
      <c r="F3786" s="6" t="str">
        <f>IF(AND(C3786=1,D3785=1),MIN(E3785,3),"")</f>
      </c>
    </row>
    <row r="3787">
      <c r="A3787" s="5">
        <v>749</v>
      </c>
      <c r="B3787" s="5" t="str">
        <f>'Lineal Mixto'!$C$753</f>
      </c>
      <c r="C3787" s="5" t="str">
        <f>IF(AND(B3787&gt;=$B$3034,B3787&lt;=$B$3035),1,0)</f>
      </c>
      <c r="D3787" s="5" t="str">
        <f>IF(OR(D3786=1,C3787=1),1,0)</f>
      </c>
      <c r="E3787" s="5" t="str">
        <f>IF(C3787=1,0,IF(D3786=1,E3786+1,0))</f>
      </c>
      <c r="F3787" s="5" t="str">
        <f>IF(AND(C3787=1,D3786=1),MIN(E3786,3),"")</f>
      </c>
    </row>
    <row r="3788">
      <c r="A3788" s="6">
        <v>750</v>
      </c>
      <c r="B3788" s="6" t="str">
        <f>'Lineal Mixto'!$C$754</f>
      </c>
      <c r="C3788" s="6" t="str">
        <f>IF(AND(B3788&gt;=$B$3034,B3788&lt;=$B$3035),1,0)</f>
      </c>
      <c r="D3788" s="6" t="str">
        <f>IF(OR(D3787=1,C3788=1),1,0)</f>
      </c>
      <c r="E3788" s="6" t="str">
        <f>IF(C3788=1,0,IF(D3787=1,E3787+1,0))</f>
      </c>
      <c r="F3788" s="6" t="str">
        <f>IF(AND(C3788=1,D3787=1),MIN(E3787,3),"")</f>
      </c>
    </row>
    <row r="3789">
      <c r="A3789" s="5">
        <v>751</v>
      </c>
      <c r="B3789" s="5" t="str">
        <f>'Lineal Mixto'!$C$755</f>
      </c>
      <c r="C3789" s="5" t="str">
        <f>IF(AND(B3789&gt;=$B$3034,B3789&lt;=$B$3035),1,0)</f>
      </c>
      <c r="D3789" s="5" t="str">
        <f>IF(OR(D3788=1,C3789=1),1,0)</f>
      </c>
      <c r="E3789" s="5" t="str">
        <f>IF(C3789=1,0,IF(D3788=1,E3788+1,0))</f>
      </c>
      <c r="F3789" s="5" t="str">
        <f>IF(AND(C3789=1,D3788=1),MIN(E3788,3),"")</f>
      </c>
    </row>
    <row r="3790">
      <c r="A3790" s="6">
        <v>752</v>
      </c>
      <c r="B3790" s="6" t="str">
        <f>'Lineal Mixto'!$C$756</f>
      </c>
      <c r="C3790" s="6" t="str">
        <f>IF(AND(B3790&gt;=$B$3034,B3790&lt;=$B$3035),1,0)</f>
      </c>
      <c r="D3790" s="6" t="str">
        <f>IF(OR(D3789=1,C3790=1),1,0)</f>
      </c>
      <c r="E3790" s="6" t="str">
        <f>IF(C3790=1,0,IF(D3789=1,E3789+1,0))</f>
      </c>
      <c r="F3790" s="6" t="str">
        <f>IF(AND(C3790=1,D3789=1),MIN(E3789,3),"")</f>
      </c>
    </row>
    <row r="3791">
      <c r="A3791" s="5">
        <v>753</v>
      </c>
      <c r="B3791" s="5" t="str">
        <f>'Lineal Mixto'!$C$757</f>
      </c>
      <c r="C3791" s="5" t="str">
        <f>IF(AND(B3791&gt;=$B$3034,B3791&lt;=$B$3035),1,0)</f>
      </c>
      <c r="D3791" s="5" t="str">
        <f>IF(OR(D3790=1,C3791=1),1,0)</f>
      </c>
      <c r="E3791" s="5" t="str">
        <f>IF(C3791=1,0,IF(D3790=1,E3790+1,0))</f>
      </c>
      <c r="F3791" s="5" t="str">
        <f>IF(AND(C3791=1,D3790=1),MIN(E3790,3),"")</f>
      </c>
    </row>
    <row r="3792">
      <c r="A3792" s="6">
        <v>754</v>
      </c>
      <c r="B3792" s="6" t="str">
        <f>'Lineal Mixto'!$C$758</f>
      </c>
      <c r="C3792" s="6" t="str">
        <f>IF(AND(B3792&gt;=$B$3034,B3792&lt;=$B$3035),1,0)</f>
      </c>
      <c r="D3792" s="6" t="str">
        <f>IF(OR(D3791=1,C3792=1),1,0)</f>
      </c>
      <c r="E3792" s="6" t="str">
        <f>IF(C3792=1,0,IF(D3791=1,E3791+1,0))</f>
      </c>
      <c r="F3792" s="6" t="str">
        <f>IF(AND(C3792=1,D3791=1),MIN(E3791,3),"")</f>
      </c>
    </row>
    <row r="3793">
      <c r="A3793" s="5">
        <v>755</v>
      </c>
      <c r="B3793" s="5" t="str">
        <f>'Lineal Mixto'!$C$759</f>
      </c>
      <c r="C3793" s="5" t="str">
        <f>IF(AND(B3793&gt;=$B$3034,B3793&lt;=$B$3035),1,0)</f>
      </c>
      <c r="D3793" s="5" t="str">
        <f>IF(OR(D3792=1,C3793=1),1,0)</f>
      </c>
      <c r="E3793" s="5" t="str">
        <f>IF(C3793=1,0,IF(D3792=1,E3792+1,0))</f>
      </c>
      <c r="F3793" s="5" t="str">
        <f>IF(AND(C3793=1,D3792=1),MIN(E3792,3),"")</f>
      </c>
    </row>
    <row r="3794">
      <c r="A3794" s="6">
        <v>756</v>
      </c>
      <c r="B3794" s="6" t="str">
        <f>'Lineal Mixto'!$C$760</f>
      </c>
      <c r="C3794" s="6" t="str">
        <f>IF(AND(B3794&gt;=$B$3034,B3794&lt;=$B$3035),1,0)</f>
      </c>
      <c r="D3794" s="6" t="str">
        <f>IF(OR(D3793=1,C3794=1),1,0)</f>
      </c>
      <c r="E3794" s="6" t="str">
        <f>IF(C3794=1,0,IF(D3793=1,E3793+1,0))</f>
      </c>
      <c r="F3794" s="6" t="str">
        <f>IF(AND(C3794=1,D3793=1),MIN(E3793,3),"")</f>
      </c>
    </row>
    <row r="3795">
      <c r="A3795" s="5">
        <v>757</v>
      </c>
      <c r="B3795" s="5" t="str">
        <f>'Lineal Mixto'!$C$761</f>
      </c>
      <c r="C3795" s="5" t="str">
        <f>IF(AND(B3795&gt;=$B$3034,B3795&lt;=$B$3035),1,0)</f>
      </c>
      <c r="D3795" s="5" t="str">
        <f>IF(OR(D3794=1,C3795=1),1,0)</f>
      </c>
      <c r="E3795" s="5" t="str">
        <f>IF(C3795=1,0,IF(D3794=1,E3794+1,0))</f>
      </c>
      <c r="F3795" s="5" t="str">
        <f>IF(AND(C3795=1,D3794=1),MIN(E3794,3),"")</f>
      </c>
    </row>
    <row r="3796">
      <c r="A3796" s="6">
        <v>758</v>
      </c>
      <c r="B3796" s="6" t="str">
        <f>'Lineal Mixto'!$C$762</f>
      </c>
      <c r="C3796" s="6" t="str">
        <f>IF(AND(B3796&gt;=$B$3034,B3796&lt;=$B$3035),1,0)</f>
      </c>
      <c r="D3796" s="6" t="str">
        <f>IF(OR(D3795=1,C3796=1),1,0)</f>
      </c>
      <c r="E3796" s="6" t="str">
        <f>IF(C3796=1,0,IF(D3795=1,E3795+1,0))</f>
      </c>
      <c r="F3796" s="6" t="str">
        <f>IF(AND(C3796=1,D3795=1),MIN(E3795,3),"")</f>
      </c>
    </row>
    <row r="3797">
      <c r="A3797" s="5">
        <v>759</v>
      </c>
      <c r="B3797" s="5" t="str">
        <f>'Lineal Mixto'!$C$763</f>
      </c>
      <c r="C3797" s="5" t="str">
        <f>IF(AND(B3797&gt;=$B$3034,B3797&lt;=$B$3035),1,0)</f>
      </c>
      <c r="D3797" s="5" t="str">
        <f>IF(OR(D3796=1,C3797=1),1,0)</f>
      </c>
      <c r="E3797" s="5" t="str">
        <f>IF(C3797=1,0,IF(D3796=1,E3796+1,0))</f>
      </c>
      <c r="F3797" s="5" t="str">
        <f>IF(AND(C3797=1,D3796=1),MIN(E3796,3),"")</f>
      </c>
    </row>
    <row r="3798">
      <c r="A3798" s="6">
        <v>760</v>
      </c>
      <c r="B3798" s="6" t="str">
        <f>'Lineal Mixto'!$C$764</f>
      </c>
      <c r="C3798" s="6" t="str">
        <f>IF(AND(B3798&gt;=$B$3034,B3798&lt;=$B$3035),1,0)</f>
      </c>
      <c r="D3798" s="6" t="str">
        <f>IF(OR(D3797=1,C3798=1),1,0)</f>
      </c>
      <c r="E3798" s="6" t="str">
        <f>IF(C3798=1,0,IF(D3797=1,E3797+1,0))</f>
      </c>
      <c r="F3798" s="6" t="str">
        <f>IF(AND(C3798=1,D3797=1),MIN(E3797,3),"")</f>
      </c>
    </row>
    <row r="3799">
      <c r="A3799" s="5">
        <v>761</v>
      </c>
      <c r="B3799" s="5" t="str">
        <f>'Lineal Mixto'!$C$765</f>
      </c>
      <c r="C3799" s="5" t="str">
        <f>IF(AND(B3799&gt;=$B$3034,B3799&lt;=$B$3035),1,0)</f>
      </c>
      <c r="D3799" s="5" t="str">
        <f>IF(OR(D3798=1,C3799=1),1,0)</f>
      </c>
      <c r="E3799" s="5" t="str">
        <f>IF(C3799=1,0,IF(D3798=1,E3798+1,0))</f>
      </c>
      <c r="F3799" s="5" t="str">
        <f>IF(AND(C3799=1,D3798=1),MIN(E3798,3),"")</f>
      </c>
    </row>
    <row r="3800">
      <c r="A3800" s="6">
        <v>762</v>
      </c>
      <c r="B3800" s="6" t="str">
        <f>'Lineal Mixto'!$C$766</f>
      </c>
      <c r="C3800" s="6" t="str">
        <f>IF(AND(B3800&gt;=$B$3034,B3800&lt;=$B$3035),1,0)</f>
      </c>
      <c r="D3800" s="6" t="str">
        <f>IF(OR(D3799=1,C3800=1),1,0)</f>
      </c>
      <c r="E3800" s="6" t="str">
        <f>IF(C3800=1,0,IF(D3799=1,E3799+1,0))</f>
      </c>
      <c r="F3800" s="6" t="str">
        <f>IF(AND(C3800=1,D3799=1),MIN(E3799,3),"")</f>
      </c>
    </row>
    <row r="3801">
      <c r="A3801" s="5">
        <v>763</v>
      </c>
      <c r="B3801" s="5" t="str">
        <f>'Lineal Mixto'!$C$767</f>
      </c>
      <c r="C3801" s="5" t="str">
        <f>IF(AND(B3801&gt;=$B$3034,B3801&lt;=$B$3035),1,0)</f>
      </c>
      <c r="D3801" s="5" t="str">
        <f>IF(OR(D3800=1,C3801=1),1,0)</f>
      </c>
      <c r="E3801" s="5" t="str">
        <f>IF(C3801=1,0,IF(D3800=1,E3800+1,0))</f>
      </c>
      <c r="F3801" s="5" t="str">
        <f>IF(AND(C3801=1,D3800=1),MIN(E3800,3),"")</f>
      </c>
    </row>
    <row r="3802">
      <c r="A3802" s="6">
        <v>764</v>
      </c>
      <c r="B3802" s="6" t="str">
        <f>'Lineal Mixto'!$C$768</f>
      </c>
      <c r="C3802" s="6" t="str">
        <f>IF(AND(B3802&gt;=$B$3034,B3802&lt;=$B$3035),1,0)</f>
      </c>
      <c r="D3802" s="6" t="str">
        <f>IF(OR(D3801=1,C3802=1),1,0)</f>
      </c>
      <c r="E3802" s="6" t="str">
        <f>IF(C3802=1,0,IF(D3801=1,E3801+1,0))</f>
      </c>
      <c r="F3802" s="6" t="str">
        <f>IF(AND(C3802=1,D3801=1),MIN(E3801,3),"")</f>
      </c>
    </row>
    <row r="3803">
      <c r="A3803" s="5">
        <v>765</v>
      </c>
      <c r="B3803" s="5" t="str">
        <f>'Lineal Mixto'!$C$769</f>
      </c>
      <c r="C3803" s="5" t="str">
        <f>IF(AND(B3803&gt;=$B$3034,B3803&lt;=$B$3035),1,0)</f>
      </c>
      <c r="D3803" s="5" t="str">
        <f>IF(OR(D3802=1,C3803=1),1,0)</f>
      </c>
      <c r="E3803" s="5" t="str">
        <f>IF(C3803=1,0,IF(D3802=1,E3802+1,0))</f>
      </c>
      <c r="F3803" s="5" t="str">
        <f>IF(AND(C3803=1,D3802=1),MIN(E3802,3),"")</f>
      </c>
    </row>
    <row r="3804">
      <c r="A3804" s="6">
        <v>766</v>
      </c>
      <c r="B3804" s="6" t="str">
        <f>'Lineal Mixto'!$C$770</f>
      </c>
      <c r="C3804" s="6" t="str">
        <f>IF(AND(B3804&gt;=$B$3034,B3804&lt;=$B$3035),1,0)</f>
      </c>
      <c r="D3804" s="6" t="str">
        <f>IF(OR(D3803=1,C3804=1),1,0)</f>
      </c>
      <c r="E3804" s="6" t="str">
        <f>IF(C3804=1,0,IF(D3803=1,E3803+1,0))</f>
      </c>
      <c r="F3804" s="6" t="str">
        <f>IF(AND(C3804=1,D3803=1),MIN(E3803,3),"")</f>
      </c>
    </row>
    <row r="3805">
      <c r="A3805" s="5">
        <v>767</v>
      </c>
      <c r="B3805" s="5" t="str">
        <f>'Lineal Mixto'!$C$771</f>
      </c>
      <c r="C3805" s="5" t="str">
        <f>IF(AND(B3805&gt;=$B$3034,B3805&lt;=$B$3035),1,0)</f>
      </c>
      <c r="D3805" s="5" t="str">
        <f>IF(OR(D3804=1,C3805=1),1,0)</f>
      </c>
      <c r="E3805" s="5" t="str">
        <f>IF(C3805=1,0,IF(D3804=1,E3804+1,0))</f>
      </c>
      <c r="F3805" s="5" t="str">
        <f>IF(AND(C3805=1,D3804=1),MIN(E3804,3),"")</f>
      </c>
    </row>
    <row r="3806">
      <c r="A3806" s="6">
        <v>768</v>
      </c>
      <c r="B3806" s="6" t="str">
        <f>'Lineal Mixto'!$C$772</f>
      </c>
      <c r="C3806" s="6" t="str">
        <f>IF(AND(B3806&gt;=$B$3034,B3806&lt;=$B$3035),1,0)</f>
      </c>
      <c r="D3806" s="6" t="str">
        <f>IF(OR(D3805=1,C3806=1),1,0)</f>
      </c>
      <c r="E3806" s="6" t="str">
        <f>IF(C3806=1,0,IF(D3805=1,E3805+1,0))</f>
      </c>
      <c r="F3806" s="6" t="str">
        <f>IF(AND(C3806=1,D3805=1),MIN(E3805,3),"")</f>
      </c>
    </row>
    <row r="3807">
      <c r="A3807" s="5">
        <v>769</v>
      </c>
      <c r="B3807" s="5" t="str">
        <f>'Lineal Mixto'!$C$773</f>
      </c>
      <c r="C3807" s="5" t="str">
        <f>IF(AND(B3807&gt;=$B$3034,B3807&lt;=$B$3035),1,0)</f>
      </c>
      <c r="D3807" s="5" t="str">
        <f>IF(OR(D3806=1,C3807=1),1,0)</f>
      </c>
      <c r="E3807" s="5" t="str">
        <f>IF(C3807=1,0,IF(D3806=1,E3806+1,0))</f>
      </c>
      <c r="F3807" s="5" t="str">
        <f>IF(AND(C3807=1,D3806=1),MIN(E3806,3),"")</f>
      </c>
    </row>
    <row r="3808">
      <c r="A3808" s="6">
        <v>770</v>
      </c>
      <c r="B3808" s="6" t="str">
        <f>'Lineal Mixto'!$C$774</f>
      </c>
      <c r="C3808" s="6" t="str">
        <f>IF(AND(B3808&gt;=$B$3034,B3808&lt;=$B$3035),1,0)</f>
      </c>
      <c r="D3808" s="6" t="str">
        <f>IF(OR(D3807=1,C3808=1),1,0)</f>
      </c>
      <c r="E3808" s="6" t="str">
        <f>IF(C3808=1,0,IF(D3807=1,E3807+1,0))</f>
      </c>
      <c r="F3808" s="6" t="str">
        <f>IF(AND(C3808=1,D3807=1),MIN(E3807,3),"")</f>
      </c>
    </row>
    <row r="3809">
      <c r="A3809" s="5">
        <v>771</v>
      </c>
      <c r="B3809" s="5" t="str">
        <f>'Lineal Mixto'!$C$775</f>
      </c>
      <c r="C3809" s="5" t="str">
        <f>IF(AND(B3809&gt;=$B$3034,B3809&lt;=$B$3035),1,0)</f>
      </c>
      <c r="D3809" s="5" t="str">
        <f>IF(OR(D3808=1,C3809=1),1,0)</f>
      </c>
      <c r="E3809" s="5" t="str">
        <f>IF(C3809=1,0,IF(D3808=1,E3808+1,0))</f>
      </c>
      <c r="F3809" s="5" t="str">
        <f>IF(AND(C3809=1,D3808=1),MIN(E3808,3),"")</f>
      </c>
    </row>
    <row r="3810">
      <c r="A3810" s="6">
        <v>772</v>
      </c>
      <c r="B3810" s="6" t="str">
        <f>'Lineal Mixto'!$C$776</f>
      </c>
      <c r="C3810" s="6" t="str">
        <f>IF(AND(B3810&gt;=$B$3034,B3810&lt;=$B$3035),1,0)</f>
      </c>
      <c r="D3810" s="6" t="str">
        <f>IF(OR(D3809=1,C3810=1),1,0)</f>
      </c>
      <c r="E3810" s="6" t="str">
        <f>IF(C3810=1,0,IF(D3809=1,E3809+1,0))</f>
      </c>
      <c r="F3810" s="6" t="str">
        <f>IF(AND(C3810=1,D3809=1),MIN(E3809,3),"")</f>
      </c>
    </row>
    <row r="3811">
      <c r="A3811" s="5">
        <v>773</v>
      </c>
      <c r="B3811" s="5" t="str">
        <f>'Lineal Mixto'!$C$777</f>
      </c>
      <c r="C3811" s="5" t="str">
        <f>IF(AND(B3811&gt;=$B$3034,B3811&lt;=$B$3035),1,0)</f>
      </c>
      <c r="D3811" s="5" t="str">
        <f>IF(OR(D3810=1,C3811=1),1,0)</f>
      </c>
      <c r="E3811" s="5" t="str">
        <f>IF(C3811=1,0,IF(D3810=1,E3810+1,0))</f>
      </c>
      <c r="F3811" s="5" t="str">
        <f>IF(AND(C3811=1,D3810=1),MIN(E3810,3),"")</f>
      </c>
    </row>
    <row r="3812">
      <c r="A3812" s="6">
        <v>774</v>
      </c>
      <c r="B3812" s="6" t="str">
        <f>'Lineal Mixto'!$C$778</f>
      </c>
      <c r="C3812" s="6" t="str">
        <f>IF(AND(B3812&gt;=$B$3034,B3812&lt;=$B$3035),1,0)</f>
      </c>
      <c r="D3812" s="6" t="str">
        <f>IF(OR(D3811=1,C3812=1),1,0)</f>
      </c>
      <c r="E3812" s="6" t="str">
        <f>IF(C3812=1,0,IF(D3811=1,E3811+1,0))</f>
      </c>
      <c r="F3812" s="6" t="str">
        <f>IF(AND(C3812=1,D3811=1),MIN(E3811,3),"")</f>
      </c>
    </row>
    <row r="3813">
      <c r="A3813" s="5">
        <v>775</v>
      </c>
      <c r="B3813" s="5" t="str">
        <f>'Lineal Mixto'!$C$779</f>
      </c>
      <c r="C3813" s="5" t="str">
        <f>IF(AND(B3813&gt;=$B$3034,B3813&lt;=$B$3035),1,0)</f>
      </c>
      <c r="D3813" s="5" t="str">
        <f>IF(OR(D3812=1,C3813=1),1,0)</f>
      </c>
      <c r="E3813" s="5" t="str">
        <f>IF(C3813=1,0,IF(D3812=1,E3812+1,0))</f>
      </c>
      <c r="F3813" s="5" t="str">
        <f>IF(AND(C3813=1,D3812=1),MIN(E3812,3),"")</f>
      </c>
    </row>
    <row r="3814">
      <c r="A3814" s="6">
        <v>776</v>
      </c>
      <c r="B3814" s="6" t="str">
        <f>'Lineal Mixto'!$C$780</f>
      </c>
      <c r="C3814" s="6" t="str">
        <f>IF(AND(B3814&gt;=$B$3034,B3814&lt;=$B$3035),1,0)</f>
      </c>
      <c r="D3814" s="6" t="str">
        <f>IF(OR(D3813=1,C3814=1),1,0)</f>
      </c>
      <c r="E3814" s="6" t="str">
        <f>IF(C3814=1,0,IF(D3813=1,E3813+1,0))</f>
      </c>
      <c r="F3814" s="6" t="str">
        <f>IF(AND(C3814=1,D3813=1),MIN(E3813,3),"")</f>
      </c>
    </row>
    <row r="3815">
      <c r="A3815" s="5">
        <v>777</v>
      </c>
      <c r="B3815" s="5" t="str">
        <f>'Lineal Mixto'!$C$781</f>
      </c>
      <c r="C3815" s="5" t="str">
        <f>IF(AND(B3815&gt;=$B$3034,B3815&lt;=$B$3035),1,0)</f>
      </c>
      <c r="D3815" s="5" t="str">
        <f>IF(OR(D3814=1,C3815=1),1,0)</f>
      </c>
      <c r="E3815" s="5" t="str">
        <f>IF(C3815=1,0,IF(D3814=1,E3814+1,0))</f>
      </c>
      <c r="F3815" s="5" t="str">
        <f>IF(AND(C3815=1,D3814=1),MIN(E3814,3),"")</f>
      </c>
    </row>
    <row r="3816">
      <c r="A3816" s="6">
        <v>778</v>
      </c>
      <c r="B3816" s="6" t="str">
        <f>'Lineal Mixto'!$C$782</f>
      </c>
      <c r="C3816" s="6" t="str">
        <f>IF(AND(B3816&gt;=$B$3034,B3816&lt;=$B$3035),1,0)</f>
      </c>
      <c r="D3816" s="6" t="str">
        <f>IF(OR(D3815=1,C3816=1),1,0)</f>
      </c>
      <c r="E3816" s="6" t="str">
        <f>IF(C3816=1,0,IF(D3815=1,E3815+1,0))</f>
      </c>
      <c r="F3816" s="6" t="str">
        <f>IF(AND(C3816=1,D3815=1),MIN(E3815,3),"")</f>
      </c>
    </row>
    <row r="3817">
      <c r="A3817" s="5">
        <v>779</v>
      </c>
      <c r="B3817" s="5" t="str">
        <f>'Lineal Mixto'!$C$783</f>
      </c>
      <c r="C3817" s="5" t="str">
        <f>IF(AND(B3817&gt;=$B$3034,B3817&lt;=$B$3035),1,0)</f>
      </c>
      <c r="D3817" s="5" t="str">
        <f>IF(OR(D3816=1,C3817=1),1,0)</f>
      </c>
      <c r="E3817" s="5" t="str">
        <f>IF(C3817=1,0,IF(D3816=1,E3816+1,0))</f>
      </c>
      <c r="F3817" s="5" t="str">
        <f>IF(AND(C3817=1,D3816=1),MIN(E3816,3),"")</f>
      </c>
    </row>
    <row r="3818">
      <c r="A3818" s="6">
        <v>780</v>
      </c>
      <c r="B3818" s="6" t="str">
        <f>'Lineal Mixto'!$C$784</f>
      </c>
      <c r="C3818" s="6" t="str">
        <f>IF(AND(B3818&gt;=$B$3034,B3818&lt;=$B$3035),1,0)</f>
      </c>
      <c r="D3818" s="6" t="str">
        <f>IF(OR(D3817=1,C3818=1),1,0)</f>
      </c>
      <c r="E3818" s="6" t="str">
        <f>IF(C3818=1,0,IF(D3817=1,E3817+1,0))</f>
      </c>
      <c r="F3818" s="6" t="str">
        <f>IF(AND(C3818=1,D3817=1),MIN(E3817,3),"")</f>
      </c>
    </row>
    <row r="3819">
      <c r="A3819" s="5">
        <v>781</v>
      </c>
      <c r="B3819" s="5" t="str">
        <f>'Lineal Mixto'!$C$785</f>
      </c>
      <c r="C3819" s="5" t="str">
        <f>IF(AND(B3819&gt;=$B$3034,B3819&lt;=$B$3035),1,0)</f>
      </c>
      <c r="D3819" s="5" t="str">
        <f>IF(OR(D3818=1,C3819=1),1,0)</f>
      </c>
      <c r="E3819" s="5" t="str">
        <f>IF(C3819=1,0,IF(D3818=1,E3818+1,0))</f>
      </c>
      <c r="F3819" s="5" t="str">
        <f>IF(AND(C3819=1,D3818=1),MIN(E3818,3),"")</f>
      </c>
    </row>
    <row r="3820">
      <c r="A3820" s="6">
        <v>782</v>
      </c>
      <c r="B3820" s="6" t="str">
        <f>'Lineal Mixto'!$C$786</f>
      </c>
      <c r="C3820" s="6" t="str">
        <f>IF(AND(B3820&gt;=$B$3034,B3820&lt;=$B$3035),1,0)</f>
      </c>
      <c r="D3820" s="6" t="str">
        <f>IF(OR(D3819=1,C3820=1),1,0)</f>
      </c>
      <c r="E3820" s="6" t="str">
        <f>IF(C3820=1,0,IF(D3819=1,E3819+1,0))</f>
      </c>
      <c r="F3820" s="6" t="str">
        <f>IF(AND(C3820=1,D3819=1),MIN(E3819,3),"")</f>
      </c>
    </row>
    <row r="3821">
      <c r="A3821" s="5">
        <v>783</v>
      </c>
      <c r="B3821" s="5" t="str">
        <f>'Lineal Mixto'!$C$787</f>
      </c>
      <c r="C3821" s="5" t="str">
        <f>IF(AND(B3821&gt;=$B$3034,B3821&lt;=$B$3035),1,0)</f>
      </c>
      <c r="D3821" s="5" t="str">
        <f>IF(OR(D3820=1,C3821=1),1,0)</f>
      </c>
      <c r="E3821" s="5" t="str">
        <f>IF(C3821=1,0,IF(D3820=1,E3820+1,0))</f>
      </c>
      <c r="F3821" s="5" t="str">
        <f>IF(AND(C3821=1,D3820=1),MIN(E3820,3),"")</f>
      </c>
    </row>
    <row r="3822">
      <c r="A3822" s="6">
        <v>784</v>
      </c>
      <c r="B3822" s="6" t="str">
        <f>'Lineal Mixto'!$C$788</f>
      </c>
      <c r="C3822" s="6" t="str">
        <f>IF(AND(B3822&gt;=$B$3034,B3822&lt;=$B$3035),1,0)</f>
      </c>
      <c r="D3822" s="6" t="str">
        <f>IF(OR(D3821=1,C3822=1),1,0)</f>
      </c>
      <c r="E3822" s="6" t="str">
        <f>IF(C3822=1,0,IF(D3821=1,E3821+1,0))</f>
      </c>
      <c r="F3822" s="6" t="str">
        <f>IF(AND(C3822=1,D3821=1),MIN(E3821,3),"")</f>
      </c>
    </row>
    <row r="3823">
      <c r="A3823" s="5">
        <v>785</v>
      </c>
      <c r="B3823" s="5" t="str">
        <f>'Lineal Mixto'!$C$789</f>
      </c>
      <c r="C3823" s="5" t="str">
        <f>IF(AND(B3823&gt;=$B$3034,B3823&lt;=$B$3035),1,0)</f>
      </c>
      <c r="D3823" s="5" t="str">
        <f>IF(OR(D3822=1,C3823=1),1,0)</f>
      </c>
      <c r="E3823" s="5" t="str">
        <f>IF(C3823=1,0,IF(D3822=1,E3822+1,0))</f>
      </c>
      <c r="F3823" s="5" t="str">
        <f>IF(AND(C3823=1,D3822=1),MIN(E3822,3),"")</f>
      </c>
    </row>
    <row r="3824">
      <c r="A3824" s="6">
        <v>786</v>
      </c>
      <c r="B3824" s="6" t="str">
        <f>'Lineal Mixto'!$C$790</f>
      </c>
      <c r="C3824" s="6" t="str">
        <f>IF(AND(B3824&gt;=$B$3034,B3824&lt;=$B$3035),1,0)</f>
      </c>
      <c r="D3824" s="6" t="str">
        <f>IF(OR(D3823=1,C3824=1),1,0)</f>
      </c>
      <c r="E3824" s="6" t="str">
        <f>IF(C3824=1,0,IF(D3823=1,E3823+1,0))</f>
      </c>
      <c r="F3824" s="6" t="str">
        <f>IF(AND(C3824=1,D3823=1),MIN(E3823,3),"")</f>
      </c>
    </row>
    <row r="3825">
      <c r="A3825" s="5">
        <v>787</v>
      </c>
      <c r="B3825" s="5" t="str">
        <f>'Lineal Mixto'!$C$791</f>
      </c>
      <c r="C3825" s="5" t="str">
        <f>IF(AND(B3825&gt;=$B$3034,B3825&lt;=$B$3035),1,0)</f>
      </c>
      <c r="D3825" s="5" t="str">
        <f>IF(OR(D3824=1,C3825=1),1,0)</f>
      </c>
      <c r="E3825" s="5" t="str">
        <f>IF(C3825=1,0,IF(D3824=1,E3824+1,0))</f>
      </c>
      <c r="F3825" s="5" t="str">
        <f>IF(AND(C3825=1,D3824=1),MIN(E3824,3),"")</f>
      </c>
    </row>
    <row r="3826">
      <c r="A3826" s="6">
        <v>788</v>
      </c>
      <c r="B3826" s="6" t="str">
        <f>'Lineal Mixto'!$C$792</f>
      </c>
      <c r="C3826" s="6" t="str">
        <f>IF(AND(B3826&gt;=$B$3034,B3826&lt;=$B$3035),1,0)</f>
      </c>
      <c r="D3826" s="6" t="str">
        <f>IF(OR(D3825=1,C3826=1),1,0)</f>
      </c>
      <c r="E3826" s="6" t="str">
        <f>IF(C3826=1,0,IF(D3825=1,E3825+1,0))</f>
      </c>
      <c r="F3826" s="6" t="str">
        <f>IF(AND(C3826=1,D3825=1),MIN(E3825,3),"")</f>
      </c>
    </row>
    <row r="3827">
      <c r="A3827" s="5">
        <v>789</v>
      </c>
      <c r="B3827" s="5" t="str">
        <f>'Lineal Mixto'!$C$793</f>
      </c>
      <c r="C3827" s="5" t="str">
        <f>IF(AND(B3827&gt;=$B$3034,B3827&lt;=$B$3035),1,0)</f>
      </c>
      <c r="D3827" s="5" t="str">
        <f>IF(OR(D3826=1,C3827=1),1,0)</f>
      </c>
      <c r="E3827" s="5" t="str">
        <f>IF(C3827=1,0,IF(D3826=1,E3826+1,0))</f>
      </c>
      <c r="F3827" s="5" t="str">
        <f>IF(AND(C3827=1,D3826=1),MIN(E3826,3),"")</f>
      </c>
    </row>
    <row r="3828">
      <c r="A3828" s="6">
        <v>790</v>
      </c>
      <c r="B3828" s="6" t="str">
        <f>'Lineal Mixto'!$C$794</f>
      </c>
      <c r="C3828" s="6" t="str">
        <f>IF(AND(B3828&gt;=$B$3034,B3828&lt;=$B$3035),1,0)</f>
      </c>
      <c r="D3828" s="6" t="str">
        <f>IF(OR(D3827=1,C3828=1),1,0)</f>
      </c>
      <c r="E3828" s="6" t="str">
        <f>IF(C3828=1,0,IF(D3827=1,E3827+1,0))</f>
      </c>
      <c r="F3828" s="6" t="str">
        <f>IF(AND(C3828=1,D3827=1),MIN(E3827,3),"")</f>
      </c>
    </row>
    <row r="3829">
      <c r="A3829" s="5">
        <v>791</v>
      </c>
      <c r="B3829" s="5" t="str">
        <f>'Lineal Mixto'!$C$795</f>
      </c>
      <c r="C3829" s="5" t="str">
        <f>IF(AND(B3829&gt;=$B$3034,B3829&lt;=$B$3035),1,0)</f>
      </c>
      <c r="D3829" s="5" t="str">
        <f>IF(OR(D3828=1,C3829=1),1,0)</f>
      </c>
      <c r="E3829" s="5" t="str">
        <f>IF(C3829=1,0,IF(D3828=1,E3828+1,0))</f>
      </c>
      <c r="F3829" s="5" t="str">
        <f>IF(AND(C3829=1,D3828=1),MIN(E3828,3),"")</f>
      </c>
    </row>
    <row r="3830">
      <c r="A3830" s="6">
        <v>792</v>
      </c>
      <c r="B3830" s="6" t="str">
        <f>'Lineal Mixto'!$C$796</f>
      </c>
      <c r="C3830" s="6" t="str">
        <f>IF(AND(B3830&gt;=$B$3034,B3830&lt;=$B$3035),1,0)</f>
      </c>
      <c r="D3830" s="6" t="str">
        <f>IF(OR(D3829=1,C3830=1),1,0)</f>
      </c>
      <c r="E3830" s="6" t="str">
        <f>IF(C3830=1,0,IF(D3829=1,E3829+1,0))</f>
      </c>
      <c r="F3830" s="6" t="str">
        <f>IF(AND(C3830=1,D3829=1),MIN(E3829,3),"")</f>
      </c>
    </row>
    <row r="3831">
      <c r="A3831" s="5">
        <v>793</v>
      </c>
      <c r="B3831" s="5" t="str">
        <f>'Lineal Mixto'!$C$797</f>
      </c>
      <c r="C3831" s="5" t="str">
        <f>IF(AND(B3831&gt;=$B$3034,B3831&lt;=$B$3035),1,0)</f>
      </c>
      <c r="D3831" s="5" t="str">
        <f>IF(OR(D3830=1,C3831=1),1,0)</f>
      </c>
      <c r="E3831" s="5" t="str">
        <f>IF(C3831=1,0,IF(D3830=1,E3830+1,0))</f>
      </c>
      <c r="F3831" s="5" t="str">
        <f>IF(AND(C3831=1,D3830=1),MIN(E3830,3),"")</f>
      </c>
    </row>
    <row r="3832">
      <c r="A3832" s="6">
        <v>794</v>
      </c>
      <c r="B3832" s="6" t="str">
        <f>'Lineal Mixto'!$C$798</f>
      </c>
      <c r="C3832" s="6" t="str">
        <f>IF(AND(B3832&gt;=$B$3034,B3832&lt;=$B$3035),1,0)</f>
      </c>
      <c r="D3832" s="6" t="str">
        <f>IF(OR(D3831=1,C3832=1),1,0)</f>
      </c>
      <c r="E3832" s="6" t="str">
        <f>IF(C3832=1,0,IF(D3831=1,E3831+1,0))</f>
      </c>
      <c r="F3832" s="6" t="str">
        <f>IF(AND(C3832=1,D3831=1),MIN(E3831,3),"")</f>
      </c>
    </row>
    <row r="3833">
      <c r="A3833" s="5">
        <v>795</v>
      </c>
      <c r="B3833" s="5" t="str">
        <f>'Lineal Mixto'!$C$799</f>
      </c>
      <c r="C3833" s="5" t="str">
        <f>IF(AND(B3833&gt;=$B$3034,B3833&lt;=$B$3035),1,0)</f>
      </c>
      <c r="D3833" s="5" t="str">
        <f>IF(OR(D3832=1,C3833=1),1,0)</f>
      </c>
      <c r="E3833" s="5" t="str">
        <f>IF(C3833=1,0,IF(D3832=1,E3832+1,0))</f>
      </c>
      <c r="F3833" s="5" t="str">
        <f>IF(AND(C3833=1,D3832=1),MIN(E3832,3),"")</f>
      </c>
    </row>
    <row r="3834">
      <c r="A3834" s="6">
        <v>796</v>
      </c>
      <c r="B3834" s="6" t="str">
        <f>'Lineal Mixto'!$C$800</f>
      </c>
      <c r="C3834" s="6" t="str">
        <f>IF(AND(B3834&gt;=$B$3034,B3834&lt;=$B$3035),1,0)</f>
      </c>
      <c r="D3834" s="6" t="str">
        <f>IF(OR(D3833=1,C3834=1),1,0)</f>
      </c>
      <c r="E3834" s="6" t="str">
        <f>IF(C3834=1,0,IF(D3833=1,E3833+1,0))</f>
      </c>
      <c r="F3834" s="6" t="str">
        <f>IF(AND(C3834=1,D3833=1),MIN(E3833,3),"")</f>
      </c>
    </row>
    <row r="3835">
      <c r="A3835" s="5">
        <v>797</v>
      </c>
      <c r="B3835" s="5" t="str">
        <f>'Lineal Mixto'!$C$801</f>
      </c>
      <c r="C3835" s="5" t="str">
        <f>IF(AND(B3835&gt;=$B$3034,B3835&lt;=$B$3035),1,0)</f>
      </c>
      <c r="D3835" s="5" t="str">
        <f>IF(OR(D3834=1,C3835=1),1,0)</f>
      </c>
      <c r="E3835" s="5" t="str">
        <f>IF(C3835=1,0,IF(D3834=1,E3834+1,0))</f>
      </c>
      <c r="F3835" s="5" t="str">
        <f>IF(AND(C3835=1,D3834=1),MIN(E3834,3),"")</f>
      </c>
    </row>
    <row r="3836">
      <c r="A3836" s="6">
        <v>798</v>
      </c>
      <c r="B3836" s="6" t="str">
        <f>'Lineal Mixto'!$C$802</f>
      </c>
      <c r="C3836" s="6" t="str">
        <f>IF(AND(B3836&gt;=$B$3034,B3836&lt;=$B$3035),1,0)</f>
      </c>
      <c r="D3836" s="6" t="str">
        <f>IF(OR(D3835=1,C3836=1),1,0)</f>
      </c>
      <c r="E3836" s="6" t="str">
        <f>IF(C3836=1,0,IF(D3835=1,E3835+1,0))</f>
      </c>
      <c r="F3836" s="6" t="str">
        <f>IF(AND(C3836=1,D3835=1),MIN(E3835,3),"")</f>
      </c>
    </row>
    <row r="3837">
      <c r="A3837" s="5">
        <v>799</v>
      </c>
      <c r="B3837" s="5" t="str">
        <f>'Lineal Mixto'!$C$803</f>
      </c>
      <c r="C3837" s="5" t="str">
        <f>IF(AND(B3837&gt;=$B$3034,B3837&lt;=$B$3035),1,0)</f>
      </c>
      <c r="D3837" s="5" t="str">
        <f>IF(OR(D3836=1,C3837=1),1,0)</f>
      </c>
      <c r="E3837" s="5" t="str">
        <f>IF(C3837=1,0,IF(D3836=1,E3836+1,0))</f>
      </c>
      <c r="F3837" s="5" t="str">
        <f>IF(AND(C3837=1,D3836=1),MIN(E3836,3),"")</f>
      </c>
    </row>
    <row r="3838">
      <c r="A3838" s="6">
        <v>800</v>
      </c>
      <c r="B3838" s="6" t="str">
        <f>'Lineal Mixto'!$C$804</f>
      </c>
      <c r="C3838" s="6" t="str">
        <f>IF(AND(B3838&gt;=$B$3034,B3838&lt;=$B$3035),1,0)</f>
      </c>
      <c r="D3838" s="6" t="str">
        <f>IF(OR(D3837=1,C3838=1),1,0)</f>
      </c>
      <c r="E3838" s="6" t="str">
        <f>IF(C3838=1,0,IF(D3837=1,E3837+1,0))</f>
      </c>
      <c r="F3838" s="6" t="str">
        <f>IF(AND(C3838=1,D3837=1),MIN(E3837,3),"")</f>
      </c>
    </row>
    <row r="3839">
      <c r="A3839" s="5">
        <v>801</v>
      </c>
      <c r="B3839" s="5" t="str">
        <f>'Lineal Mixto'!$C$805</f>
      </c>
      <c r="C3839" s="5" t="str">
        <f>IF(AND(B3839&gt;=$B$3034,B3839&lt;=$B$3035),1,0)</f>
      </c>
      <c r="D3839" s="5" t="str">
        <f>IF(OR(D3838=1,C3839=1),1,0)</f>
      </c>
      <c r="E3839" s="5" t="str">
        <f>IF(C3839=1,0,IF(D3838=1,E3838+1,0))</f>
      </c>
      <c r="F3839" s="5" t="str">
        <f>IF(AND(C3839=1,D3838=1),MIN(E3838,3),"")</f>
      </c>
    </row>
    <row r="3840">
      <c r="A3840" s="6">
        <v>802</v>
      </c>
      <c r="B3840" s="6" t="str">
        <f>'Lineal Mixto'!$C$806</f>
      </c>
      <c r="C3840" s="6" t="str">
        <f>IF(AND(B3840&gt;=$B$3034,B3840&lt;=$B$3035),1,0)</f>
      </c>
      <c r="D3840" s="6" t="str">
        <f>IF(OR(D3839=1,C3840=1),1,0)</f>
      </c>
      <c r="E3840" s="6" t="str">
        <f>IF(C3840=1,0,IF(D3839=1,E3839+1,0))</f>
      </c>
      <c r="F3840" s="6" t="str">
        <f>IF(AND(C3840=1,D3839=1),MIN(E3839,3),"")</f>
      </c>
    </row>
    <row r="3841">
      <c r="A3841" s="5">
        <v>803</v>
      </c>
      <c r="B3841" s="5" t="str">
        <f>'Lineal Mixto'!$C$807</f>
      </c>
      <c r="C3841" s="5" t="str">
        <f>IF(AND(B3841&gt;=$B$3034,B3841&lt;=$B$3035),1,0)</f>
      </c>
      <c r="D3841" s="5" t="str">
        <f>IF(OR(D3840=1,C3841=1),1,0)</f>
      </c>
      <c r="E3841" s="5" t="str">
        <f>IF(C3841=1,0,IF(D3840=1,E3840+1,0))</f>
      </c>
      <c r="F3841" s="5" t="str">
        <f>IF(AND(C3841=1,D3840=1),MIN(E3840,3),"")</f>
      </c>
    </row>
    <row r="3842">
      <c r="A3842" s="6">
        <v>804</v>
      </c>
      <c r="B3842" s="6" t="str">
        <f>'Lineal Mixto'!$C$808</f>
      </c>
      <c r="C3842" s="6" t="str">
        <f>IF(AND(B3842&gt;=$B$3034,B3842&lt;=$B$3035),1,0)</f>
      </c>
      <c r="D3842" s="6" t="str">
        <f>IF(OR(D3841=1,C3842=1),1,0)</f>
      </c>
      <c r="E3842" s="6" t="str">
        <f>IF(C3842=1,0,IF(D3841=1,E3841+1,0))</f>
      </c>
      <c r="F3842" s="6" t="str">
        <f>IF(AND(C3842=1,D3841=1),MIN(E3841,3),"")</f>
      </c>
    </row>
    <row r="3843">
      <c r="A3843" s="5">
        <v>805</v>
      </c>
      <c r="B3843" s="5" t="str">
        <f>'Lineal Mixto'!$C$809</f>
      </c>
      <c r="C3843" s="5" t="str">
        <f>IF(AND(B3843&gt;=$B$3034,B3843&lt;=$B$3035),1,0)</f>
      </c>
      <c r="D3843" s="5" t="str">
        <f>IF(OR(D3842=1,C3843=1),1,0)</f>
      </c>
      <c r="E3843" s="5" t="str">
        <f>IF(C3843=1,0,IF(D3842=1,E3842+1,0))</f>
      </c>
      <c r="F3843" s="5" t="str">
        <f>IF(AND(C3843=1,D3842=1),MIN(E3842,3),"")</f>
      </c>
    </row>
    <row r="3844">
      <c r="A3844" s="6">
        <v>806</v>
      </c>
      <c r="B3844" s="6" t="str">
        <f>'Lineal Mixto'!$C$810</f>
      </c>
      <c r="C3844" s="6" t="str">
        <f>IF(AND(B3844&gt;=$B$3034,B3844&lt;=$B$3035),1,0)</f>
      </c>
      <c r="D3844" s="6" t="str">
        <f>IF(OR(D3843=1,C3844=1),1,0)</f>
      </c>
      <c r="E3844" s="6" t="str">
        <f>IF(C3844=1,0,IF(D3843=1,E3843+1,0))</f>
      </c>
      <c r="F3844" s="6" t="str">
        <f>IF(AND(C3844=1,D3843=1),MIN(E3843,3),"")</f>
      </c>
    </row>
    <row r="3845">
      <c r="A3845" s="5">
        <v>807</v>
      </c>
      <c r="B3845" s="5" t="str">
        <f>'Lineal Mixto'!$C$811</f>
      </c>
      <c r="C3845" s="5" t="str">
        <f>IF(AND(B3845&gt;=$B$3034,B3845&lt;=$B$3035),1,0)</f>
      </c>
      <c r="D3845" s="5" t="str">
        <f>IF(OR(D3844=1,C3845=1),1,0)</f>
      </c>
      <c r="E3845" s="5" t="str">
        <f>IF(C3845=1,0,IF(D3844=1,E3844+1,0))</f>
      </c>
      <c r="F3845" s="5" t="str">
        <f>IF(AND(C3845=1,D3844=1),MIN(E3844,3),"")</f>
      </c>
    </row>
    <row r="3846">
      <c r="A3846" s="6">
        <v>808</v>
      </c>
      <c r="B3846" s="6" t="str">
        <f>'Lineal Mixto'!$C$812</f>
      </c>
      <c r="C3846" s="6" t="str">
        <f>IF(AND(B3846&gt;=$B$3034,B3846&lt;=$B$3035),1,0)</f>
      </c>
      <c r="D3846" s="6" t="str">
        <f>IF(OR(D3845=1,C3846=1),1,0)</f>
      </c>
      <c r="E3846" s="6" t="str">
        <f>IF(C3846=1,0,IF(D3845=1,E3845+1,0))</f>
      </c>
      <c r="F3846" s="6" t="str">
        <f>IF(AND(C3846=1,D3845=1),MIN(E3845,3),"")</f>
      </c>
    </row>
    <row r="3847">
      <c r="A3847" s="5">
        <v>809</v>
      </c>
      <c r="B3847" s="5" t="str">
        <f>'Lineal Mixto'!$C$813</f>
      </c>
      <c r="C3847" s="5" t="str">
        <f>IF(AND(B3847&gt;=$B$3034,B3847&lt;=$B$3035),1,0)</f>
      </c>
      <c r="D3847" s="5" t="str">
        <f>IF(OR(D3846=1,C3847=1),1,0)</f>
      </c>
      <c r="E3847" s="5" t="str">
        <f>IF(C3847=1,0,IF(D3846=1,E3846+1,0))</f>
      </c>
      <c r="F3847" s="5" t="str">
        <f>IF(AND(C3847=1,D3846=1),MIN(E3846,3),"")</f>
      </c>
    </row>
    <row r="3848">
      <c r="A3848" s="6">
        <v>810</v>
      </c>
      <c r="B3848" s="6" t="str">
        <f>'Lineal Mixto'!$C$814</f>
      </c>
      <c r="C3848" s="6" t="str">
        <f>IF(AND(B3848&gt;=$B$3034,B3848&lt;=$B$3035),1,0)</f>
      </c>
      <c r="D3848" s="6" t="str">
        <f>IF(OR(D3847=1,C3848=1),1,0)</f>
      </c>
      <c r="E3848" s="6" t="str">
        <f>IF(C3848=1,0,IF(D3847=1,E3847+1,0))</f>
      </c>
      <c r="F3848" s="6" t="str">
        <f>IF(AND(C3848=1,D3847=1),MIN(E3847,3),"")</f>
      </c>
    </row>
    <row r="3849">
      <c r="A3849" s="5">
        <v>811</v>
      </c>
      <c r="B3849" s="5" t="str">
        <f>'Lineal Mixto'!$C$815</f>
      </c>
      <c r="C3849" s="5" t="str">
        <f>IF(AND(B3849&gt;=$B$3034,B3849&lt;=$B$3035),1,0)</f>
      </c>
      <c r="D3849" s="5" t="str">
        <f>IF(OR(D3848=1,C3849=1),1,0)</f>
      </c>
      <c r="E3849" s="5" t="str">
        <f>IF(C3849=1,0,IF(D3848=1,E3848+1,0))</f>
      </c>
      <c r="F3849" s="5" t="str">
        <f>IF(AND(C3849=1,D3848=1),MIN(E3848,3),"")</f>
      </c>
    </row>
    <row r="3850">
      <c r="A3850" s="6">
        <v>812</v>
      </c>
      <c r="B3850" s="6" t="str">
        <f>'Lineal Mixto'!$C$816</f>
      </c>
      <c r="C3850" s="6" t="str">
        <f>IF(AND(B3850&gt;=$B$3034,B3850&lt;=$B$3035),1,0)</f>
      </c>
      <c r="D3850" s="6" t="str">
        <f>IF(OR(D3849=1,C3850=1),1,0)</f>
      </c>
      <c r="E3850" s="6" t="str">
        <f>IF(C3850=1,0,IF(D3849=1,E3849+1,0))</f>
      </c>
      <c r="F3850" s="6" t="str">
        <f>IF(AND(C3850=1,D3849=1),MIN(E3849,3),"")</f>
      </c>
    </row>
    <row r="3851">
      <c r="A3851" s="5">
        <v>813</v>
      </c>
      <c r="B3851" s="5" t="str">
        <f>'Lineal Mixto'!$C$817</f>
      </c>
      <c r="C3851" s="5" t="str">
        <f>IF(AND(B3851&gt;=$B$3034,B3851&lt;=$B$3035),1,0)</f>
      </c>
      <c r="D3851" s="5" t="str">
        <f>IF(OR(D3850=1,C3851=1),1,0)</f>
      </c>
      <c r="E3851" s="5" t="str">
        <f>IF(C3851=1,0,IF(D3850=1,E3850+1,0))</f>
      </c>
      <c r="F3851" s="5" t="str">
        <f>IF(AND(C3851=1,D3850=1),MIN(E3850,3),"")</f>
      </c>
    </row>
    <row r="3852">
      <c r="A3852" s="6">
        <v>814</v>
      </c>
      <c r="B3852" s="6" t="str">
        <f>'Lineal Mixto'!$C$818</f>
      </c>
      <c r="C3852" s="6" t="str">
        <f>IF(AND(B3852&gt;=$B$3034,B3852&lt;=$B$3035),1,0)</f>
      </c>
      <c r="D3852" s="6" t="str">
        <f>IF(OR(D3851=1,C3852=1),1,0)</f>
      </c>
      <c r="E3852" s="6" t="str">
        <f>IF(C3852=1,0,IF(D3851=1,E3851+1,0))</f>
      </c>
      <c r="F3852" s="6" t="str">
        <f>IF(AND(C3852=1,D3851=1),MIN(E3851,3),"")</f>
      </c>
    </row>
    <row r="3853">
      <c r="A3853" s="5">
        <v>815</v>
      </c>
      <c r="B3853" s="5" t="str">
        <f>'Lineal Mixto'!$C$819</f>
      </c>
      <c r="C3853" s="5" t="str">
        <f>IF(AND(B3853&gt;=$B$3034,B3853&lt;=$B$3035),1,0)</f>
      </c>
      <c r="D3853" s="5" t="str">
        <f>IF(OR(D3852=1,C3853=1),1,0)</f>
      </c>
      <c r="E3853" s="5" t="str">
        <f>IF(C3853=1,0,IF(D3852=1,E3852+1,0))</f>
      </c>
      <c r="F3853" s="5" t="str">
        <f>IF(AND(C3853=1,D3852=1),MIN(E3852,3),"")</f>
      </c>
    </row>
    <row r="3854">
      <c r="A3854" s="6">
        <v>816</v>
      </c>
      <c r="B3854" s="6" t="str">
        <f>'Lineal Mixto'!$C$820</f>
      </c>
      <c r="C3854" s="6" t="str">
        <f>IF(AND(B3854&gt;=$B$3034,B3854&lt;=$B$3035),1,0)</f>
      </c>
      <c r="D3854" s="6" t="str">
        <f>IF(OR(D3853=1,C3854=1),1,0)</f>
      </c>
      <c r="E3854" s="6" t="str">
        <f>IF(C3854=1,0,IF(D3853=1,E3853+1,0))</f>
      </c>
      <c r="F3854" s="6" t="str">
        <f>IF(AND(C3854=1,D3853=1),MIN(E3853,3),"")</f>
      </c>
    </row>
    <row r="3855">
      <c r="A3855" s="5">
        <v>817</v>
      </c>
      <c r="B3855" s="5" t="str">
        <f>'Lineal Mixto'!$C$821</f>
      </c>
      <c r="C3855" s="5" t="str">
        <f>IF(AND(B3855&gt;=$B$3034,B3855&lt;=$B$3035),1,0)</f>
      </c>
      <c r="D3855" s="5" t="str">
        <f>IF(OR(D3854=1,C3855=1),1,0)</f>
      </c>
      <c r="E3855" s="5" t="str">
        <f>IF(C3855=1,0,IF(D3854=1,E3854+1,0))</f>
      </c>
      <c r="F3855" s="5" t="str">
        <f>IF(AND(C3855=1,D3854=1),MIN(E3854,3),"")</f>
      </c>
    </row>
    <row r="3856">
      <c r="A3856" s="6">
        <v>818</v>
      </c>
      <c r="B3856" s="6" t="str">
        <f>'Lineal Mixto'!$C$822</f>
      </c>
      <c r="C3856" s="6" t="str">
        <f>IF(AND(B3856&gt;=$B$3034,B3856&lt;=$B$3035),1,0)</f>
      </c>
      <c r="D3856" s="6" t="str">
        <f>IF(OR(D3855=1,C3856=1),1,0)</f>
      </c>
      <c r="E3856" s="6" t="str">
        <f>IF(C3856=1,0,IF(D3855=1,E3855+1,0))</f>
      </c>
      <c r="F3856" s="6" t="str">
        <f>IF(AND(C3856=1,D3855=1),MIN(E3855,3),"")</f>
      </c>
    </row>
    <row r="3857">
      <c r="A3857" s="5">
        <v>819</v>
      </c>
      <c r="B3857" s="5" t="str">
        <f>'Lineal Mixto'!$C$823</f>
      </c>
      <c r="C3857" s="5" t="str">
        <f>IF(AND(B3857&gt;=$B$3034,B3857&lt;=$B$3035),1,0)</f>
      </c>
      <c r="D3857" s="5" t="str">
        <f>IF(OR(D3856=1,C3857=1),1,0)</f>
      </c>
      <c r="E3857" s="5" t="str">
        <f>IF(C3857=1,0,IF(D3856=1,E3856+1,0))</f>
      </c>
      <c r="F3857" s="5" t="str">
        <f>IF(AND(C3857=1,D3856=1),MIN(E3856,3),"")</f>
      </c>
    </row>
    <row r="3858">
      <c r="A3858" s="6">
        <v>820</v>
      </c>
      <c r="B3858" s="6" t="str">
        <f>'Lineal Mixto'!$C$824</f>
      </c>
      <c r="C3858" s="6" t="str">
        <f>IF(AND(B3858&gt;=$B$3034,B3858&lt;=$B$3035),1,0)</f>
      </c>
      <c r="D3858" s="6" t="str">
        <f>IF(OR(D3857=1,C3858=1),1,0)</f>
      </c>
      <c r="E3858" s="6" t="str">
        <f>IF(C3858=1,0,IF(D3857=1,E3857+1,0))</f>
      </c>
      <c r="F3858" s="6" t="str">
        <f>IF(AND(C3858=1,D3857=1),MIN(E3857,3),"")</f>
      </c>
    </row>
    <row r="3859">
      <c r="A3859" s="5">
        <v>821</v>
      </c>
      <c r="B3859" s="5" t="str">
        <f>'Lineal Mixto'!$C$825</f>
      </c>
      <c r="C3859" s="5" t="str">
        <f>IF(AND(B3859&gt;=$B$3034,B3859&lt;=$B$3035),1,0)</f>
      </c>
      <c r="D3859" s="5" t="str">
        <f>IF(OR(D3858=1,C3859=1),1,0)</f>
      </c>
      <c r="E3859" s="5" t="str">
        <f>IF(C3859=1,0,IF(D3858=1,E3858+1,0))</f>
      </c>
      <c r="F3859" s="5" t="str">
        <f>IF(AND(C3859=1,D3858=1),MIN(E3858,3),"")</f>
      </c>
    </row>
    <row r="3860">
      <c r="A3860" s="6">
        <v>822</v>
      </c>
      <c r="B3860" s="6" t="str">
        <f>'Lineal Mixto'!$C$826</f>
      </c>
      <c r="C3860" s="6" t="str">
        <f>IF(AND(B3860&gt;=$B$3034,B3860&lt;=$B$3035),1,0)</f>
      </c>
      <c r="D3860" s="6" t="str">
        <f>IF(OR(D3859=1,C3860=1),1,0)</f>
      </c>
      <c r="E3860" s="6" t="str">
        <f>IF(C3860=1,0,IF(D3859=1,E3859+1,0))</f>
      </c>
      <c r="F3860" s="6" t="str">
        <f>IF(AND(C3860=1,D3859=1),MIN(E3859,3),"")</f>
      </c>
    </row>
    <row r="3861">
      <c r="A3861" s="5">
        <v>823</v>
      </c>
      <c r="B3861" s="5" t="str">
        <f>'Lineal Mixto'!$C$827</f>
      </c>
      <c r="C3861" s="5" t="str">
        <f>IF(AND(B3861&gt;=$B$3034,B3861&lt;=$B$3035),1,0)</f>
      </c>
      <c r="D3861" s="5" t="str">
        <f>IF(OR(D3860=1,C3861=1),1,0)</f>
      </c>
      <c r="E3861" s="5" t="str">
        <f>IF(C3861=1,0,IF(D3860=1,E3860+1,0))</f>
      </c>
      <c r="F3861" s="5" t="str">
        <f>IF(AND(C3861=1,D3860=1),MIN(E3860,3),"")</f>
      </c>
    </row>
    <row r="3862">
      <c r="A3862" s="6">
        <v>824</v>
      </c>
      <c r="B3862" s="6" t="str">
        <f>'Lineal Mixto'!$C$828</f>
      </c>
      <c r="C3862" s="6" t="str">
        <f>IF(AND(B3862&gt;=$B$3034,B3862&lt;=$B$3035),1,0)</f>
      </c>
      <c r="D3862" s="6" t="str">
        <f>IF(OR(D3861=1,C3862=1),1,0)</f>
      </c>
      <c r="E3862" s="6" t="str">
        <f>IF(C3862=1,0,IF(D3861=1,E3861+1,0))</f>
      </c>
      <c r="F3862" s="6" t="str">
        <f>IF(AND(C3862=1,D3861=1),MIN(E3861,3),"")</f>
      </c>
    </row>
    <row r="3863">
      <c r="A3863" s="5">
        <v>825</v>
      </c>
      <c r="B3863" s="5" t="str">
        <f>'Lineal Mixto'!$C$829</f>
      </c>
      <c r="C3863" s="5" t="str">
        <f>IF(AND(B3863&gt;=$B$3034,B3863&lt;=$B$3035),1,0)</f>
      </c>
      <c r="D3863" s="5" t="str">
        <f>IF(OR(D3862=1,C3863=1),1,0)</f>
      </c>
      <c r="E3863" s="5" t="str">
        <f>IF(C3863=1,0,IF(D3862=1,E3862+1,0))</f>
      </c>
      <c r="F3863" s="5" t="str">
        <f>IF(AND(C3863=1,D3862=1),MIN(E3862,3),"")</f>
      </c>
    </row>
    <row r="3864">
      <c r="A3864" s="6">
        <v>826</v>
      </c>
      <c r="B3864" s="6" t="str">
        <f>'Lineal Mixto'!$C$830</f>
      </c>
      <c r="C3864" s="6" t="str">
        <f>IF(AND(B3864&gt;=$B$3034,B3864&lt;=$B$3035),1,0)</f>
      </c>
      <c r="D3864" s="6" t="str">
        <f>IF(OR(D3863=1,C3864=1),1,0)</f>
      </c>
      <c r="E3864" s="6" t="str">
        <f>IF(C3864=1,0,IF(D3863=1,E3863+1,0))</f>
      </c>
      <c r="F3864" s="6" t="str">
        <f>IF(AND(C3864=1,D3863=1),MIN(E3863,3),"")</f>
      </c>
    </row>
    <row r="3865">
      <c r="A3865" s="5">
        <v>827</v>
      </c>
      <c r="B3865" s="5" t="str">
        <f>'Lineal Mixto'!$C$831</f>
      </c>
      <c r="C3865" s="5" t="str">
        <f>IF(AND(B3865&gt;=$B$3034,B3865&lt;=$B$3035),1,0)</f>
      </c>
      <c r="D3865" s="5" t="str">
        <f>IF(OR(D3864=1,C3865=1),1,0)</f>
      </c>
      <c r="E3865" s="5" t="str">
        <f>IF(C3865=1,0,IF(D3864=1,E3864+1,0))</f>
      </c>
      <c r="F3865" s="5" t="str">
        <f>IF(AND(C3865=1,D3864=1),MIN(E3864,3),"")</f>
      </c>
    </row>
    <row r="3866">
      <c r="A3866" s="6">
        <v>828</v>
      </c>
      <c r="B3866" s="6" t="str">
        <f>'Lineal Mixto'!$C$832</f>
      </c>
      <c r="C3866" s="6" t="str">
        <f>IF(AND(B3866&gt;=$B$3034,B3866&lt;=$B$3035),1,0)</f>
      </c>
      <c r="D3866" s="6" t="str">
        <f>IF(OR(D3865=1,C3866=1),1,0)</f>
      </c>
      <c r="E3866" s="6" t="str">
        <f>IF(C3866=1,0,IF(D3865=1,E3865+1,0))</f>
      </c>
      <c r="F3866" s="6" t="str">
        <f>IF(AND(C3866=1,D3865=1),MIN(E3865,3),"")</f>
      </c>
    </row>
    <row r="3867">
      <c r="A3867" s="5">
        <v>829</v>
      </c>
      <c r="B3867" s="5" t="str">
        <f>'Lineal Mixto'!$C$833</f>
      </c>
      <c r="C3867" s="5" t="str">
        <f>IF(AND(B3867&gt;=$B$3034,B3867&lt;=$B$3035),1,0)</f>
      </c>
      <c r="D3867" s="5" t="str">
        <f>IF(OR(D3866=1,C3867=1),1,0)</f>
      </c>
      <c r="E3867" s="5" t="str">
        <f>IF(C3867=1,0,IF(D3866=1,E3866+1,0))</f>
      </c>
      <c r="F3867" s="5" t="str">
        <f>IF(AND(C3867=1,D3866=1),MIN(E3866,3),"")</f>
      </c>
    </row>
    <row r="3868">
      <c r="A3868" s="6">
        <v>830</v>
      </c>
      <c r="B3868" s="6" t="str">
        <f>'Lineal Mixto'!$C$834</f>
      </c>
      <c r="C3868" s="6" t="str">
        <f>IF(AND(B3868&gt;=$B$3034,B3868&lt;=$B$3035),1,0)</f>
      </c>
      <c r="D3868" s="6" t="str">
        <f>IF(OR(D3867=1,C3868=1),1,0)</f>
      </c>
      <c r="E3868" s="6" t="str">
        <f>IF(C3868=1,0,IF(D3867=1,E3867+1,0))</f>
      </c>
      <c r="F3868" s="6" t="str">
        <f>IF(AND(C3868=1,D3867=1),MIN(E3867,3),"")</f>
      </c>
    </row>
    <row r="3869">
      <c r="A3869" s="5">
        <v>831</v>
      </c>
      <c r="B3869" s="5" t="str">
        <f>'Lineal Mixto'!$C$835</f>
      </c>
      <c r="C3869" s="5" t="str">
        <f>IF(AND(B3869&gt;=$B$3034,B3869&lt;=$B$3035),1,0)</f>
      </c>
      <c r="D3869" s="5" t="str">
        <f>IF(OR(D3868=1,C3869=1),1,0)</f>
      </c>
      <c r="E3869" s="5" t="str">
        <f>IF(C3869=1,0,IF(D3868=1,E3868+1,0))</f>
      </c>
      <c r="F3869" s="5" t="str">
        <f>IF(AND(C3869=1,D3868=1),MIN(E3868,3),"")</f>
      </c>
    </row>
    <row r="3870">
      <c r="A3870" s="6">
        <v>832</v>
      </c>
      <c r="B3870" s="6" t="str">
        <f>'Lineal Mixto'!$C$836</f>
      </c>
      <c r="C3870" s="6" t="str">
        <f>IF(AND(B3870&gt;=$B$3034,B3870&lt;=$B$3035),1,0)</f>
      </c>
      <c r="D3870" s="6" t="str">
        <f>IF(OR(D3869=1,C3870=1),1,0)</f>
      </c>
      <c r="E3870" s="6" t="str">
        <f>IF(C3870=1,0,IF(D3869=1,E3869+1,0))</f>
      </c>
      <c r="F3870" s="6" t="str">
        <f>IF(AND(C3870=1,D3869=1),MIN(E3869,3),"")</f>
      </c>
    </row>
    <row r="3871">
      <c r="A3871" s="5">
        <v>833</v>
      </c>
      <c r="B3871" s="5" t="str">
        <f>'Lineal Mixto'!$C$837</f>
      </c>
      <c r="C3871" s="5" t="str">
        <f>IF(AND(B3871&gt;=$B$3034,B3871&lt;=$B$3035),1,0)</f>
      </c>
      <c r="D3871" s="5" t="str">
        <f>IF(OR(D3870=1,C3871=1),1,0)</f>
      </c>
      <c r="E3871" s="5" t="str">
        <f>IF(C3871=1,0,IF(D3870=1,E3870+1,0))</f>
      </c>
      <c r="F3871" s="5" t="str">
        <f>IF(AND(C3871=1,D3870=1),MIN(E3870,3),"")</f>
      </c>
    </row>
    <row r="3872">
      <c r="A3872" s="6">
        <v>834</v>
      </c>
      <c r="B3872" s="6" t="str">
        <f>'Lineal Mixto'!$C$838</f>
      </c>
      <c r="C3872" s="6" t="str">
        <f>IF(AND(B3872&gt;=$B$3034,B3872&lt;=$B$3035),1,0)</f>
      </c>
      <c r="D3872" s="6" t="str">
        <f>IF(OR(D3871=1,C3872=1),1,0)</f>
      </c>
      <c r="E3872" s="6" t="str">
        <f>IF(C3872=1,0,IF(D3871=1,E3871+1,0))</f>
      </c>
      <c r="F3872" s="6" t="str">
        <f>IF(AND(C3872=1,D3871=1),MIN(E3871,3),"")</f>
      </c>
    </row>
    <row r="3873">
      <c r="A3873" s="5">
        <v>835</v>
      </c>
      <c r="B3873" s="5" t="str">
        <f>'Lineal Mixto'!$C$839</f>
      </c>
      <c r="C3873" s="5" t="str">
        <f>IF(AND(B3873&gt;=$B$3034,B3873&lt;=$B$3035),1,0)</f>
      </c>
      <c r="D3873" s="5" t="str">
        <f>IF(OR(D3872=1,C3873=1),1,0)</f>
      </c>
      <c r="E3873" s="5" t="str">
        <f>IF(C3873=1,0,IF(D3872=1,E3872+1,0))</f>
      </c>
      <c r="F3873" s="5" t="str">
        <f>IF(AND(C3873=1,D3872=1),MIN(E3872,3),"")</f>
      </c>
    </row>
    <row r="3874">
      <c r="A3874" s="6">
        <v>836</v>
      </c>
      <c r="B3874" s="6" t="str">
        <f>'Lineal Mixto'!$C$840</f>
      </c>
      <c r="C3874" s="6" t="str">
        <f>IF(AND(B3874&gt;=$B$3034,B3874&lt;=$B$3035),1,0)</f>
      </c>
      <c r="D3874" s="6" t="str">
        <f>IF(OR(D3873=1,C3874=1),1,0)</f>
      </c>
      <c r="E3874" s="6" t="str">
        <f>IF(C3874=1,0,IF(D3873=1,E3873+1,0))</f>
      </c>
      <c r="F3874" s="6" t="str">
        <f>IF(AND(C3874=1,D3873=1),MIN(E3873,3),"")</f>
      </c>
    </row>
    <row r="3875">
      <c r="A3875" s="5">
        <v>837</v>
      </c>
      <c r="B3875" s="5" t="str">
        <f>'Lineal Mixto'!$C$841</f>
      </c>
      <c r="C3875" s="5" t="str">
        <f>IF(AND(B3875&gt;=$B$3034,B3875&lt;=$B$3035),1,0)</f>
      </c>
      <c r="D3875" s="5" t="str">
        <f>IF(OR(D3874=1,C3875=1),1,0)</f>
      </c>
      <c r="E3875" s="5" t="str">
        <f>IF(C3875=1,0,IF(D3874=1,E3874+1,0))</f>
      </c>
      <c r="F3875" s="5" t="str">
        <f>IF(AND(C3875=1,D3874=1),MIN(E3874,3),"")</f>
      </c>
    </row>
    <row r="3876">
      <c r="A3876" s="6">
        <v>838</v>
      </c>
      <c r="B3876" s="6" t="str">
        <f>'Lineal Mixto'!$C$842</f>
      </c>
      <c r="C3876" s="6" t="str">
        <f>IF(AND(B3876&gt;=$B$3034,B3876&lt;=$B$3035),1,0)</f>
      </c>
      <c r="D3876" s="6" t="str">
        <f>IF(OR(D3875=1,C3876=1),1,0)</f>
      </c>
      <c r="E3876" s="6" t="str">
        <f>IF(C3876=1,0,IF(D3875=1,E3875+1,0))</f>
      </c>
      <c r="F3876" s="6" t="str">
        <f>IF(AND(C3876=1,D3875=1),MIN(E3875,3),"")</f>
      </c>
    </row>
    <row r="3877">
      <c r="A3877" s="5">
        <v>839</v>
      </c>
      <c r="B3877" s="5" t="str">
        <f>'Lineal Mixto'!$C$843</f>
      </c>
      <c r="C3877" s="5" t="str">
        <f>IF(AND(B3877&gt;=$B$3034,B3877&lt;=$B$3035),1,0)</f>
      </c>
      <c r="D3877" s="5" t="str">
        <f>IF(OR(D3876=1,C3877=1),1,0)</f>
      </c>
      <c r="E3877" s="5" t="str">
        <f>IF(C3877=1,0,IF(D3876=1,E3876+1,0))</f>
      </c>
      <c r="F3877" s="5" t="str">
        <f>IF(AND(C3877=1,D3876=1),MIN(E3876,3),"")</f>
      </c>
    </row>
    <row r="3878">
      <c r="A3878" s="6">
        <v>840</v>
      </c>
      <c r="B3878" s="6" t="str">
        <f>'Lineal Mixto'!$C$844</f>
      </c>
      <c r="C3878" s="6" t="str">
        <f>IF(AND(B3878&gt;=$B$3034,B3878&lt;=$B$3035),1,0)</f>
      </c>
      <c r="D3878" s="6" t="str">
        <f>IF(OR(D3877=1,C3878=1),1,0)</f>
      </c>
      <c r="E3878" s="6" t="str">
        <f>IF(C3878=1,0,IF(D3877=1,E3877+1,0))</f>
      </c>
      <c r="F3878" s="6" t="str">
        <f>IF(AND(C3878=1,D3877=1),MIN(E3877,3),"")</f>
      </c>
    </row>
    <row r="3879">
      <c r="A3879" s="5">
        <v>841</v>
      </c>
      <c r="B3879" s="5" t="str">
        <f>'Lineal Mixto'!$C$845</f>
      </c>
      <c r="C3879" s="5" t="str">
        <f>IF(AND(B3879&gt;=$B$3034,B3879&lt;=$B$3035),1,0)</f>
      </c>
      <c r="D3879" s="5" t="str">
        <f>IF(OR(D3878=1,C3879=1),1,0)</f>
      </c>
      <c r="E3879" s="5" t="str">
        <f>IF(C3879=1,0,IF(D3878=1,E3878+1,0))</f>
      </c>
      <c r="F3879" s="5" t="str">
        <f>IF(AND(C3879=1,D3878=1),MIN(E3878,3),"")</f>
      </c>
    </row>
    <row r="3880">
      <c r="A3880" s="6">
        <v>842</v>
      </c>
      <c r="B3880" s="6" t="str">
        <f>'Lineal Mixto'!$C$846</f>
      </c>
      <c r="C3880" s="6" t="str">
        <f>IF(AND(B3880&gt;=$B$3034,B3880&lt;=$B$3035),1,0)</f>
      </c>
      <c r="D3880" s="6" t="str">
        <f>IF(OR(D3879=1,C3880=1),1,0)</f>
      </c>
      <c r="E3880" s="6" t="str">
        <f>IF(C3880=1,0,IF(D3879=1,E3879+1,0))</f>
      </c>
      <c r="F3880" s="6" t="str">
        <f>IF(AND(C3880=1,D3879=1),MIN(E3879,3),"")</f>
      </c>
    </row>
    <row r="3881">
      <c r="A3881" s="5">
        <v>843</v>
      </c>
      <c r="B3881" s="5" t="str">
        <f>'Lineal Mixto'!$C$847</f>
      </c>
      <c r="C3881" s="5" t="str">
        <f>IF(AND(B3881&gt;=$B$3034,B3881&lt;=$B$3035),1,0)</f>
      </c>
      <c r="D3881" s="5" t="str">
        <f>IF(OR(D3880=1,C3881=1),1,0)</f>
      </c>
      <c r="E3881" s="5" t="str">
        <f>IF(C3881=1,0,IF(D3880=1,E3880+1,0))</f>
      </c>
      <c r="F3881" s="5" t="str">
        <f>IF(AND(C3881=1,D3880=1),MIN(E3880,3),"")</f>
      </c>
    </row>
    <row r="3882">
      <c r="A3882" s="6">
        <v>844</v>
      </c>
      <c r="B3882" s="6" t="str">
        <f>'Lineal Mixto'!$C$848</f>
      </c>
      <c r="C3882" s="6" t="str">
        <f>IF(AND(B3882&gt;=$B$3034,B3882&lt;=$B$3035),1,0)</f>
      </c>
      <c r="D3882" s="6" t="str">
        <f>IF(OR(D3881=1,C3882=1),1,0)</f>
      </c>
      <c r="E3882" s="6" t="str">
        <f>IF(C3882=1,0,IF(D3881=1,E3881+1,0))</f>
      </c>
      <c r="F3882" s="6" t="str">
        <f>IF(AND(C3882=1,D3881=1),MIN(E3881,3),"")</f>
      </c>
    </row>
    <row r="3883">
      <c r="A3883" s="5">
        <v>845</v>
      </c>
      <c r="B3883" s="5" t="str">
        <f>'Lineal Mixto'!$C$849</f>
      </c>
      <c r="C3883" s="5" t="str">
        <f>IF(AND(B3883&gt;=$B$3034,B3883&lt;=$B$3035),1,0)</f>
      </c>
      <c r="D3883" s="5" t="str">
        <f>IF(OR(D3882=1,C3883=1),1,0)</f>
      </c>
      <c r="E3883" s="5" t="str">
        <f>IF(C3883=1,0,IF(D3882=1,E3882+1,0))</f>
      </c>
      <c r="F3883" s="5" t="str">
        <f>IF(AND(C3883=1,D3882=1),MIN(E3882,3),"")</f>
      </c>
    </row>
    <row r="3884">
      <c r="A3884" s="6">
        <v>846</v>
      </c>
      <c r="B3884" s="6" t="str">
        <f>'Lineal Mixto'!$C$850</f>
      </c>
      <c r="C3884" s="6" t="str">
        <f>IF(AND(B3884&gt;=$B$3034,B3884&lt;=$B$3035),1,0)</f>
      </c>
      <c r="D3884" s="6" t="str">
        <f>IF(OR(D3883=1,C3884=1),1,0)</f>
      </c>
      <c r="E3884" s="6" t="str">
        <f>IF(C3884=1,0,IF(D3883=1,E3883+1,0))</f>
      </c>
      <c r="F3884" s="6" t="str">
        <f>IF(AND(C3884=1,D3883=1),MIN(E3883,3),"")</f>
      </c>
    </row>
    <row r="3885">
      <c r="A3885" s="5">
        <v>847</v>
      </c>
      <c r="B3885" s="5" t="str">
        <f>'Lineal Mixto'!$C$851</f>
      </c>
      <c r="C3885" s="5" t="str">
        <f>IF(AND(B3885&gt;=$B$3034,B3885&lt;=$B$3035),1,0)</f>
      </c>
      <c r="D3885" s="5" t="str">
        <f>IF(OR(D3884=1,C3885=1),1,0)</f>
      </c>
      <c r="E3885" s="5" t="str">
        <f>IF(C3885=1,0,IF(D3884=1,E3884+1,0))</f>
      </c>
      <c r="F3885" s="5" t="str">
        <f>IF(AND(C3885=1,D3884=1),MIN(E3884,3),"")</f>
      </c>
    </row>
    <row r="3886">
      <c r="A3886" s="6">
        <v>848</v>
      </c>
      <c r="B3886" s="6" t="str">
        <f>'Lineal Mixto'!$C$852</f>
      </c>
      <c r="C3886" s="6" t="str">
        <f>IF(AND(B3886&gt;=$B$3034,B3886&lt;=$B$3035),1,0)</f>
      </c>
      <c r="D3886" s="6" t="str">
        <f>IF(OR(D3885=1,C3886=1),1,0)</f>
      </c>
      <c r="E3886" s="6" t="str">
        <f>IF(C3886=1,0,IF(D3885=1,E3885+1,0))</f>
      </c>
      <c r="F3886" s="6" t="str">
        <f>IF(AND(C3886=1,D3885=1),MIN(E3885,3),"")</f>
      </c>
    </row>
    <row r="3887">
      <c r="A3887" s="5">
        <v>849</v>
      </c>
      <c r="B3887" s="5" t="str">
        <f>'Lineal Mixto'!$C$853</f>
      </c>
      <c r="C3887" s="5" t="str">
        <f>IF(AND(B3887&gt;=$B$3034,B3887&lt;=$B$3035),1,0)</f>
      </c>
      <c r="D3887" s="5" t="str">
        <f>IF(OR(D3886=1,C3887=1),1,0)</f>
      </c>
      <c r="E3887" s="5" t="str">
        <f>IF(C3887=1,0,IF(D3886=1,E3886+1,0))</f>
      </c>
      <c r="F3887" s="5" t="str">
        <f>IF(AND(C3887=1,D3886=1),MIN(E3886,3),"")</f>
      </c>
    </row>
    <row r="3888">
      <c r="A3888" s="6">
        <v>850</v>
      </c>
      <c r="B3888" s="6" t="str">
        <f>'Lineal Mixto'!$C$854</f>
      </c>
      <c r="C3888" s="6" t="str">
        <f>IF(AND(B3888&gt;=$B$3034,B3888&lt;=$B$3035),1,0)</f>
      </c>
      <c r="D3888" s="6" t="str">
        <f>IF(OR(D3887=1,C3888=1),1,0)</f>
      </c>
      <c r="E3888" s="6" t="str">
        <f>IF(C3888=1,0,IF(D3887=1,E3887+1,0))</f>
      </c>
      <c r="F3888" s="6" t="str">
        <f>IF(AND(C3888=1,D3887=1),MIN(E3887,3),"")</f>
      </c>
    </row>
    <row r="3889">
      <c r="A3889" s="5">
        <v>851</v>
      </c>
      <c r="B3889" s="5" t="str">
        <f>'Lineal Mixto'!$C$855</f>
      </c>
      <c r="C3889" s="5" t="str">
        <f>IF(AND(B3889&gt;=$B$3034,B3889&lt;=$B$3035),1,0)</f>
      </c>
      <c r="D3889" s="5" t="str">
        <f>IF(OR(D3888=1,C3889=1),1,0)</f>
      </c>
      <c r="E3889" s="5" t="str">
        <f>IF(C3889=1,0,IF(D3888=1,E3888+1,0))</f>
      </c>
      <c r="F3889" s="5" t="str">
        <f>IF(AND(C3889=1,D3888=1),MIN(E3888,3),"")</f>
      </c>
    </row>
    <row r="3890">
      <c r="A3890" s="6">
        <v>852</v>
      </c>
      <c r="B3890" s="6" t="str">
        <f>'Lineal Mixto'!$C$856</f>
      </c>
      <c r="C3890" s="6" t="str">
        <f>IF(AND(B3890&gt;=$B$3034,B3890&lt;=$B$3035),1,0)</f>
      </c>
      <c r="D3890" s="6" t="str">
        <f>IF(OR(D3889=1,C3890=1),1,0)</f>
      </c>
      <c r="E3890" s="6" t="str">
        <f>IF(C3890=1,0,IF(D3889=1,E3889+1,0))</f>
      </c>
      <c r="F3890" s="6" t="str">
        <f>IF(AND(C3890=1,D3889=1),MIN(E3889,3),"")</f>
      </c>
    </row>
    <row r="3891">
      <c r="A3891" s="5">
        <v>853</v>
      </c>
      <c r="B3891" s="5" t="str">
        <f>'Lineal Mixto'!$C$857</f>
      </c>
      <c r="C3891" s="5" t="str">
        <f>IF(AND(B3891&gt;=$B$3034,B3891&lt;=$B$3035),1,0)</f>
      </c>
      <c r="D3891" s="5" t="str">
        <f>IF(OR(D3890=1,C3891=1),1,0)</f>
      </c>
      <c r="E3891" s="5" t="str">
        <f>IF(C3891=1,0,IF(D3890=1,E3890+1,0))</f>
      </c>
      <c r="F3891" s="5" t="str">
        <f>IF(AND(C3891=1,D3890=1),MIN(E3890,3),"")</f>
      </c>
    </row>
    <row r="3892">
      <c r="A3892" s="6">
        <v>854</v>
      </c>
      <c r="B3892" s="6" t="str">
        <f>'Lineal Mixto'!$C$858</f>
      </c>
      <c r="C3892" s="6" t="str">
        <f>IF(AND(B3892&gt;=$B$3034,B3892&lt;=$B$3035),1,0)</f>
      </c>
      <c r="D3892" s="6" t="str">
        <f>IF(OR(D3891=1,C3892=1),1,0)</f>
      </c>
      <c r="E3892" s="6" t="str">
        <f>IF(C3892=1,0,IF(D3891=1,E3891+1,0))</f>
      </c>
      <c r="F3892" s="6" t="str">
        <f>IF(AND(C3892=1,D3891=1),MIN(E3891,3),"")</f>
      </c>
    </row>
    <row r="3893">
      <c r="A3893" s="5">
        <v>855</v>
      </c>
      <c r="B3893" s="5" t="str">
        <f>'Lineal Mixto'!$C$859</f>
      </c>
      <c r="C3893" s="5" t="str">
        <f>IF(AND(B3893&gt;=$B$3034,B3893&lt;=$B$3035),1,0)</f>
      </c>
      <c r="D3893" s="5" t="str">
        <f>IF(OR(D3892=1,C3893=1),1,0)</f>
      </c>
      <c r="E3893" s="5" t="str">
        <f>IF(C3893=1,0,IF(D3892=1,E3892+1,0))</f>
      </c>
      <c r="F3893" s="5" t="str">
        <f>IF(AND(C3893=1,D3892=1),MIN(E3892,3),"")</f>
      </c>
    </row>
    <row r="3894">
      <c r="A3894" s="6">
        <v>856</v>
      </c>
      <c r="B3894" s="6" t="str">
        <f>'Lineal Mixto'!$C$860</f>
      </c>
      <c r="C3894" s="6" t="str">
        <f>IF(AND(B3894&gt;=$B$3034,B3894&lt;=$B$3035),1,0)</f>
      </c>
      <c r="D3894" s="6" t="str">
        <f>IF(OR(D3893=1,C3894=1),1,0)</f>
      </c>
      <c r="E3894" s="6" t="str">
        <f>IF(C3894=1,0,IF(D3893=1,E3893+1,0))</f>
      </c>
      <c r="F3894" s="6" t="str">
        <f>IF(AND(C3894=1,D3893=1),MIN(E3893,3),"")</f>
      </c>
    </row>
    <row r="3895">
      <c r="A3895" s="5">
        <v>857</v>
      </c>
      <c r="B3895" s="5" t="str">
        <f>'Lineal Mixto'!$C$861</f>
      </c>
      <c r="C3895" s="5" t="str">
        <f>IF(AND(B3895&gt;=$B$3034,B3895&lt;=$B$3035),1,0)</f>
      </c>
      <c r="D3895" s="5" t="str">
        <f>IF(OR(D3894=1,C3895=1),1,0)</f>
      </c>
      <c r="E3895" s="5" t="str">
        <f>IF(C3895=1,0,IF(D3894=1,E3894+1,0))</f>
      </c>
      <c r="F3895" s="5" t="str">
        <f>IF(AND(C3895=1,D3894=1),MIN(E3894,3),"")</f>
      </c>
    </row>
    <row r="3896">
      <c r="A3896" s="6">
        <v>858</v>
      </c>
      <c r="B3896" s="6" t="str">
        <f>'Lineal Mixto'!$C$862</f>
      </c>
      <c r="C3896" s="6" t="str">
        <f>IF(AND(B3896&gt;=$B$3034,B3896&lt;=$B$3035),1,0)</f>
      </c>
      <c r="D3896" s="6" t="str">
        <f>IF(OR(D3895=1,C3896=1),1,0)</f>
      </c>
      <c r="E3896" s="6" t="str">
        <f>IF(C3896=1,0,IF(D3895=1,E3895+1,0))</f>
      </c>
      <c r="F3896" s="6" t="str">
        <f>IF(AND(C3896=1,D3895=1),MIN(E3895,3),"")</f>
      </c>
    </row>
    <row r="3897">
      <c r="A3897" s="5">
        <v>859</v>
      </c>
      <c r="B3897" s="5" t="str">
        <f>'Lineal Mixto'!$C$863</f>
      </c>
      <c r="C3897" s="5" t="str">
        <f>IF(AND(B3897&gt;=$B$3034,B3897&lt;=$B$3035),1,0)</f>
      </c>
      <c r="D3897" s="5" t="str">
        <f>IF(OR(D3896=1,C3897=1),1,0)</f>
      </c>
      <c r="E3897" s="5" t="str">
        <f>IF(C3897=1,0,IF(D3896=1,E3896+1,0))</f>
      </c>
      <c r="F3897" s="5" t="str">
        <f>IF(AND(C3897=1,D3896=1),MIN(E3896,3),"")</f>
      </c>
    </row>
    <row r="3898">
      <c r="A3898" s="6">
        <v>860</v>
      </c>
      <c r="B3898" s="6" t="str">
        <f>'Lineal Mixto'!$C$864</f>
      </c>
      <c r="C3898" s="6" t="str">
        <f>IF(AND(B3898&gt;=$B$3034,B3898&lt;=$B$3035),1,0)</f>
      </c>
      <c r="D3898" s="6" t="str">
        <f>IF(OR(D3897=1,C3898=1),1,0)</f>
      </c>
      <c r="E3898" s="6" t="str">
        <f>IF(C3898=1,0,IF(D3897=1,E3897+1,0))</f>
      </c>
      <c r="F3898" s="6" t="str">
        <f>IF(AND(C3898=1,D3897=1),MIN(E3897,3),"")</f>
      </c>
    </row>
    <row r="3899">
      <c r="A3899" s="5">
        <v>861</v>
      </c>
      <c r="B3899" s="5" t="str">
        <f>'Lineal Mixto'!$C$865</f>
      </c>
      <c r="C3899" s="5" t="str">
        <f>IF(AND(B3899&gt;=$B$3034,B3899&lt;=$B$3035),1,0)</f>
      </c>
      <c r="D3899" s="5" t="str">
        <f>IF(OR(D3898=1,C3899=1),1,0)</f>
      </c>
      <c r="E3899" s="5" t="str">
        <f>IF(C3899=1,0,IF(D3898=1,E3898+1,0))</f>
      </c>
      <c r="F3899" s="5" t="str">
        <f>IF(AND(C3899=1,D3898=1),MIN(E3898,3),"")</f>
      </c>
    </row>
    <row r="3900">
      <c r="A3900" s="6">
        <v>862</v>
      </c>
      <c r="B3900" s="6" t="str">
        <f>'Lineal Mixto'!$C$866</f>
      </c>
      <c r="C3900" s="6" t="str">
        <f>IF(AND(B3900&gt;=$B$3034,B3900&lt;=$B$3035),1,0)</f>
      </c>
      <c r="D3900" s="6" t="str">
        <f>IF(OR(D3899=1,C3900=1),1,0)</f>
      </c>
      <c r="E3900" s="6" t="str">
        <f>IF(C3900=1,0,IF(D3899=1,E3899+1,0))</f>
      </c>
      <c r="F3900" s="6" t="str">
        <f>IF(AND(C3900=1,D3899=1),MIN(E3899,3),"")</f>
      </c>
    </row>
    <row r="3901">
      <c r="A3901" s="5">
        <v>863</v>
      </c>
      <c r="B3901" s="5" t="str">
        <f>'Lineal Mixto'!$C$867</f>
      </c>
      <c r="C3901" s="5" t="str">
        <f>IF(AND(B3901&gt;=$B$3034,B3901&lt;=$B$3035),1,0)</f>
      </c>
      <c r="D3901" s="5" t="str">
        <f>IF(OR(D3900=1,C3901=1),1,0)</f>
      </c>
      <c r="E3901" s="5" t="str">
        <f>IF(C3901=1,0,IF(D3900=1,E3900+1,0))</f>
      </c>
      <c r="F3901" s="5" t="str">
        <f>IF(AND(C3901=1,D3900=1),MIN(E3900,3),"")</f>
      </c>
    </row>
    <row r="3902">
      <c r="A3902" s="6">
        <v>864</v>
      </c>
      <c r="B3902" s="6" t="str">
        <f>'Lineal Mixto'!$C$868</f>
      </c>
      <c r="C3902" s="6" t="str">
        <f>IF(AND(B3902&gt;=$B$3034,B3902&lt;=$B$3035),1,0)</f>
      </c>
      <c r="D3902" s="6" t="str">
        <f>IF(OR(D3901=1,C3902=1),1,0)</f>
      </c>
      <c r="E3902" s="6" t="str">
        <f>IF(C3902=1,0,IF(D3901=1,E3901+1,0))</f>
      </c>
      <c r="F3902" s="6" t="str">
        <f>IF(AND(C3902=1,D3901=1),MIN(E3901,3),"")</f>
      </c>
    </row>
    <row r="3903">
      <c r="A3903" s="5">
        <v>865</v>
      </c>
      <c r="B3903" s="5" t="str">
        <f>'Lineal Mixto'!$C$869</f>
      </c>
      <c r="C3903" s="5" t="str">
        <f>IF(AND(B3903&gt;=$B$3034,B3903&lt;=$B$3035),1,0)</f>
      </c>
      <c r="D3903" s="5" t="str">
        <f>IF(OR(D3902=1,C3903=1),1,0)</f>
      </c>
      <c r="E3903" s="5" t="str">
        <f>IF(C3903=1,0,IF(D3902=1,E3902+1,0))</f>
      </c>
      <c r="F3903" s="5" t="str">
        <f>IF(AND(C3903=1,D3902=1),MIN(E3902,3),"")</f>
      </c>
    </row>
    <row r="3904">
      <c r="A3904" s="6">
        <v>866</v>
      </c>
      <c r="B3904" s="6" t="str">
        <f>'Lineal Mixto'!$C$870</f>
      </c>
      <c r="C3904" s="6" t="str">
        <f>IF(AND(B3904&gt;=$B$3034,B3904&lt;=$B$3035),1,0)</f>
      </c>
      <c r="D3904" s="6" t="str">
        <f>IF(OR(D3903=1,C3904=1),1,0)</f>
      </c>
      <c r="E3904" s="6" t="str">
        <f>IF(C3904=1,0,IF(D3903=1,E3903+1,0))</f>
      </c>
      <c r="F3904" s="6" t="str">
        <f>IF(AND(C3904=1,D3903=1),MIN(E3903,3),"")</f>
      </c>
    </row>
    <row r="3905">
      <c r="A3905" s="5">
        <v>867</v>
      </c>
      <c r="B3905" s="5" t="str">
        <f>'Lineal Mixto'!$C$871</f>
      </c>
      <c r="C3905" s="5" t="str">
        <f>IF(AND(B3905&gt;=$B$3034,B3905&lt;=$B$3035),1,0)</f>
      </c>
      <c r="D3905" s="5" t="str">
        <f>IF(OR(D3904=1,C3905=1),1,0)</f>
      </c>
      <c r="E3905" s="5" t="str">
        <f>IF(C3905=1,0,IF(D3904=1,E3904+1,0))</f>
      </c>
      <c r="F3905" s="5" t="str">
        <f>IF(AND(C3905=1,D3904=1),MIN(E3904,3),"")</f>
      </c>
    </row>
    <row r="3906">
      <c r="A3906" s="6">
        <v>868</v>
      </c>
      <c r="B3906" s="6" t="str">
        <f>'Lineal Mixto'!$C$872</f>
      </c>
      <c r="C3906" s="6" t="str">
        <f>IF(AND(B3906&gt;=$B$3034,B3906&lt;=$B$3035),1,0)</f>
      </c>
      <c r="D3906" s="6" t="str">
        <f>IF(OR(D3905=1,C3906=1),1,0)</f>
      </c>
      <c r="E3906" s="6" t="str">
        <f>IF(C3906=1,0,IF(D3905=1,E3905+1,0))</f>
      </c>
      <c r="F3906" s="6" t="str">
        <f>IF(AND(C3906=1,D3905=1),MIN(E3905,3),"")</f>
      </c>
    </row>
    <row r="3907">
      <c r="A3907" s="5">
        <v>869</v>
      </c>
      <c r="B3907" s="5" t="str">
        <f>'Lineal Mixto'!$C$873</f>
      </c>
      <c r="C3907" s="5" t="str">
        <f>IF(AND(B3907&gt;=$B$3034,B3907&lt;=$B$3035),1,0)</f>
      </c>
      <c r="D3907" s="5" t="str">
        <f>IF(OR(D3906=1,C3907=1),1,0)</f>
      </c>
      <c r="E3907" s="5" t="str">
        <f>IF(C3907=1,0,IF(D3906=1,E3906+1,0))</f>
      </c>
      <c r="F3907" s="5" t="str">
        <f>IF(AND(C3907=1,D3906=1),MIN(E3906,3),"")</f>
      </c>
    </row>
    <row r="3908">
      <c r="A3908" s="6">
        <v>870</v>
      </c>
      <c r="B3908" s="6" t="str">
        <f>'Lineal Mixto'!$C$874</f>
      </c>
      <c r="C3908" s="6" t="str">
        <f>IF(AND(B3908&gt;=$B$3034,B3908&lt;=$B$3035),1,0)</f>
      </c>
      <c r="D3908" s="6" t="str">
        <f>IF(OR(D3907=1,C3908=1),1,0)</f>
      </c>
      <c r="E3908" s="6" t="str">
        <f>IF(C3908=1,0,IF(D3907=1,E3907+1,0))</f>
      </c>
      <c r="F3908" s="6" t="str">
        <f>IF(AND(C3908=1,D3907=1),MIN(E3907,3),"")</f>
      </c>
    </row>
    <row r="3909">
      <c r="A3909" s="5">
        <v>871</v>
      </c>
      <c r="B3909" s="5" t="str">
        <f>'Lineal Mixto'!$C$875</f>
      </c>
      <c r="C3909" s="5" t="str">
        <f>IF(AND(B3909&gt;=$B$3034,B3909&lt;=$B$3035),1,0)</f>
      </c>
      <c r="D3909" s="5" t="str">
        <f>IF(OR(D3908=1,C3909=1),1,0)</f>
      </c>
      <c r="E3909" s="5" t="str">
        <f>IF(C3909=1,0,IF(D3908=1,E3908+1,0))</f>
      </c>
      <c r="F3909" s="5" t="str">
        <f>IF(AND(C3909=1,D3908=1),MIN(E3908,3),"")</f>
      </c>
    </row>
    <row r="3910">
      <c r="A3910" s="6">
        <v>872</v>
      </c>
      <c r="B3910" s="6" t="str">
        <f>'Lineal Mixto'!$C$876</f>
      </c>
      <c r="C3910" s="6" t="str">
        <f>IF(AND(B3910&gt;=$B$3034,B3910&lt;=$B$3035),1,0)</f>
      </c>
      <c r="D3910" s="6" t="str">
        <f>IF(OR(D3909=1,C3910=1),1,0)</f>
      </c>
      <c r="E3910" s="6" t="str">
        <f>IF(C3910=1,0,IF(D3909=1,E3909+1,0))</f>
      </c>
      <c r="F3910" s="6" t="str">
        <f>IF(AND(C3910=1,D3909=1),MIN(E3909,3),"")</f>
      </c>
    </row>
    <row r="3911">
      <c r="A3911" s="5">
        <v>873</v>
      </c>
      <c r="B3911" s="5" t="str">
        <f>'Lineal Mixto'!$C$877</f>
      </c>
      <c r="C3911" s="5" t="str">
        <f>IF(AND(B3911&gt;=$B$3034,B3911&lt;=$B$3035),1,0)</f>
      </c>
      <c r="D3911" s="5" t="str">
        <f>IF(OR(D3910=1,C3911=1),1,0)</f>
      </c>
      <c r="E3911" s="5" t="str">
        <f>IF(C3911=1,0,IF(D3910=1,E3910+1,0))</f>
      </c>
      <c r="F3911" s="5" t="str">
        <f>IF(AND(C3911=1,D3910=1),MIN(E3910,3),"")</f>
      </c>
    </row>
    <row r="3912">
      <c r="A3912" s="6">
        <v>874</v>
      </c>
      <c r="B3912" s="6" t="str">
        <f>'Lineal Mixto'!$C$878</f>
      </c>
      <c r="C3912" s="6" t="str">
        <f>IF(AND(B3912&gt;=$B$3034,B3912&lt;=$B$3035),1,0)</f>
      </c>
      <c r="D3912" s="6" t="str">
        <f>IF(OR(D3911=1,C3912=1),1,0)</f>
      </c>
      <c r="E3912" s="6" t="str">
        <f>IF(C3912=1,0,IF(D3911=1,E3911+1,0))</f>
      </c>
      <c r="F3912" s="6" t="str">
        <f>IF(AND(C3912=1,D3911=1),MIN(E3911,3),"")</f>
      </c>
    </row>
    <row r="3913">
      <c r="A3913" s="5">
        <v>875</v>
      </c>
      <c r="B3913" s="5" t="str">
        <f>'Lineal Mixto'!$C$879</f>
      </c>
      <c r="C3913" s="5" t="str">
        <f>IF(AND(B3913&gt;=$B$3034,B3913&lt;=$B$3035),1,0)</f>
      </c>
      <c r="D3913" s="5" t="str">
        <f>IF(OR(D3912=1,C3913=1),1,0)</f>
      </c>
      <c r="E3913" s="5" t="str">
        <f>IF(C3913=1,0,IF(D3912=1,E3912+1,0))</f>
      </c>
      <c r="F3913" s="5" t="str">
        <f>IF(AND(C3913=1,D3912=1),MIN(E3912,3),"")</f>
      </c>
    </row>
    <row r="3914">
      <c r="A3914" s="6">
        <v>876</v>
      </c>
      <c r="B3914" s="6" t="str">
        <f>'Lineal Mixto'!$C$880</f>
      </c>
      <c r="C3914" s="6" t="str">
        <f>IF(AND(B3914&gt;=$B$3034,B3914&lt;=$B$3035),1,0)</f>
      </c>
      <c r="D3914" s="6" t="str">
        <f>IF(OR(D3913=1,C3914=1),1,0)</f>
      </c>
      <c r="E3914" s="6" t="str">
        <f>IF(C3914=1,0,IF(D3913=1,E3913+1,0))</f>
      </c>
      <c r="F3914" s="6" t="str">
        <f>IF(AND(C3914=1,D3913=1),MIN(E3913,3),"")</f>
      </c>
    </row>
    <row r="3915">
      <c r="A3915" s="5">
        <v>877</v>
      </c>
      <c r="B3915" s="5" t="str">
        <f>'Lineal Mixto'!$C$881</f>
      </c>
      <c r="C3915" s="5" t="str">
        <f>IF(AND(B3915&gt;=$B$3034,B3915&lt;=$B$3035),1,0)</f>
      </c>
      <c r="D3915" s="5" t="str">
        <f>IF(OR(D3914=1,C3915=1),1,0)</f>
      </c>
      <c r="E3915" s="5" t="str">
        <f>IF(C3915=1,0,IF(D3914=1,E3914+1,0))</f>
      </c>
      <c r="F3915" s="5" t="str">
        <f>IF(AND(C3915=1,D3914=1),MIN(E3914,3),"")</f>
      </c>
    </row>
    <row r="3916">
      <c r="A3916" s="6">
        <v>878</v>
      </c>
      <c r="B3916" s="6" t="str">
        <f>'Lineal Mixto'!$C$882</f>
      </c>
      <c r="C3916" s="6" t="str">
        <f>IF(AND(B3916&gt;=$B$3034,B3916&lt;=$B$3035),1,0)</f>
      </c>
      <c r="D3916" s="6" t="str">
        <f>IF(OR(D3915=1,C3916=1),1,0)</f>
      </c>
      <c r="E3916" s="6" t="str">
        <f>IF(C3916=1,0,IF(D3915=1,E3915+1,0))</f>
      </c>
      <c r="F3916" s="6" t="str">
        <f>IF(AND(C3916=1,D3915=1),MIN(E3915,3),"")</f>
      </c>
    </row>
    <row r="3917">
      <c r="A3917" s="5">
        <v>879</v>
      </c>
      <c r="B3917" s="5" t="str">
        <f>'Lineal Mixto'!$C$883</f>
      </c>
      <c r="C3917" s="5" t="str">
        <f>IF(AND(B3917&gt;=$B$3034,B3917&lt;=$B$3035),1,0)</f>
      </c>
      <c r="D3917" s="5" t="str">
        <f>IF(OR(D3916=1,C3917=1),1,0)</f>
      </c>
      <c r="E3917" s="5" t="str">
        <f>IF(C3917=1,0,IF(D3916=1,E3916+1,0))</f>
      </c>
      <c r="F3917" s="5" t="str">
        <f>IF(AND(C3917=1,D3916=1),MIN(E3916,3),"")</f>
      </c>
    </row>
    <row r="3918">
      <c r="A3918" s="6">
        <v>880</v>
      </c>
      <c r="B3918" s="6" t="str">
        <f>'Lineal Mixto'!$C$884</f>
      </c>
      <c r="C3918" s="6" t="str">
        <f>IF(AND(B3918&gt;=$B$3034,B3918&lt;=$B$3035),1,0)</f>
      </c>
      <c r="D3918" s="6" t="str">
        <f>IF(OR(D3917=1,C3918=1),1,0)</f>
      </c>
      <c r="E3918" s="6" t="str">
        <f>IF(C3918=1,0,IF(D3917=1,E3917+1,0))</f>
      </c>
      <c r="F3918" s="6" t="str">
        <f>IF(AND(C3918=1,D3917=1),MIN(E3917,3),"")</f>
      </c>
    </row>
    <row r="3919">
      <c r="A3919" s="5">
        <v>881</v>
      </c>
      <c r="B3919" s="5" t="str">
        <f>'Lineal Mixto'!$C$885</f>
      </c>
      <c r="C3919" s="5" t="str">
        <f>IF(AND(B3919&gt;=$B$3034,B3919&lt;=$B$3035),1,0)</f>
      </c>
      <c r="D3919" s="5" t="str">
        <f>IF(OR(D3918=1,C3919=1),1,0)</f>
      </c>
      <c r="E3919" s="5" t="str">
        <f>IF(C3919=1,0,IF(D3918=1,E3918+1,0))</f>
      </c>
      <c r="F3919" s="5" t="str">
        <f>IF(AND(C3919=1,D3918=1),MIN(E3918,3),"")</f>
      </c>
    </row>
    <row r="3920">
      <c r="A3920" s="6">
        <v>882</v>
      </c>
      <c r="B3920" s="6" t="str">
        <f>'Lineal Mixto'!$C$886</f>
      </c>
      <c r="C3920" s="6" t="str">
        <f>IF(AND(B3920&gt;=$B$3034,B3920&lt;=$B$3035),1,0)</f>
      </c>
      <c r="D3920" s="6" t="str">
        <f>IF(OR(D3919=1,C3920=1),1,0)</f>
      </c>
      <c r="E3920" s="6" t="str">
        <f>IF(C3920=1,0,IF(D3919=1,E3919+1,0))</f>
      </c>
      <c r="F3920" s="6" t="str">
        <f>IF(AND(C3920=1,D3919=1),MIN(E3919,3),"")</f>
      </c>
    </row>
    <row r="3921">
      <c r="A3921" s="5">
        <v>883</v>
      </c>
      <c r="B3921" s="5" t="str">
        <f>'Lineal Mixto'!$C$887</f>
      </c>
      <c r="C3921" s="5" t="str">
        <f>IF(AND(B3921&gt;=$B$3034,B3921&lt;=$B$3035),1,0)</f>
      </c>
      <c r="D3921" s="5" t="str">
        <f>IF(OR(D3920=1,C3921=1),1,0)</f>
      </c>
      <c r="E3921" s="5" t="str">
        <f>IF(C3921=1,0,IF(D3920=1,E3920+1,0))</f>
      </c>
      <c r="F3921" s="5" t="str">
        <f>IF(AND(C3921=1,D3920=1),MIN(E3920,3),"")</f>
      </c>
    </row>
    <row r="3922">
      <c r="A3922" s="6">
        <v>884</v>
      </c>
      <c r="B3922" s="6" t="str">
        <f>'Lineal Mixto'!$C$888</f>
      </c>
      <c r="C3922" s="6" t="str">
        <f>IF(AND(B3922&gt;=$B$3034,B3922&lt;=$B$3035),1,0)</f>
      </c>
      <c r="D3922" s="6" t="str">
        <f>IF(OR(D3921=1,C3922=1),1,0)</f>
      </c>
      <c r="E3922" s="6" t="str">
        <f>IF(C3922=1,0,IF(D3921=1,E3921+1,0))</f>
      </c>
      <c r="F3922" s="6" t="str">
        <f>IF(AND(C3922=1,D3921=1),MIN(E3921,3),"")</f>
      </c>
    </row>
    <row r="3923">
      <c r="A3923" s="5">
        <v>885</v>
      </c>
      <c r="B3923" s="5" t="str">
        <f>'Lineal Mixto'!$C$889</f>
      </c>
      <c r="C3923" s="5" t="str">
        <f>IF(AND(B3923&gt;=$B$3034,B3923&lt;=$B$3035),1,0)</f>
      </c>
      <c r="D3923" s="5" t="str">
        <f>IF(OR(D3922=1,C3923=1),1,0)</f>
      </c>
      <c r="E3923" s="5" t="str">
        <f>IF(C3923=1,0,IF(D3922=1,E3922+1,0))</f>
      </c>
      <c r="F3923" s="5" t="str">
        <f>IF(AND(C3923=1,D3922=1),MIN(E3922,3),"")</f>
      </c>
    </row>
    <row r="3924">
      <c r="A3924" s="6">
        <v>886</v>
      </c>
      <c r="B3924" s="6" t="str">
        <f>'Lineal Mixto'!$C$890</f>
      </c>
      <c r="C3924" s="6" t="str">
        <f>IF(AND(B3924&gt;=$B$3034,B3924&lt;=$B$3035),1,0)</f>
      </c>
      <c r="D3924" s="6" t="str">
        <f>IF(OR(D3923=1,C3924=1),1,0)</f>
      </c>
      <c r="E3924" s="6" t="str">
        <f>IF(C3924=1,0,IF(D3923=1,E3923+1,0))</f>
      </c>
      <c r="F3924" s="6" t="str">
        <f>IF(AND(C3924=1,D3923=1),MIN(E3923,3),"")</f>
      </c>
    </row>
    <row r="3925">
      <c r="A3925" s="5">
        <v>887</v>
      </c>
      <c r="B3925" s="5" t="str">
        <f>'Lineal Mixto'!$C$891</f>
      </c>
      <c r="C3925" s="5" t="str">
        <f>IF(AND(B3925&gt;=$B$3034,B3925&lt;=$B$3035),1,0)</f>
      </c>
      <c r="D3925" s="5" t="str">
        <f>IF(OR(D3924=1,C3925=1),1,0)</f>
      </c>
      <c r="E3925" s="5" t="str">
        <f>IF(C3925=1,0,IF(D3924=1,E3924+1,0))</f>
      </c>
      <c r="F3925" s="5" t="str">
        <f>IF(AND(C3925=1,D3924=1),MIN(E3924,3),"")</f>
      </c>
    </row>
    <row r="3926">
      <c r="A3926" s="6">
        <v>888</v>
      </c>
      <c r="B3926" s="6" t="str">
        <f>'Lineal Mixto'!$C$892</f>
      </c>
      <c r="C3926" s="6" t="str">
        <f>IF(AND(B3926&gt;=$B$3034,B3926&lt;=$B$3035),1,0)</f>
      </c>
      <c r="D3926" s="6" t="str">
        <f>IF(OR(D3925=1,C3926=1),1,0)</f>
      </c>
      <c r="E3926" s="6" t="str">
        <f>IF(C3926=1,0,IF(D3925=1,E3925+1,0))</f>
      </c>
      <c r="F3926" s="6" t="str">
        <f>IF(AND(C3926=1,D3925=1),MIN(E3925,3),"")</f>
      </c>
    </row>
    <row r="3927">
      <c r="A3927" s="5">
        <v>889</v>
      </c>
      <c r="B3927" s="5" t="str">
        <f>'Lineal Mixto'!$C$893</f>
      </c>
      <c r="C3927" s="5" t="str">
        <f>IF(AND(B3927&gt;=$B$3034,B3927&lt;=$B$3035),1,0)</f>
      </c>
      <c r="D3927" s="5" t="str">
        <f>IF(OR(D3926=1,C3927=1),1,0)</f>
      </c>
      <c r="E3927" s="5" t="str">
        <f>IF(C3927=1,0,IF(D3926=1,E3926+1,0))</f>
      </c>
      <c r="F3927" s="5" t="str">
        <f>IF(AND(C3927=1,D3926=1),MIN(E3926,3),"")</f>
      </c>
    </row>
    <row r="3928">
      <c r="A3928" s="6">
        <v>890</v>
      </c>
      <c r="B3928" s="6" t="str">
        <f>'Lineal Mixto'!$C$894</f>
      </c>
      <c r="C3928" s="6" t="str">
        <f>IF(AND(B3928&gt;=$B$3034,B3928&lt;=$B$3035),1,0)</f>
      </c>
      <c r="D3928" s="6" t="str">
        <f>IF(OR(D3927=1,C3928=1),1,0)</f>
      </c>
      <c r="E3928" s="6" t="str">
        <f>IF(C3928=1,0,IF(D3927=1,E3927+1,0))</f>
      </c>
      <c r="F3928" s="6" t="str">
        <f>IF(AND(C3928=1,D3927=1),MIN(E3927,3),"")</f>
      </c>
    </row>
    <row r="3929">
      <c r="A3929" s="5">
        <v>891</v>
      </c>
      <c r="B3929" s="5" t="str">
        <f>'Lineal Mixto'!$C$895</f>
      </c>
      <c r="C3929" s="5" t="str">
        <f>IF(AND(B3929&gt;=$B$3034,B3929&lt;=$B$3035),1,0)</f>
      </c>
      <c r="D3929" s="5" t="str">
        <f>IF(OR(D3928=1,C3929=1),1,0)</f>
      </c>
      <c r="E3929" s="5" t="str">
        <f>IF(C3929=1,0,IF(D3928=1,E3928+1,0))</f>
      </c>
      <c r="F3929" s="5" t="str">
        <f>IF(AND(C3929=1,D3928=1),MIN(E3928,3),"")</f>
      </c>
    </row>
    <row r="3930">
      <c r="A3930" s="6">
        <v>892</v>
      </c>
      <c r="B3930" s="6" t="str">
        <f>'Lineal Mixto'!$C$896</f>
      </c>
      <c r="C3930" s="6" t="str">
        <f>IF(AND(B3930&gt;=$B$3034,B3930&lt;=$B$3035),1,0)</f>
      </c>
      <c r="D3930" s="6" t="str">
        <f>IF(OR(D3929=1,C3930=1),1,0)</f>
      </c>
      <c r="E3930" s="6" t="str">
        <f>IF(C3930=1,0,IF(D3929=1,E3929+1,0))</f>
      </c>
      <c r="F3930" s="6" t="str">
        <f>IF(AND(C3930=1,D3929=1),MIN(E3929,3),"")</f>
      </c>
    </row>
    <row r="3931">
      <c r="A3931" s="5">
        <v>893</v>
      </c>
      <c r="B3931" s="5" t="str">
        <f>'Lineal Mixto'!$C$897</f>
      </c>
      <c r="C3931" s="5" t="str">
        <f>IF(AND(B3931&gt;=$B$3034,B3931&lt;=$B$3035),1,0)</f>
      </c>
      <c r="D3931" s="5" t="str">
        <f>IF(OR(D3930=1,C3931=1),1,0)</f>
      </c>
      <c r="E3931" s="5" t="str">
        <f>IF(C3931=1,0,IF(D3930=1,E3930+1,0))</f>
      </c>
      <c r="F3931" s="5" t="str">
        <f>IF(AND(C3931=1,D3930=1),MIN(E3930,3),"")</f>
      </c>
    </row>
    <row r="3932">
      <c r="A3932" s="6">
        <v>894</v>
      </c>
      <c r="B3932" s="6" t="str">
        <f>'Lineal Mixto'!$C$898</f>
      </c>
      <c r="C3932" s="6" t="str">
        <f>IF(AND(B3932&gt;=$B$3034,B3932&lt;=$B$3035),1,0)</f>
      </c>
      <c r="D3932" s="6" t="str">
        <f>IF(OR(D3931=1,C3932=1),1,0)</f>
      </c>
      <c r="E3932" s="6" t="str">
        <f>IF(C3932=1,0,IF(D3931=1,E3931+1,0))</f>
      </c>
      <c r="F3932" s="6" t="str">
        <f>IF(AND(C3932=1,D3931=1),MIN(E3931,3),"")</f>
      </c>
    </row>
    <row r="3933">
      <c r="A3933" s="5">
        <v>895</v>
      </c>
      <c r="B3933" s="5" t="str">
        <f>'Lineal Mixto'!$C$899</f>
      </c>
      <c r="C3933" s="5" t="str">
        <f>IF(AND(B3933&gt;=$B$3034,B3933&lt;=$B$3035),1,0)</f>
      </c>
      <c r="D3933" s="5" t="str">
        <f>IF(OR(D3932=1,C3933=1),1,0)</f>
      </c>
      <c r="E3933" s="5" t="str">
        <f>IF(C3933=1,0,IF(D3932=1,E3932+1,0))</f>
      </c>
      <c r="F3933" s="5" t="str">
        <f>IF(AND(C3933=1,D3932=1),MIN(E3932,3),"")</f>
      </c>
    </row>
    <row r="3934">
      <c r="A3934" s="6">
        <v>896</v>
      </c>
      <c r="B3934" s="6" t="str">
        <f>'Lineal Mixto'!$C$900</f>
      </c>
      <c r="C3934" s="6" t="str">
        <f>IF(AND(B3934&gt;=$B$3034,B3934&lt;=$B$3035),1,0)</f>
      </c>
      <c r="D3934" s="6" t="str">
        <f>IF(OR(D3933=1,C3934=1),1,0)</f>
      </c>
      <c r="E3934" s="6" t="str">
        <f>IF(C3934=1,0,IF(D3933=1,E3933+1,0))</f>
      </c>
      <c r="F3934" s="6" t="str">
        <f>IF(AND(C3934=1,D3933=1),MIN(E3933,3),"")</f>
      </c>
    </row>
    <row r="3935">
      <c r="A3935" s="5">
        <v>897</v>
      </c>
      <c r="B3935" s="5" t="str">
        <f>'Lineal Mixto'!$C$901</f>
      </c>
      <c r="C3935" s="5" t="str">
        <f>IF(AND(B3935&gt;=$B$3034,B3935&lt;=$B$3035),1,0)</f>
      </c>
      <c r="D3935" s="5" t="str">
        <f>IF(OR(D3934=1,C3935=1),1,0)</f>
      </c>
      <c r="E3935" s="5" t="str">
        <f>IF(C3935=1,0,IF(D3934=1,E3934+1,0))</f>
      </c>
      <c r="F3935" s="5" t="str">
        <f>IF(AND(C3935=1,D3934=1),MIN(E3934,3),"")</f>
      </c>
    </row>
    <row r="3936">
      <c r="A3936" s="6">
        <v>898</v>
      </c>
      <c r="B3936" s="6" t="str">
        <f>'Lineal Mixto'!$C$902</f>
      </c>
      <c r="C3936" s="6" t="str">
        <f>IF(AND(B3936&gt;=$B$3034,B3936&lt;=$B$3035),1,0)</f>
      </c>
      <c r="D3936" s="6" t="str">
        <f>IF(OR(D3935=1,C3936=1),1,0)</f>
      </c>
      <c r="E3936" s="6" t="str">
        <f>IF(C3936=1,0,IF(D3935=1,E3935+1,0))</f>
      </c>
      <c r="F3936" s="6" t="str">
        <f>IF(AND(C3936=1,D3935=1),MIN(E3935,3),"")</f>
      </c>
    </row>
    <row r="3937">
      <c r="A3937" s="5">
        <v>899</v>
      </c>
      <c r="B3937" s="5" t="str">
        <f>'Lineal Mixto'!$C$903</f>
      </c>
      <c r="C3937" s="5" t="str">
        <f>IF(AND(B3937&gt;=$B$3034,B3937&lt;=$B$3035),1,0)</f>
      </c>
      <c r="D3937" s="5" t="str">
        <f>IF(OR(D3936=1,C3937=1),1,0)</f>
      </c>
      <c r="E3937" s="5" t="str">
        <f>IF(C3937=1,0,IF(D3936=1,E3936+1,0))</f>
      </c>
      <c r="F3937" s="5" t="str">
        <f>IF(AND(C3937=1,D3936=1),MIN(E3936,3),"")</f>
      </c>
    </row>
    <row r="3938">
      <c r="A3938" s="6">
        <v>900</v>
      </c>
      <c r="B3938" s="6" t="str">
        <f>'Lineal Mixto'!$C$904</f>
      </c>
      <c r="C3938" s="6" t="str">
        <f>IF(AND(B3938&gt;=$B$3034,B3938&lt;=$B$3035),1,0)</f>
      </c>
      <c r="D3938" s="6" t="str">
        <f>IF(OR(D3937=1,C3938=1),1,0)</f>
      </c>
      <c r="E3938" s="6" t="str">
        <f>IF(C3938=1,0,IF(D3937=1,E3937+1,0))</f>
      </c>
      <c r="F3938" s="6" t="str">
        <f>IF(AND(C3938=1,D3937=1),MIN(E3937,3),"")</f>
      </c>
    </row>
    <row r="3939">
      <c r="A3939" s="5">
        <v>901</v>
      </c>
      <c r="B3939" s="5" t="str">
        <f>'Lineal Mixto'!$C$905</f>
      </c>
      <c r="C3939" s="5" t="str">
        <f>IF(AND(B3939&gt;=$B$3034,B3939&lt;=$B$3035),1,0)</f>
      </c>
      <c r="D3939" s="5" t="str">
        <f>IF(OR(D3938=1,C3939=1),1,0)</f>
      </c>
      <c r="E3939" s="5" t="str">
        <f>IF(C3939=1,0,IF(D3938=1,E3938+1,0))</f>
      </c>
      <c r="F3939" s="5" t="str">
        <f>IF(AND(C3939=1,D3938=1),MIN(E3938,3),"")</f>
      </c>
    </row>
    <row r="3940">
      <c r="A3940" s="6">
        <v>902</v>
      </c>
      <c r="B3940" s="6" t="str">
        <f>'Lineal Mixto'!$C$906</f>
      </c>
      <c r="C3940" s="6" t="str">
        <f>IF(AND(B3940&gt;=$B$3034,B3940&lt;=$B$3035),1,0)</f>
      </c>
      <c r="D3940" s="6" t="str">
        <f>IF(OR(D3939=1,C3940=1),1,0)</f>
      </c>
      <c r="E3940" s="6" t="str">
        <f>IF(C3940=1,0,IF(D3939=1,E3939+1,0))</f>
      </c>
      <c r="F3940" s="6" t="str">
        <f>IF(AND(C3940=1,D3939=1),MIN(E3939,3),"")</f>
      </c>
    </row>
    <row r="3941">
      <c r="A3941" s="5">
        <v>903</v>
      </c>
      <c r="B3941" s="5" t="str">
        <f>'Lineal Mixto'!$C$907</f>
      </c>
      <c r="C3941" s="5" t="str">
        <f>IF(AND(B3941&gt;=$B$3034,B3941&lt;=$B$3035),1,0)</f>
      </c>
      <c r="D3941" s="5" t="str">
        <f>IF(OR(D3940=1,C3941=1),1,0)</f>
      </c>
      <c r="E3941" s="5" t="str">
        <f>IF(C3941=1,0,IF(D3940=1,E3940+1,0))</f>
      </c>
      <c r="F3941" s="5" t="str">
        <f>IF(AND(C3941=1,D3940=1),MIN(E3940,3),"")</f>
      </c>
    </row>
    <row r="3942">
      <c r="A3942" s="6">
        <v>904</v>
      </c>
      <c r="B3942" s="6" t="str">
        <f>'Lineal Mixto'!$C$908</f>
      </c>
      <c r="C3942" s="6" t="str">
        <f>IF(AND(B3942&gt;=$B$3034,B3942&lt;=$B$3035),1,0)</f>
      </c>
      <c r="D3942" s="6" t="str">
        <f>IF(OR(D3941=1,C3942=1),1,0)</f>
      </c>
      <c r="E3942" s="6" t="str">
        <f>IF(C3942=1,0,IF(D3941=1,E3941+1,0))</f>
      </c>
      <c r="F3942" s="6" t="str">
        <f>IF(AND(C3942=1,D3941=1),MIN(E3941,3),"")</f>
      </c>
    </row>
    <row r="3943">
      <c r="A3943" s="5">
        <v>905</v>
      </c>
      <c r="B3943" s="5" t="str">
        <f>'Lineal Mixto'!$C$909</f>
      </c>
      <c r="C3943" s="5" t="str">
        <f>IF(AND(B3943&gt;=$B$3034,B3943&lt;=$B$3035),1,0)</f>
      </c>
      <c r="D3943" s="5" t="str">
        <f>IF(OR(D3942=1,C3943=1),1,0)</f>
      </c>
      <c r="E3943" s="5" t="str">
        <f>IF(C3943=1,0,IF(D3942=1,E3942+1,0))</f>
      </c>
      <c r="F3943" s="5" t="str">
        <f>IF(AND(C3943=1,D3942=1),MIN(E3942,3),"")</f>
      </c>
    </row>
    <row r="3944">
      <c r="A3944" s="6">
        <v>906</v>
      </c>
      <c r="B3944" s="6" t="str">
        <f>'Lineal Mixto'!$C$910</f>
      </c>
      <c r="C3944" s="6" t="str">
        <f>IF(AND(B3944&gt;=$B$3034,B3944&lt;=$B$3035),1,0)</f>
      </c>
      <c r="D3944" s="6" t="str">
        <f>IF(OR(D3943=1,C3944=1),1,0)</f>
      </c>
      <c r="E3944" s="6" t="str">
        <f>IF(C3944=1,0,IF(D3943=1,E3943+1,0))</f>
      </c>
      <c r="F3944" s="6" t="str">
        <f>IF(AND(C3944=1,D3943=1),MIN(E3943,3),"")</f>
      </c>
    </row>
    <row r="3945">
      <c r="A3945" s="5">
        <v>907</v>
      </c>
      <c r="B3945" s="5" t="str">
        <f>'Lineal Mixto'!$C$911</f>
      </c>
      <c r="C3945" s="5" t="str">
        <f>IF(AND(B3945&gt;=$B$3034,B3945&lt;=$B$3035),1,0)</f>
      </c>
      <c r="D3945" s="5" t="str">
        <f>IF(OR(D3944=1,C3945=1),1,0)</f>
      </c>
      <c r="E3945" s="5" t="str">
        <f>IF(C3945=1,0,IF(D3944=1,E3944+1,0))</f>
      </c>
      <c r="F3945" s="5" t="str">
        <f>IF(AND(C3945=1,D3944=1),MIN(E3944,3),"")</f>
      </c>
    </row>
    <row r="3946">
      <c r="A3946" s="6">
        <v>908</v>
      </c>
      <c r="B3946" s="6" t="str">
        <f>'Lineal Mixto'!$C$912</f>
      </c>
      <c r="C3946" s="6" t="str">
        <f>IF(AND(B3946&gt;=$B$3034,B3946&lt;=$B$3035),1,0)</f>
      </c>
      <c r="D3946" s="6" t="str">
        <f>IF(OR(D3945=1,C3946=1),1,0)</f>
      </c>
      <c r="E3946" s="6" t="str">
        <f>IF(C3946=1,0,IF(D3945=1,E3945+1,0))</f>
      </c>
      <c r="F3946" s="6" t="str">
        <f>IF(AND(C3946=1,D3945=1),MIN(E3945,3),"")</f>
      </c>
    </row>
    <row r="3947">
      <c r="A3947" s="5">
        <v>909</v>
      </c>
      <c r="B3947" s="5" t="str">
        <f>'Lineal Mixto'!$C$913</f>
      </c>
      <c r="C3947" s="5" t="str">
        <f>IF(AND(B3947&gt;=$B$3034,B3947&lt;=$B$3035),1,0)</f>
      </c>
      <c r="D3947" s="5" t="str">
        <f>IF(OR(D3946=1,C3947=1),1,0)</f>
      </c>
      <c r="E3947" s="5" t="str">
        <f>IF(C3947=1,0,IF(D3946=1,E3946+1,0))</f>
      </c>
      <c r="F3947" s="5" t="str">
        <f>IF(AND(C3947=1,D3946=1),MIN(E3946,3),"")</f>
      </c>
    </row>
    <row r="3948">
      <c r="A3948" s="6">
        <v>910</v>
      </c>
      <c r="B3948" s="6" t="str">
        <f>'Lineal Mixto'!$C$914</f>
      </c>
      <c r="C3948" s="6" t="str">
        <f>IF(AND(B3948&gt;=$B$3034,B3948&lt;=$B$3035),1,0)</f>
      </c>
      <c r="D3948" s="6" t="str">
        <f>IF(OR(D3947=1,C3948=1),1,0)</f>
      </c>
      <c r="E3948" s="6" t="str">
        <f>IF(C3948=1,0,IF(D3947=1,E3947+1,0))</f>
      </c>
      <c r="F3948" s="6" t="str">
        <f>IF(AND(C3948=1,D3947=1),MIN(E3947,3),"")</f>
      </c>
    </row>
    <row r="3949">
      <c r="A3949" s="5">
        <v>911</v>
      </c>
      <c r="B3949" s="5" t="str">
        <f>'Lineal Mixto'!$C$915</f>
      </c>
      <c r="C3949" s="5" t="str">
        <f>IF(AND(B3949&gt;=$B$3034,B3949&lt;=$B$3035),1,0)</f>
      </c>
      <c r="D3949" s="5" t="str">
        <f>IF(OR(D3948=1,C3949=1),1,0)</f>
      </c>
      <c r="E3949" s="5" t="str">
        <f>IF(C3949=1,0,IF(D3948=1,E3948+1,0))</f>
      </c>
      <c r="F3949" s="5" t="str">
        <f>IF(AND(C3949=1,D3948=1),MIN(E3948,3),"")</f>
      </c>
    </row>
    <row r="3950">
      <c r="A3950" s="6">
        <v>912</v>
      </c>
      <c r="B3950" s="6" t="str">
        <f>'Lineal Mixto'!$C$916</f>
      </c>
      <c r="C3950" s="6" t="str">
        <f>IF(AND(B3950&gt;=$B$3034,B3950&lt;=$B$3035),1,0)</f>
      </c>
      <c r="D3950" s="6" t="str">
        <f>IF(OR(D3949=1,C3950=1),1,0)</f>
      </c>
      <c r="E3950" s="6" t="str">
        <f>IF(C3950=1,0,IF(D3949=1,E3949+1,0))</f>
      </c>
      <c r="F3950" s="6" t="str">
        <f>IF(AND(C3950=1,D3949=1),MIN(E3949,3),"")</f>
      </c>
    </row>
    <row r="3951">
      <c r="A3951" s="5">
        <v>913</v>
      </c>
      <c r="B3951" s="5" t="str">
        <f>'Lineal Mixto'!$C$917</f>
      </c>
      <c r="C3951" s="5" t="str">
        <f>IF(AND(B3951&gt;=$B$3034,B3951&lt;=$B$3035),1,0)</f>
      </c>
      <c r="D3951" s="5" t="str">
        <f>IF(OR(D3950=1,C3951=1),1,0)</f>
      </c>
      <c r="E3951" s="5" t="str">
        <f>IF(C3951=1,0,IF(D3950=1,E3950+1,0))</f>
      </c>
      <c r="F3951" s="5" t="str">
        <f>IF(AND(C3951=1,D3950=1),MIN(E3950,3),"")</f>
      </c>
    </row>
    <row r="3952">
      <c r="A3952" s="6">
        <v>914</v>
      </c>
      <c r="B3952" s="6" t="str">
        <f>'Lineal Mixto'!$C$918</f>
      </c>
      <c r="C3952" s="6" t="str">
        <f>IF(AND(B3952&gt;=$B$3034,B3952&lt;=$B$3035),1,0)</f>
      </c>
      <c r="D3952" s="6" t="str">
        <f>IF(OR(D3951=1,C3952=1),1,0)</f>
      </c>
      <c r="E3952" s="6" t="str">
        <f>IF(C3952=1,0,IF(D3951=1,E3951+1,0))</f>
      </c>
      <c r="F3952" s="6" t="str">
        <f>IF(AND(C3952=1,D3951=1),MIN(E3951,3),"")</f>
      </c>
    </row>
    <row r="3953">
      <c r="A3953" s="5">
        <v>915</v>
      </c>
      <c r="B3953" s="5" t="str">
        <f>'Lineal Mixto'!$C$919</f>
      </c>
      <c r="C3953" s="5" t="str">
        <f>IF(AND(B3953&gt;=$B$3034,B3953&lt;=$B$3035),1,0)</f>
      </c>
      <c r="D3953" s="5" t="str">
        <f>IF(OR(D3952=1,C3953=1),1,0)</f>
      </c>
      <c r="E3953" s="5" t="str">
        <f>IF(C3953=1,0,IF(D3952=1,E3952+1,0))</f>
      </c>
      <c r="F3953" s="5" t="str">
        <f>IF(AND(C3953=1,D3952=1),MIN(E3952,3),"")</f>
      </c>
    </row>
    <row r="3954">
      <c r="A3954" s="6">
        <v>916</v>
      </c>
      <c r="B3954" s="6" t="str">
        <f>'Lineal Mixto'!$C$920</f>
      </c>
      <c r="C3954" s="6" t="str">
        <f>IF(AND(B3954&gt;=$B$3034,B3954&lt;=$B$3035),1,0)</f>
      </c>
      <c r="D3954" s="6" t="str">
        <f>IF(OR(D3953=1,C3954=1),1,0)</f>
      </c>
      <c r="E3954" s="6" t="str">
        <f>IF(C3954=1,0,IF(D3953=1,E3953+1,0))</f>
      </c>
      <c r="F3954" s="6" t="str">
        <f>IF(AND(C3954=1,D3953=1),MIN(E3953,3),"")</f>
      </c>
    </row>
    <row r="3955">
      <c r="A3955" s="5">
        <v>917</v>
      </c>
      <c r="B3955" s="5" t="str">
        <f>'Lineal Mixto'!$C$921</f>
      </c>
      <c r="C3955" s="5" t="str">
        <f>IF(AND(B3955&gt;=$B$3034,B3955&lt;=$B$3035),1,0)</f>
      </c>
      <c r="D3955" s="5" t="str">
        <f>IF(OR(D3954=1,C3955=1),1,0)</f>
      </c>
      <c r="E3955" s="5" t="str">
        <f>IF(C3955=1,0,IF(D3954=1,E3954+1,0))</f>
      </c>
      <c r="F3955" s="5" t="str">
        <f>IF(AND(C3955=1,D3954=1),MIN(E3954,3),"")</f>
      </c>
    </row>
    <row r="3956">
      <c r="A3956" s="6">
        <v>918</v>
      </c>
      <c r="B3956" s="6" t="str">
        <f>'Lineal Mixto'!$C$922</f>
      </c>
      <c r="C3956" s="6" t="str">
        <f>IF(AND(B3956&gt;=$B$3034,B3956&lt;=$B$3035),1,0)</f>
      </c>
      <c r="D3956" s="6" t="str">
        <f>IF(OR(D3955=1,C3956=1),1,0)</f>
      </c>
      <c r="E3956" s="6" t="str">
        <f>IF(C3956=1,0,IF(D3955=1,E3955+1,0))</f>
      </c>
      <c r="F3956" s="6" t="str">
        <f>IF(AND(C3956=1,D3955=1),MIN(E3955,3),"")</f>
      </c>
    </row>
    <row r="3957">
      <c r="A3957" s="5">
        <v>919</v>
      </c>
      <c r="B3957" s="5" t="str">
        <f>'Lineal Mixto'!$C$923</f>
      </c>
      <c r="C3957" s="5" t="str">
        <f>IF(AND(B3957&gt;=$B$3034,B3957&lt;=$B$3035),1,0)</f>
      </c>
      <c r="D3957" s="5" t="str">
        <f>IF(OR(D3956=1,C3957=1),1,0)</f>
      </c>
      <c r="E3957" s="5" t="str">
        <f>IF(C3957=1,0,IF(D3956=1,E3956+1,0))</f>
      </c>
      <c r="F3957" s="5" t="str">
        <f>IF(AND(C3957=1,D3956=1),MIN(E3956,3),"")</f>
      </c>
    </row>
    <row r="3958">
      <c r="A3958" s="6">
        <v>920</v>
      </c>
      <c r="B3958" s="6" t="str">
        <f>'Lineal Mixto'!$C$924</f>
      </c>
      <c r="C3958" s="6" t="str">
        <f>IF(AND(B3958&gt;=$B$3034,B3958&lt;=$B$3035),1,0)</f>
      </c>
      <c r="D3958" s="6" t="str">
        <f>IF(OR(D3957=1,C3958=1),1,0)</f>
      </c>
      <c r="E3958" s="6" t="str">
        <f>IF(C3958=1,0,IF(D3957=1,E3957+1,0))</f>
      </c>
      <c r="F3958" s="6" t="str">
        <f>IF(AND(C3958=1,D3957=1),MIN(E3957,3),"")</f>
      </c>
    </row>
    <row r="3959">
      <c r="A3959" s="5">
        <v>921</v>
      </c>
      <c r="B3959" s="5" t="str">
        <f>'Lineal Mixto'!$C$925</f>
      </c>
      <c r="C3959" s="5" t="str">
        <f>IF(AND(B3959&gt;=$B$3034,B3959&lt;=$B$3035),1,0)</f>
      </c>
      <c r="D3959" s="5" t="str">
        <f>IF(OR(D3958=1,C3959=1),1,0)</f>
      </c>
      <c r="E3959" s="5" t="str">
        <f>IF(C3959=1,0,IF(D3958=1,E3958+1,0))</f>
      </c>
      <c r="F3959" s="5" t="str">
        <f>IF(AND(C3959=1,D3958=1),MIN(E3958,3),"")</f>
      </c>
    </row>
    <row r="3960">
      <c r="A3960" s="6">
        <v>922</v>
      </c>
      <c r="B3960" s="6" t="str">
        <f>'Lineal Mixto'!$C$926</f>
      </c>
      <c r="C3960" s="6" t="str">
        <f>IF(AND(B3960&gt;=$B$3034,B3960&lt;=$B$3035),1,0)</f>
      </c>
      <c r="D3960" s="6" t="str">
        <f>IF(OR(D3959=1,C3960=1),1,0)</f>
      </c>
      <c r="E3960" s="6" t="str">
        <f>IF(C3960=1,0,IF(D3959=1,E3959+1,0))</f>
      </c>
      <c r="F3960" s="6" t="str">
        <f>IF(AND(C3960=1,D3959=1),MIN(E3959,3),"")</f>
      </c>
    </row>
    <row r="3961">
      <c r="A3961" s="5">
        <v>923</v>
      </c>
      <c r="B3961" s="5" t="str">
        <f>'Lineal Mixto'!$C$927</f>
      </c>
      <c r="C3961" s="5" t="str">
        <f>IF(AND(B3961&gt;=$B$3034,B3961&lt;=$B$3035),1,0)</f>
      </c>
      <c r="D3961" s="5" t="str">
        <f>IF(OR(D3960=1,C3961=1),1,0)</f>
      </c>
      <c r="E3961" s="5" t="str">
        <f>IF(C3961=1,0,IF(D3960=1,E3960+1,0))</f>
      </c>
      <c r="F3961" s="5" t="str">
        <f>IF(AND(C3961=1,D3960=1),MIN(E3960,3),"")</f>
      </c>
    </row>
    <row r="3962">
      <c r="A3962" s="6">
        <v>924</v>
      </c>
      <c r="B3962" s="6" t="str">
        <f>'Lineal Mixto'!$C$928</f>
      </c>
      <c r="C3962" s="6" t="str">
        <f>IF(AND(B3962&gt;=$B$3034,B3962&lt;=$B$3035),1,0)</f>
      </c>
      <c r="D3962" s="6" t="str">
        <f>IF(OR(D3961=1,C3962=1),1,0)</f>
      </c>
      <c r="E3962" s="6" t="str">
        <f>IF(C3962=1,0,IF(D3961=1,E3961+1,0))</f>
      </c>
      <c r="F3962" s="6" t="str">
        <f>IF(AND(C3962=1,D3961=1),MIN(E3961,3),"")</f>
      </c>
    </row>
    <row r="3963">
      <c r="A3963" s="5">
        <v>925</v>
      </c>
      <c r="B3963" s="5" t="str">
        <f>'Lineal Mixto'!$C$929</f>
      </c>
      <c r="C3963" s="5" t="str">
        <f>IF(AND(B3963&gt;=$B$3034,B3963&lt;=$B$3035),1,0)</f>
      </c>
      <c r="D3963" s="5" t="str">
        <f>IF(OR(D3962=1,C3963=1),1,0)</f>
      </c>
      <c r="E3963" s="5" t="str">
        <f>IF(C3963=1,0,IF(D3962=1,E3962+1,0))</f>
      </c>
      <c r="F3963" s="5" t="str">
        <f>IF(AND(C3963=1,D3962=1),MIN(E3962,3),"")</f>
      </c>
    </row>
    <row r="3964">
      <c r="A3964" s="6">
        <v>926</v>
      </c>
      <c r="B3964" s="6" t="str">
        <f>'Lineal Mixto'!$C$930</f>
      </c>
      <c r="C3964" s="6" t="str">
        <f>IF(AND(B3964&gt;=$B$3034,B3964&lt;=$B$3035),1,0)</f>
      </c>
      <c r="D3964" s="6" t="str">
        <f>IF(OR(D3963=1,C3964=1),1,0)</f>
      </c>
      <c r="E3964" s="6" t="str">
        <f>IF(C3964=1,0,IF(D3963=1,E3963+1,0))</f>
      </c>
      <c r="F3964" s="6" t="str">
        <f>IF(AND(C3964=1,D3963=1),MIN(E3963,3),"")</f>
      </c>
    </row>
    <row r="3965">
      <c r="A3965" s="5">
        <v>927</v>
      </c>
      <c r="B3965" s="5" t="str">
        <f>'Lineal Mixto'!$C$931</f>
      </c>
      <c r="C3965" s="5" t="str">
        <f>IF(AND(B3965&gt;=$B$3034,B3965&lt;=$B$3035),1,0)</f>
      </c>
      <c r="D3965" s="5" t="str">
        <f>IF(OR(D3964=1,C3965=1),1,0)</f>
      </c>
      <c r="E3965" s="5" t="str">
        <f>IF(C3965=1,0,IF(D3964=1,E3964+1,0))</f>
      </c>
      <c r="F3965" s="5" t="str">
        <f>IF(AND(C3965=1,D3964=1),MIN(E3964,3),"")</f>
      </c>
    </row>
    <row r="3966">
      <c r="A3966" s="6">
        <v>928</v>
      </c>
      <c r="B3966" s="6" t="str">
        <f>'Lineal Mixto'!$C$932</f>
      </c>
      <c r="C3966" s="6" t="str">
        <f>IF(AND(B3966&gt;=$B$3034,B3966&lt;=$B$3035),1,0)</f>
      </c>
      <c r="D3966" s="6" t="str">
        <f>IF(OR(D3965=1,C3966=1),1,0)</f>
      </c>
      <c r="E3966" s="6" t="str">
        <f>IF(C3966=1,0,IF(D3965=1,E3965+1,0))</f>
      </c>
      <c r="F3966" s="6" t="str">
        <f>IF(AND(C3966=1,D3965=1),MIN(E3965,3),"")</f>
      </c>
    </row>
    <row r="3967">
      <c r="A3967" s="5">
        <v>929</v>
      </c>
      <c r="B3967" s="5" t="str">
        <f>'Lineal Mixto'!$C$933</f>
      </c>
      <c r="C3967" s="5" t="str">
        <f>IF(AND(B3967&gt;=$B$3034,B3967&lt;=$B$3035),1,0)</f>
      </c>
      <c r="D3967" s="5" t="str">
        <f>IF(OR(D3966=1,C3967=1),1,0)</f>
      </c>
      <c r="E3967" s="5" t="str">
        <f>IF(C3967=1,0,IF(D3966=1,E3966+1,0))</f>
      </c>
      <c r="F3967" s="5" t="str">
        <f>IF(AND(C3967=1,D3966=1),MIN(E3966,3),"")</f>
      </c>
    </row>
    <row r="3968">
      <c r="A3968" s="6">
        <v>930</v>
      </c>
      <c r="B3968" s="6" t="str">
        <f>'Lineal Mixto'!$C$934</f>
      </c>
      <c r="C3968" s="6" t="str">
        <f>IF(AND(B3968&gt;=$B$3034,B3968&lt;=$B$3035),1,0)</f>
      </c>
      <c r="D3968" s="6" t="str">
        <f>IF(OR(D3967=1,C3968=1),1,0)</f>
      </c>
      <c r="E3968" s="6" t="str">
        <f>IF(C3968=1,0,IF(D3967=1,E3967+1,0))</f>
      </c>
      <c r="F3968" s="6" t="str">
        <f>IF(AND(C3968=1,D3967=1),MIN(E3967,3),"")</f>
      </c>
    </row>
    <row r="3969">
      <c r="A3969" s="5">
        <v>931</v>
      </c>
      <c r="B3969" s="5" t="str">
        <f>'Lineal Mixto'!$C$935</f>
      </c>
      <c r="C3969" s="5" t="str">
        <f>IF(AND(B3969&gt;=$B$3034,B3969&lt;=$B$3035),1,0)</f>
      </c>
      <c r="D3969" s="5" t="str">
        <f>IF(OR(D3968=1,C3969=1),1,0)</f>
      </c>
      <c r="E3969" s="5" t="str">
        <f>IF(C3969=1,0,IF(D3968=1,E3968+1,0))</f>
      </c>
      <c r="F3969" s="5" t="str">
        <f>IF(AND(C3969=1,D3968=1),MIN(E3968,3),"")</f>
      </c>
    </row>
    <row r="3970">
      <c r="A3970" s="6">
        <v>932</v>
      </c>
      <c r="B3970" s="6" t="str">
        <f>'Lineal Mixto'!$C$936</f>
      </c>
      <c r="C3970" s="6" t="str">
        <f>IF(AND(B3970&gt;=$B$3034,B3970&lt;=$B$3035),1,0)</f>
      </c>
      <c r="D3970" s="6" t="str">
        <f>IF(OR(D3969=1,C3970=1),1,0)</f>
      </c>
      <c r="E3970" s="6" t="str">
        <f>IF(C3970=1,0,IF(D3969=1,E3969+1,0))</f>
      </c>
      <c r="F3970" s="6" t="str">
        <f>IF(AND(C3970=1,D3969=1),MIN(E3969,3),"")</f>
      </c>
    </row>
    <row r="3971">
      <c r="A3971" s="5">
        <v>933</v>
      </c>
      <c r="B3971" s="5" t="str">
        <f>'Lineal Mixto'!$C$937</f>
      </c>
      <c r="C3971" s="5" t="str">
        <f>IF(AND(B3971&gt;=$B$3034,B3971&lt;=$B$3035),1,0)</f>
      </c>
      <c r="D3971" s="5" t="str">
        <f>IF(OR(D3970=1,C3971=1),1,0)</f>
      </c>
      <c r="E3971" s="5" t="str">
        <f>IF(C3971=1,0,IF(D3970=1,E3970+1,0))</f>
      </c>
      <c r="F3971" s="5" t="str">
        <f>IF(AND(C3971=1,D3970=1),MIN(E3970,3),"")</f>
      </c>
    </row>
    <row r="3972">
      <c r="A3972" s="6">
        <v>934</v>
      </c>
      <c r="B3972" s="6" t="str">
        <f>'Lineal Mixto'!$C$938</f>
      </c>
      <c r="C3972" s="6" t="str">
        <f>IF(AND(B3972&gt;=$B$3034,B3972&lt;=$B$3035),1,0)</f>
      </c>
      <c r="D3972" s="6" t="str">
        <f>IF(OR(D3971=1,C3972=1),1,0)</f>
      </c>
      <c r="E3972" s="6" t="str">
        <f>IF(C3972=1,0,IF(D3971=1,E3971+1,0))</f>
      </c>
      <c r="F3972" s="6" t="str">
        <f>IF(AND(C3972=1,D3971=1),MIN(E3971,3),"")</f>
      </c>
    </row>
    <row r="3973">
      <c r="A3973" s="5">
        <v>935</v>
      </c>
      <c r="B3973" s="5" t="str">
        <f>'Lineal Mixto'!$C$939</f>
      </c>
      <c r="C3973" s="5" t="str">
        <f>IF(AND(B3973&gt;=$B$3034,B3973&lt;=$B$3035),1,0)</f>
      </c>
      <c r="D3973" s="5" t="str">
        <f>IF(OR(D3972=1,C3973=1),1,0)</f>
      </c>
      <c r="E3973" s="5" t="str">
        <f>IF(C3973=1,0,IF(D3972=1,E3972+1,0))</f>
      </c>
      <c r="F3973" s="5" t="str">
        <f>IF(AND(C3973=1,D3972=1),MIN(E3972,3),"")</f>
      </c>
    </row>
    <row r="3974">
      <c r="A3974" s="6">
        <v>936</v>
      </c>
      <c r="B3974" s="6" t="str">
        <f>'Lineal Mixto'!$C$940</f>
      </c>
      <c r="C3974" s="6" t="str">
        <f>IF(AND(B3974&gt;=$B$3034,B3974&lt;=$B$3035),1,0)</f>
      </c>
      <c r="D3974" s="6" t="str">
        <f>IF(OR(D3973=1,C3974=1),1,0)</f>
      </c>
      <c r="E3974" s="6" t="str">
        <f>IF(C3974=1,0,IF(D3973=1,E3973+1,0))</f>
      </c>
      <c r="F3974" s="6" t="str">
        <f>IF(AND(C3974=1,D3973=1),MIN(E3973,3),"")</f>
      </c>
    </row>
    <row r="3975">
      <c r="A3975" s="5">
        <v>937</v>
      </c>
      <c r="B3975" s="5" t="str">
        <f>'Lineal Mixto'!$C$941</f>
      </c>
      <c r="C3975" s="5" t="str">
        <f>IF(AND(B3975&gt;=$B$3034,B3975&lt;=$B$3035),1,0)</f>
      </c>
      <c r="D3975" s="5" t="str">
        <f>IF(OR(D3974=1,C3975=1),1,0)</f>
      </c>
      <c r="E3975" s="5" t="str">
        <f>IF(C3975=1,0,IF(D3974=1,E3974+1,0))</f>
      </c>
      <c r="F3975" s="5" t="str">
        <f>IF(AND(C3975=1,D3974=1),MIN(E3974,3),"")</f>
      </c>
    </row>
    <row r="3976">
      <c r="A3976" s="6">
        <v>938</v>
      </c>
      <c r="B3976" s="6" t="str">
        <f>'Lineal Mixto'!$C$942</f>
      </c>
      <c r="C3976" s="6" t="str">
        <f>IF(AND(B3976&gt;=$B$3034,B3976&lt;=$B$3035),1,0)</f>
      </c>
      <c r="D3976" s="6" t="str">
        <f>IF(OR(D3975=1,C3976=1),1,0)</f>
      </c>
      <c r="E3976" s="6" t="str">
        <f>IF(C3976=1,0,IF(D3975=1,E3975+1,0))</f>
      </c>
      <c r="F3976" s="6" t="str">
        <f>IF(AND(C3976=1,D3975=1),MIN(E3975,3),"")</f>
      </c>
    </row>
    <row r="3977">
      <c r="A3977" s="5">
        <v>939</v>
      </c>
      <c r="B3977" s="5" t="str">
        <f>'Lineal Mixto'!$C$943</f>
      </c>
      <c r="C3977" s="5" t="str">
        <f>IF(AND(B3977&gt;=$B$3034,B3977&lt;=$B$3035),1,0)</f>
      </c>
      <c r="D3977" s="5" t="str">
        <f>IF(OR(D3976=1,C3977=1),1,0)</f>
      </c>
      <c r="E3977" s="5" t="str">
        <f>IF(C3977=1,0,IF(D3976=1,E3976+1,0))</f>
      </c>
      <c r="F3977" s="5" t="str">
        <f>IF(AND(C3977=1,D3976=1),MIN(E3976,3),"")</f>
      </c>
    </row>
    <row r="3978">
      <c r="A3978" s="6">
        <v>940</v>
      </c>
      <c r="B3978" s="6" t="str">
        <f>'Lineal Mixto'!$C$944</f>
      </c>
      <c r="C3978" s="6" t="str">
        <f>IF(AND(B3978&gt;=$B$3034,B3978&lt;=$B$3035),1,0)</f>
      </c>
      <c r="D3978" s="6" t="str">
        <f>IF(OR(D3977=1,C3978=1),1,0)</f>
      </c>
      <c r="E3978" s="6" t="str">
        <f>IF(C3978=1,0,IF(D3977=1,E3977+1,0))</f>
      </c>
      <c r="F3978" s="6" t="str">
        <f>IF(AND(C3978=1,D3977=1),MIN(E3977,3),"")</f>
      </c>
    </row>
    <row r="3979">
      <c r="A3979" s="5">
        <v>941</v>
      </c>
      <c r="B3979" s="5" t="str">
        <f>'Lineal Mixto'!$C$945</f>
      </c>
      <c r="C3979" s="5" t="str">
        <f>IF(AND(B3979&gt;=$B$3034,B3979&lt;=$B$3035),1,0)</f>
      </c>
      <c r="D3979" s="5" t="str">
        <f>IF(OR(D3978=1,C3979=1),1,0)</f>
      </c>
      <c r="E3979" s="5" t="str">
        <f>IF(C3979=1,0,IF(D3978=1,E3978+1,0))</f>
      </c>
      <c r="F3979" s="5" t="str">
        <f>IF(AND(C3979=1,D3978=1),MIN(E3978,3),"")</f>
      </c>
    </row>
    <row r="3980">
      <c r="A3980" s="6">
        <v>942</v>
      </c>
      <c r="B3980" s="6" t="str">
        <f>'Lineal Mixto'!$C$946</f>
      </c>
      <c r="C3980" s="6" t="str">
        <f>IF(AND(B3980&gt;=$B$3034,B3980&lt;=$B$3035),1,0)</f>
      </c>
      <c r="D3980" s="6" t="str">
        <f>IF(OR(D3979=1,C3980=1),1,0)</f>
      </c>
      <c r="E3980" s="6" t="str">
        <f>IF(C3980=1,0,IF(D3979=1,E3979+1,0))</f>
      </c>
      <c r="F3980" s="6" t="str">
        <f>IF(AND(C3980=1,D3979=1),MIN(E3979,3),"")</f>
      </c>
    </row>
    <row r="3981">
      <c r="A3981" s="5">
        <v>943</v>
      </c>
      <c r="B3981" s="5" t="str">
        <f>'Lineal Mixto'!$C$947</f>
      </c>
      <c r="C3981" s="5" t="str">
        <f>IF(AND(B3981&gt;=$B$3034,B3981&lt;=$B$3035),1,0)</f>
      </c>
      <c r="D3981" s="5" t="str">
        <f>IF(OR(D3980=1,C3981=1),1,0)</f>
      </c>
      <c r="E3981" s="5" t="str">
        <f>IF(C3981=1,0,IF(D3980=1,E3980+1,0))</f>
      </c>
      <c r="F3981" s="5" t="str">
        <f>IF(AND(C3981=1,D3980=1),MIN(E3980,3),"")</f>
      </c>
    </row>
    <row r="3982">
      <c r="A3982" s="6">
        <v>944</v>
      </c>
      <c r="B3982" s="6" t="str">
        <f>'Lineal Mixto'!$C$948</f>
      </c>
      <c r="C3982" s="6" t="str">
        <f>IF(AND(B3982&gt;=$B$3034,B3982&lt;=$B$3035),1,0)</f>
      </c>
      <c r="D3982" s="6" t="str">
        <f>IF(OR(D3981=1,C3982=1),1,0)</f>
      </c>
      <c r="E3982" s="6" t="str">
        <f>IF(C3982=1,0,IF(D3981=1,E3981+1,0))</f>
      </c>
      <c r="F3982" s="6" t="str">
        <f>IF(AND(C3982=1,D3981=1),MIN(E3981,3),"")</f>
      </c>
    </row>
    <row r="3983">
      <c r="A3983" s="5">
        <v>945</v>
      </c>
      <c r="B3983" s="5" t="str">
        <f>'Lineal Mixto'!$C$949</f>
      </c>
      <c r="C3983" s="5" t="str">
        <f>IF(AND(B3983&gt;=$B$3034,B3983&lt;=$B$3035),1,0)</f>
      </c>
      <c r="D3983" s="5" t="str">
        <f>IF(OR(D3982=1,C3983=1),1,0)</f>
      </c>
      <c r="E3983" s="5" t="str">
        <f>IF(C3983=1,0,IF(D3982=1,E3982+1,0))</f>
      </c>
      <c r="F3983" s="5" t="str">
        <f>IF(AND(C3983=1,D3982=1),MIN(E3982,3),"")</f>
      </c>
    </row>
    <row r="3984">
      <c r="A3984" s="6">
        <v>946</v>
      </c>
      <c r="B3984" s="6" t="str">
        <f>'Lineal Mixto'!$C$950</f>
      </c>
      <c r="C3984" s="6" t="str">
        <f>IF(AND(B3984&gt;=$B$3034,B3984&lt;=$B$3035),1,0)</f>
      </c>
      <c r="D3984" s="6" t="str">
        <f>IF(OR(D3983=1,C3984=1),1,0)</f>
      </c>
      <c r="E3984" s="6" t="str">
        <f>IF(C3984=1,0,IF(D3983=1,E3983+1,0))</f>
      </c>
      <c r="F3984" s="6" t="str">
        <f>IF(AND(C3984=1,D3983=1),MIN(E3983,3),"")</f>
      </c>
    </row>
    <row r="3985">
      <c r="A3985" s="5">
        <v>947</v>
      </c>
      <c r="B3985" s="5" t="str">
        <f>'Lineal Mixto'!$C$951</f>
      </c>
      <c r="C3985" s="5" t="str">
        <f>IF(AND(B3985&gt;=$B$3034,B3985&lt;=$B$3035),1,0)</f>
      </c>
      <c r="D3985" s="5" t="str">
        <f>IF(OR(D3984=1,C3985=1),1,0)</f>
      </c>
      <c r="E3985" s="5" t="str">
        <f>IF(C3985=1,0,IF(D3984=1,E3984+1,0))</f>
      </c>
      <c r="F3985" s="5" t="str">
        <f>IF(AND(C3985=1,D3984=1),MIN(E3984,3),"")</f>
      </c>
    </row>
    <row r="3986">
      <c r="A3986" s="6">
        <v>948</v>
      </c>
      <c r="B3986" s="6" t="str">
        <f>'Lineal Mixto'!$C$952</f>
      </c>
      <c r="C3986" s="6" t="str">
        <f>IF(AND(B3986&gt;=$B$3034,B3986&lt;=$B$3035),1,0)</f>
      </c>
      <c r="D3986" s="6" t="str">
        <f>IF(OR(D3985=1,C3986=1),1,0)</f>
      </c>
      <c r="E3986" s="6" t="str">
        <f>IF(C3986=1,0,IF(D3985=1,E3985+1,0))</f>
      </c>
      <c r="F3986" s="6" t="str">
        <f>IF(AND(C3986=1,D3985=1),MIN(E3985,3),"")</f>
      </c>
    </row>
    <row r="3987">
      <c r="A3987" s="5">
        <v>949</v>
      </c>
      <c r="B3987" s="5" t="str">
        <f>'Lineal Mixto'!$C$953</f>
      </c>
      <c r="C3987" s="5" t="str">
        <f>IF(AND(B3987&gt;=$B$3034,B3987&lt;=$B$3035),1,0)</f>
      </c>
      <c r="D3987" s="5" t="str">
        <f>IF(OR(D3986=1,C3987=1),1,0)</f>
      </c>
      <c r="E3987" s="5" t="str">
        <f>IF(C3987=1,0,IF(D3986=1,E3986+1,0))</f>
      </c>
      <c r="F3987" s="5" t="str">
        <f>IF(AND(C3987=1,D3986=1),MIN(E3986,3),"")</f>
      </c>
    </row>
    <row r="3988">
      <c r="A3988" s="6">
        <v>950</v>
      </c>
      <c r="B3988" s="6" t="str">
        <f>'Lineal Mixto'!$C$954</f>
      </c>
      <c r="C3988" s="6" t="str">
        <f>IF(AND(B3988&gt;=$B$3034,B3988&lt;=$B$3035),1,0)</f>
      </c>
      <c r="D3988" s="6" t="str">
        <f>IF(OR(D3987=1,C3988=1),1,0)</f>
      </c>
      <c r="E3988" s="6" t="str">
        <f>IF(C3988=1,0,IF(D3987=1,E3987+1,0))</f>
      </c>
      <c r="F3988" s="6" t="str">
        <f>IF(AND(C3988=1,D3987=1),MIN(E3987,3),"")</f>
      </c>
    </row>
    <row r="3989">
      <c r="A3989" s="5">
        <v>951</v>
      </c>
      <c r="B3989" s="5" t="str">
        <f>'Lineal Mixto'!$C$955</f>
      </c>
      <c r="C3989" s="5" t="str">
        <f>IF(AND(B3989&gt;=$B$3034,B3989&lt;=$B$3035),1,0)</f>
      </c>
      <c r="D3989" s="5" t="str">
        <f>IF(OR(D3988=1,C3989=1),1,0)</f>
      </c>
      <c r="E3989" s="5" t="str">
        <f>IF(C3989=1,0,IF(D3988=1,E3988+1,0))</f>
      </c>
      <c r="F3989" s="5" t="str">
        <f>IF(AND(C3989=1,D3988=1),MIN(E3988,3),"")</f>
      </c>
    </row>
    <row r="3990">
      <c r="A3990" s="6">
        <v>952</v>
      </c>
      <c r="B3990" s="6" t="str">
        <f>'Lineal Mixto'!$C$956</f>
      </c>
      <c r="C3990" s="6" t="str">
        <f>IF(AND(B3990&gt;=$B$3034,B3990&lt;=$B$3035),1,0)</f>
      </c>
      <c r="D3990" s="6" t="str">
        <f>IF(OR(D3989=1,C3990=1),1,0)</f>
      </c>
      <c r="E3990" s="6" t="str">
        <f>IF(C3990=1,0,IF(D3989=1,E3989+1,0))</f>
      </c>
      <c r="F3990" s="6" t="str">
        <f>IF(AND(C3990=1,D3989=1),MIN(E3989,3),"")</f>
      </c>
    </row>
    <row r="3991">
      <c r="A3991" s="5">
        <v>953</v>
      </c>
      <c r="B3991" s="5" t="str">
        <f>'Lineal Mixto'!$C$957</f>
      </c>
      <c r="C3991" s="5" t="str">
        <f>IF(AND(B3991&gt;=$B$3034,B3991&lt;=$B$3035),1,0)</f>
      </c>
      <c r="D3991" s="5" t="str">
        <f>IF(OR(D3990=1,C3991=1),1,0)</f>
      </c>
      <c r="E3991" s="5" t="str">
        <f>IF(C3991=1,0,IF(D3990=1,E3990+1,0))</f>
      </c>
      <c r="F3991" s="5" t="str">
        <f>IF(AND(C3991=1,D3990=1),MIN(E3990,3),"")</f>
      </c>
    </row>
    <row r="3992">
      <c r="A3992" s="6">
        <v>954</v>
      </c>
      <c r="B3992" s="6" t="str">
        <f>'Lineal Mixto'!$C$958</f>
      </c>
      <c r="C3992" s="6" t="str">
        <f>IF(AND(B3992&gt;=$B$3034,B3992&lt;=$B$3035),1,0)</f>
      </c>
      <c r="D3992" s="6" t="str">
        <f>IF(OR(D3991=1,C3992=1),1,0)</f>
      </c>
      <c r="E3992" s="6" t="str">
        <f>IF(C3992=1,0,IF(D3991=1,E3991+1,0))</f>
      </c>
      <c r="F3992" s="6" t="str">
        <f>IF(AND(C3992=1,D3991=1),MIN(E3991,3),"")</f>
      </c>
    </row>
    <row r="3993">
      <c r="A3993" s="5">
        <v>955</v>
      </c>
      <c r="B3993" s="5" t="str">
        <f>'Lineal Mixto'!$C$959</f>
      </c>
      <c r="C3993" s="5" t="str">
        <f>IF(AND(B3993&gt;=$B$3034,B3993&lt;=$B$3035),1,0)</f>
      </c>
      <c r="D3993" s="5" t="str">
        <f>IF(OR(D3992=1,C3993=1),1,0)</f>
      </c>
      <c r="E3993" s="5" t="str">
        <f>IF(C3993=1,0,IF(D3992=1,E3992+1,0))</f>
      </c>
      <c r="F3993" s="5" t="str">
        <f>IF(AND(C3993=1,D3992=1),MIN(E3992,3),"")</f>
      </c>
    </row>
    <row r="3994">
      <c r="A3994" s="6">
        <v>956</v>
      </c>
      <c r="B3994" s="6" t="str">
        <f>'Lineal Mixto'!$C$960</f>
      </c>
      <c r="C3994" s="6" t="str">
        <f>IF(AND(B3994&gt;=$B$3034,B3994&lt;=$B$3035),1,0)</f>
      </c>
      <c r="D3994" s="6" t="str">
        <f>IF(OR(D3993=1,C3994=1),1,0)</f>
      </c>
      <c r="E3994" s="6" t="str">
        <f>IF(C3994=1,0,IF(D3993=1,E3993+1,0))</f>
      </c>
      <c r="F3994" s="6" t="str">
        <f>IF(AND(C3994=1,D3993=1),MIN(E3993,3),"")</f>
      </c>
    </row>
    <row r="3995">
      <c r="A3995" s="5">
        <v>957</v>
      </c>
      <c r="B3995" s="5" t="str">
        <f>'Lineal Mixto'!$C$961</f>
      </c>
      <c r="C3995" s="5" t="str">
        <f>IF(AND(B3995&gt;=$B$3034,B3995&lt;=$B$3035),1,0)</f>
      </c>
      <c r="D3995" s="5" t="str">
        <f>IF(OR(D3994=1,C3995=1),1,0)</f>
      </c>
      <c r="E3995" s="5" t="str">
        <f>IF(C3995=1,0,IF(D3994=1,E3994+1,0))</f>
      </c>
      <c r="F3995" s="5" t="str">
        <f>IF(AND(C3995=1,D3994=1),MIN(E3994,3),"")</f>
      </c>
    </row>
    <row r="3996">
      <c r="A3996" s="6">
        <v>958</v>
      </c>
      <c r="B3996" s="6" t="str">
        <f>'Lineal Mixto'!$C$962</f>
      </c>
      <c r="C3996" s="6" t="str">
        <f>IF(AND(B3996&gt;=$B$3034,B3996&lt;=$B$3035),1,0)</f>
      </c>
      <c r="D3996" s="6" t="str">
        <f>IF(OR(D3995=1,C3996=1),1,0)</f>
      </c>
      <c r="E3996" s="6" t="str">
        <f>IF(C3996=1,0,IF(D3995=1,E3995+1,0))</f>
      </c>
      <c r="F3996" s="6" t="str">
        <f>IF(AND(C3996=1,D3995=1),MIN(E3995,3),"")</f>
      </c>
    </row>
    <row r="3997">
      <c r="A3997" s="5">
        <v>959</v>
      </c>
      <c r="B3997" s="5" t="str">
        <f>'Lineal Mixto'!$C$963</f>
      </c>
      <c r="C3997" s="5" t="str">
        <f>IF(AND(B3997&gt;=$B$3034,B3997&lt;=$B$3035),1,0)</f>
      </c>
      <c r="D3997" s="5" t="str">
        <f>IF(OR(D3996=1,C3997=1),1,0)</f>
      </c>
      <c r="E3997" s="5" t="str">
        <f>IF(C3997=1,0,IF(D3996=1,E3996+1,0))</f>
      </c>
      <c r="F3997" s="5" t="str">
        <f>IF(AND(C3997=1,D3996=1),MIN(E3996,3),"")</f>
      </c>
    </row>
    <row r="3998">
      <c r="A3998" s="6">
        <v>960</v>
      </c>
      <c r="B3998" s="6" t="str">
        <f>'Lineal Mixto'!$C$964</f>
      </c>
      <c r="C3998" s="6" t="str">
        <f>IF(AND(B3998&gt;=$B$3034,B3998&lt;=$B$3035),1,0)</f>
      </c>
      <c r="D3998" s="6" t="str">
        <f>IF(OR(D3997=1,C3998=1),1,0)</f>
      </c>
      <c r="E3998" s="6" t="str">
        <f>IF(C3998=1,0,IF(D3997=1,E3997+1,0))</f>
      </c>
      <c r="F3998" s="6" t="str">
        <f>IF(AND(C3998=1,D3997=1),MIN(E3997,3),"")</f>
      </c>
    </row>
    <row r="3999">
      <c r="A3999" s="5">
        <v>961</v>
      </c>
      <c r="B3999" s="5" t="str">
        <f>'Lineal Mixto'!$C$965</f>
      </c>
      <c r="C3999" s="5" t="str">
        <f>IF(AND(B3999&gt;=$B$3034,B3999&lt;=$B$3035),1,0)</f>
      </c>
      <c r="D3999" s="5" t="str">
        <f>IF(OR(D3998=1,C3999=1),1,0)</f>
      </c>
      <c r="E3999" s="5" t="str">
        <f>IF(C3999=1,0,IF(D3998=1,E3998+1,0))</f>
      </c>
      <c r="F3999" s="5" t="str">
        <f>IF(AND(C3999=1,D3998=1),MIN(E3998,3),"")</f>
      </c>
    </row>
    <row r="4000">
      <c r="A4000" s="6">
        <v>962</v>
      </c>
      <c r="B4000" s="6" t="str">
        <f>'Lineal Mixto'!$C$966</f>
      </c>
      <c r="C4000" s="6" t="str">
        <f>IF(AND(B4000&gt;=$B$3034,B4000&lt;=$B$3035),1,0)</f>
      </c>
      <c r="D4000" s="6" t="str">
        <f>IF(OR(D3999=1,C4000=1),1,0)</f>
      </c>
      <c r="E4000" s="6" t="str">
        <f>IF(C4000=1,0,IF(D3999=1,E3999+1,0))</f>
      </c>
      <c r="F4000" s="6" t="str">
        <f>IF(AND(C4000=1,D3999=1),MIN(E3999,3),"")</f>
      </c>
    </row>
    <row r="4001">
      <c r="A4001" s="5">
        <v>963</v>
      </c>
      <c r="B4001" s="5" t="str">
        <f>'Lineal Mixto'!$C$967</f>
      </c>
      <c r="C4001" s="5" t="str">
        <f>IF(AND(B4001&gt;=$B$3034,B4001&lt;=$B$3035),1,0)</f>
      </c>
      <c r="D4001" s="5" t="str">
        <f>IF(OR(D4000=1,C4001=1),1,0)</f>
      </c>
      <c r="E4001" s="5" t="str">
        <f>IF(C4001=1,0,IF(D4000=1,E4000+1,0))</f>
      </c>
      <c r="F4001" s="5" t="str">
        <f>IF(AND(C4001=1,D4000=1),MIN(E4000,3),"")</f>
      </c>
    </row>
    <row r="4002">
      <c r="A4002" s="6">
        <v>964</v>
      </c>
      <c r="B4002" s="6" t="str">
        <f>'Lineal Mixto'!$C$968</f>
      </c>
      <c r="C4002" s="6" t="str">
        <f>IF(AND(B4002&gt;=$B$3034,B4002&lt;=$B$3035),1,0)</f>
      </c>
      <c r="D4002" s="6" t="str">
        <f>IF(OR(D4001=1,C4002=1),1,0)</f>
      </c>
      <c r="E4002" s="6" t="str">
        <f>IF(C4002=1,0,IF(D4001=1,E4001+1,0))</f>
      </c>
      <c r="F4002" s="6" t="str">
        <f>IF(AND(C4002=1,D4001=1),MIN(E4001,3),"")</f>
      </c>
    </row>
    <row r="4003">
      <c r="A4003" s="5">
        <v>965</v>
      </c>
      <c r="B4003" s="5" t="str">
        <f>'Lineal Mixto'!$C$969</f>
      </c>
      <c r="C4003" s="5" t="str">
        <f>IF(AND(B4003&gt;=$B$3034,B4003&lt;=$B$3035),1,0)</f>
      </c>
      <c r="D4003" s="5" t="str">
        <f>IF(OR(D4002=1,C4003=1),1,0)</f>
      </c>
      <c r="E4003" s="5" t="str">
        <f>IF(C4003=1,0,IF(D4002=1,E4002+1,0))</f>
      </c>
      <c r="F4003" s="5" t="str">
        <f>IF(AND(C4003=1,D4002=1),MIN(E4002,3),"")</f>
      </c>
    </row>
    <row r="4004">
      <c r="A4004" s="6">
        <v>966</v>
      </c>
      <c r="B4004" s="6" t="str">
        <f>'Lineal Mixto'!$C$970</f>
      </c>
      <c r="C4004" s="6" t="str">
        <f>IF(AND(B4004&gt;=$B$3034,B4004&lt;=$B$3035),1,0)</f>
      </c>
      <c r="D4004" s="6" t="str">
        <f>IF(OR(D4003=1,C4004=1),1,0)</f>
      </c>
      <c r="E4004" s="6" t="str">
        <f>IF(C4004=1,0,IF(D4003=1,E4003+1,0))</f>
      </c>
      <c r="F4004" s="6" t="str">
        <f>IF(AND(C4004=1,D4003=1),MIN(E4003,3),"")</f>
      </c>
    </row>
    <row r="4005">
      <c r="A4005" s="5">
        <v>967</v>
      </c>
      <c r="B4005" s="5" t="str">
        <f>'Lineal Mixto'!$C$971</f>
      </c>
      <c r="C4005" s="5" t="str">
        <f>IF(AND(B4005&gt;=$B$3034,B4005&lt;=$B$3035),1,0)</f>
      </c>
      <c r="D4005" s="5" t="str">
        <f>IF(OR(D4004=1,C4005=1),1,0)</f>
      </c>
      <c r="E4005" s="5" t="str">
        <f>IF(C4005=1,0,IF(D4004=1,E4004+1,0))</f>
      </c>
      <c r="F4005" s="5" t="str">
        <f>IF(AND(C4005=1,D4004=1),MIN(E4004,3),"")</f>
      </c>
    </row>
    <row r="4006">
      <c r="A4006" s="6">
        <v>968</v>
      </c>
      <c r="B4006" s="6" t="str">
        <f>'Lineal Mixto'!$C$972</f>
      </c>
      <c r="C4006" s="6" t="str">
        <f>IF(AND(B4006&gt;=$B$3034,B4006&lt;=$B$3035),1,0)</f>
      </c>
      <c r="D4006" s="6" t="str">
        <f>IF(OR(D4005=1,C4006=1),1,0)</f>
      </c>
      <c r="E4006" s="6" t="str">
        <f>IF(C4006=1,0,IF(D4005=1,E4005+1,0))</f>
      </c>
      <c r="F4006" s="6" t="str">
        <f>IF(AND(C4006=1,D4005=1),MIN(E4005,3),"")</f>
      </c>
    </row>
    <row r="4007">
      <c r="A4007" s="5">
        <v>969</v>
      </c>
      <c r="B4007" s="5" t="str">
        <f>'Lineal Mixto'!$C$973</f>
      </c>
      <c r="C4007" s="5" t="str">
        <f>IF(AND(B4007&gt;=$B$3034,B4007&lt;=$B$3035),1,0)</f>
      </c>
      <c r="D4007" s="5" t="str">
        <f>IF(OR(D4006=1,C4007=1),1,0)</f>
      </c>
      <c r="E4007" s="5" t="str">
        <f>IF(C4007=1,0,IF(D4006=1,E4006+1,0))</f>
      </c>
      <c r="F4007" s="5" t="str">
        <f>IF(AND(C4007=1,D4006=1),MIN(E4006,3),"")</f>
      </c>
    </row>
    <row r="4008">
      <c r="A4008" s="6">
        <v>970</v>
      </c>
      <c r="B4008" s="6" t="str">
        <f>'Lineal Mixto'!$C$974</f>
      </c>
      <c r="C4008" s="6" t="str">
        <f>IF(AND(B4008&gt;=$B$3034,B4008&lt;=$B$3035),1,0)</f>
      </c>
      <c r="D4008" s="6" t="str">
        <f>IF(OR(D4007=1,C4008=1),1,0)</f>
      </c>
      <c r="E4008" s="6" t="str">
        <f>IF(C4008=1,0,IF(D4007=1,E4007+1,0))</f>
      </c>
      <c r="F4008" s="6" t="str">
        <f>IF(AND(C4008=1,D4007=1),MIN(E4007,3),"")</f>
      </c>
    </row>
    <row r="4009">
      <c r="A4009" s="5">
        <v>971</v>
      </c>
      <c r="B4009" s="5" t="str">
        <f>'Lineal Mixto'!$C$975</f>
      </c>
      <c r="C4009" s="5" t="str">
        <f>IF(AND(B4009&gt;=$B$3034,B4009&lt;=$B$3035),1,0)</f>
      </c>
      <c r="D4009" s="5" t="str">
        <f>IF(OR(D4008=1,C4009=1),1,0)</f>
      </c>
      <c r="E4009" s="5" t="str">
        <f>IF(C4009=1,0,IF(D4008=1,E4008+1,0))</f>
      </c>
      <c r="F4009" s="5" t="str">
        <f>IF(AND(C4009=1,D4008=1),MIN(E4008,3),"")</f>
      </c>
    </row>
    <row r="4010">
      <c r="A4010" s="6">
        <v>972</v>
      </c>
      <c r="B4010" s="6" t="str">
        <f>'Lineal Mixto'!$C$976</f>
      </c>
      <c r="C4010" s="6" t="str">
        <f>IF(AND(B4010&gt;=$B$3034,B4010&lt;=$B$3035),1,0)</f>
      </c>
      <c r="D4010" s="6" t="str">
        <f>IF(OR(D4009=1,C4010=1),1,0)</f>
      </c>
      <c r="E4010" s="6" t="str">
        <f>IF(C4010=1,0,IF(D4009=1,E4009+1,0))</f>
      </c>
      <c r="F4010" s="6" t="str">
        <f>IF(AND(C4010=1,D4009=1),MIN(E4009,3),"")</f>
      </c>
    </row>
    <row r="4011">
      <c r="A4011" s="5">
        <v>973</v>
      </c>
      <c r="B4011" s="5" t="str">
        <f>'Lineal Mixto'!$C$977</f>
      </c>
      <c r="C4011" s="5" t="str">
        <f>IF(AND(B4011&gt;=$B$3034,B4011&lt;=$B$3035),1,0)</f>
      </c>
      <c r="D4011" s="5" t="str">
        <f>IF(OR(D4010=1,C4011=1),1,0)</f>
      </c>
      <c r="E4011" s="5" t="str">
        <f>IF(C4011=1,0,IF(D4010=1,E4010+1,0))</f>
      </c>
      <c r="F4011" s="5" t="str">
        <f>IF(AND(C4011=1,D4010=1),MIN(E4010,3),"")</f>
      </c>
    </row>
    <row r="4012">
      <c r="A4012" s="6">
        <v>974</v>
      </c>
      <c r="B4012" s="6" t="str">
        <f>'Lineal Mixto'!$C$978</f>
      </c>
      <c r="C4012" s="6" t="str">
        <f>IF(AND(B4012&gt;=$B$3034,B4012&lt;=$B$3035),1,0)</f>
      </c>
      <c r="D4012" s="6" t="str">
        <f>IF(OR(D4011=1,C4012=1),1,0)</f>
      </c>
      <c r="E4012" s="6" t="str">
        <f>IF(C4012=1,0,IF(D4011=1,E4011+1,0))</f>
      </c>
      <c r="F4012" s="6" t="str">
        <f>IF(AND(C4012=1,D4011=1),MIN(E4011,3),"")</f>
      </c>
    </row>
    <row r="4013">
      <c r="A4013" s="5">
        <v>975</v>
      </c>
      <c r="B4013" s="5" t="str">
        <f>'Lineal Mixto'!$C$979</f>
      </c>
      <c r="C4013" s="5" t="str">
        <f>IF(AND(B4013&gt;=$B$3034,B4013&lt;=$B$3035),1,0)</f>
      </c>
      <c r="D4013" s="5" t="str">
        <f>IF(OR(D4012=1,C4013=1),1,0)</f>
      </c>
      <c r="E4013" s="5" t="str">
        <f>IF(C4013=1,0,IF(D4012=1,E4012+1,0))</f>
      </c>
      <c r="F4013" s="5" t="str">
        <f>IF(AND(C4013=1,D4012=1),MIN(E4012,3),"")</f>
      </c>
    </row>
    <row r="4014">
      <c r="A4014" s="6">
        <v>976</v>
      </c>
      <c r="B4014" s="6" t="str">
        <f>'Lineal Mixto'!$C$980</f>
      </c>
      <c r="C4014" s="6" t="str">
        <f>IF(AND(B4014&gt;=$B$3034,B4014&lt;=$B$3035),1,0)</f>
      </c>
      <c r="D4014" s="6" t="str">
        <f>IF(OR(D4013=1,C4014=1),1,0)</f>
      </c>
      <c r="E4014" s="6" t="str">
        <f>IF(C4014=1,0,IF(D4013=1,E4013+1,0))</f>
      </c>
      <c r="F4014" s="6" t="str">
        <f>IF(AND(C4014=1,D4013=1),MIN(E4013,3),"")</f>
      </c>
    </row>
    <row r="4015">
      <c r="A4015" s="5">
        <v>977</v>
      </c>
      <c r="B4015" s="5" t="str">
        <f>'Lineal Mixto'!$C$981</f>
      </c>
      <c r="C4015" s="5" t="str">
        <f>IF(AND(B4015&gt;=$B$3034,B4015&lt;=$B$3035),1,0)</f>
      </c>
      <c r="D4015" s="5" t="str">
        <f>IF(OR(D4014=1,C4015=1),1,0)</f>
      </c>
      <c r="E4015" s="5" t="str">
        <f>IF(C4015=1,0,IF(D4014=1,E4014+1,0))</f>
      </c>
      <c r="F4015" s="5" t="str">
        <f>IF(AND(C4015=1,D4014=1),MIN(E4014,3),"")</f>
      </c>
    </row>
    <row r="4016">
      <c r="A4016" s="6">
        <v>978</v>
      </c>
      <c r="B4016" s="6" t="str">
        <f>'Lineal Mixto'!$C$982</f>
      </c>
      <c r="C4016" s="6" t="str">
        <f>IF(AND(B4016&gt;=$B$3034,B4016&lt;=$B$3035),1,0)</f>
      </c>
      <c r="D4016" s="6" t="str">
        <f>IF(OR(D4015=1,C4016=1),1,0)</f>
      </c>
      <c r="E4016" s="6" t="str">
        <f>IF(C4016=1,0,IF(D4015=1,E4015+1,0))</f>
      </c>
      <c r="F4016" s="6" t="str">
        <f>IF(AND(C4016=1,D4015=1),MIN(E4015,3),"")</f>
      </c>
    </row>
    <row r="4017">
      <c r="A4017" s="5">
        <v>979</v>
      </c>
      <c r="B4017" s="5" t="str">
        <f>'Lineal Mixto'!$C$983</f>
      </c>
      <c r="C4017" s="5" t="str">
        <f>IF(AND(B4017&gt;=$B$3034,B4017&lt;=$B$3035),1,0)</f>
      </c>
      <c r="D4017" s="5" t="str">
        <f>IF(OR(D4016=1,C4017=1),1,0)</f>
      </c>
      <c r="E4017" s="5" t="str">
        <f>IF(C4017=1,0,IF(D4016=1,E4016+1,0))</f>
      </c>
      <c r="F4017" s="5" t="str">
        <f>IF(AND(C4017=1,D4016=1),MIN(E4016,3),"")</f>
      </c>
    </row>
    <row r="4018">
      <c r="A4018" s="6">
        <v>980</v>
      </c>
      <c r="B4018" s="6" t="str">
        <f>'Lineal Mixto'!$C$984</f>
      </c>
      <c r="C4018" s="6" t="str">
        <f>IF(AND(B4018&gt;=$B$3034,B4018&lt;=$B$3035),1,0)</f>
      </c>
      <c r="D4018" s="6" t="str">
        <f>IF(OR(D4017=1,C4018=1),1,0)</f>
      </c>
      <c r="E4018" s="6" t="str">
        <f>IF(C4018=1,0,IF(D4017=1,E4017+1,0))</f>
      </c>
      <c r="F4018" s="6" t="str">
        <f>IF(AND(C4018=1,D4017=1),MIN(E4017,3),"")</f>
      </c>
    </row>
    <row r="4019">
      <c r="A4019" s="5">
        <v>981</v>
      </c>
      <c r="B4019" s="5" t="str">
        <f>'Lineal Mixto'!$C$985</f>
      </c>
      <c r="C4019" s="5" t="str">
        <f>IF(AND(B4019&gt;=$B$3034,B4019&lt;=$B$3035),1,0)</f>
      </c>
      <c r="D4019" s="5" t="str">
        <f>IF(OR(D4018=1,C4019=1),1,0)</f>
      </c>
      <c r="E4019" s="5" t="str">
        <f>IF(C4019=1,0,IF(D4018=1,E4018+1,0))</f>
      </c>
      <c r="F4019" s="5" t="str">
        <f>IF(AND(C4019=1,D4018=1),MIN(E4018,3),"")</f>
      </c>
    </row>
    <row r="4020">
      <c r="A4020" s="6">
        <v>982</v>
      </c>
      <c r="B4020" s="6" t="str">
        <f>'Lineal Mixto'!$C$986</f>
      </c>
      <c r="C4020" s="6" t="str">
        <f>IF(AND(B4020&gt;=$B$3034,B4020&lt;=$B$3035),1,0)</f>
      </c>
      <c r="D4020" s="6" t="str">
        <f>IF(OR(D4019=1,C4020=1),1,0)</f>
      </c>
      <c r="E4020" s="6" t="str">
        <f>IF(C4020=1,0,IF(D4019=1,E4019+1,0))</f>
      </c>
      <c r="F4020" s="6" t="str">
        <f>IF(AND(C4020=1,D4019=1),MIN(E4019,3),"")</f>
      </c>
    </row>
    <row r="4021">
      <c r="A4021" s="5">
        <v>983</v>
      </c>
      <c r="B4021" s="5" t="str">
        <f>'Lineal Mixto'!$C$987</f>
      </c>
      <c r="C4021" s="5" t="str">
        <f>IF(AND(B4021&gt;=$B$3034,B4021&lt;=$B$3035),1,0)</f>
      </c>
      <c r="D4021" s="5" t="str">
        <f>IF(OR(D4020=1,C4021=1),1,0)</f>
      </c>
      <c r="E4021" s="5" t="str">
        <f>IF(C4021=1,0,IF(D4020=1,E4020+1,0))</f>
      </c>
      <c r="F4021" s="5" t="str">
        <f>IF(AND(C4021=1,D4020=1),MIN(E4020,3),"")</f>
      </c>
    </row>
    <row r="4022">
      <c r="A4022" s="6">
        <v>984</v>
      </c>
      <c r="B4022" s="6" t="str">
        <f>'Lineal Mixto'!$C$988</f>
      </c>
      <c r="C4022" s="6" t="str">
        <f>IF(AND(B4022&gt;=$B$3034,B4022&lt;=$B$3035),1,0)</f>
      </c>
      <c r="D4022" s="6" t="str">
        <f>IF(OR(D4021=1,C4022=1),1,0)</f>
      </c>
      <c r="E4022" s="6" t="str">
        <f>IF(C4022=1,0,IF(D4021=1,E4021+1,0))</f>
      </c>
      <c r="F4022" s="6" t="str">
        <f>IF(AND(C4022=1,D4021=1),MIN(E4021,3),"")</f>
      </c>
    </row>
    <row r="4023">
      <c r="A4023" s="5">
        <v>985</v>
      </c>
      <c r="B4023" s="5" t="str">
        <f>'Lineal Mixto'!$C$989</f>
      </c>
      <c r="C4023" s="5" t="str">
        <f>IF(AND(B4023&gt;=$B$3034,B4023&lt;=$B$3035),1,0)</f>
      </c>
      <c r="D4023" s="5" t="str">
        <f>IF(OR(D4022=1,C4023=1),1,0)</f>
      </c>
      <c r="E4023" s="5" t="str">
        <f>IF(C4023=1,0,IF(D4022=1,E4022+1,0))</f>
      </c>
      <c r="F4023" s="5" t="str">
        <f>IF(AND(C4023=1,D4022=1),MIN(E4022,3),"")</f>
      </c>
    </row>
    <row r="4024">
      <c r="A4024" s="6">
        <v>986</v>
      </c>
      <c r="B4024" s="6" t="str">
        <f>'Lineal Mixto'!$C$990</f>
      </c>
      <c r="C4024" s="6" t="str">
        <f>IF(AND(B4024&gt;=$B$3034,B4024&lt;=$B$3035),1,0)</f>
      </c>
      <c r="D4024" s="6" t="str">
        <f>IF(OR(D4023=1,C4024=1),1,0)</f>
      </c>
      <c r="E4024" s="6" t="str">
        <f>IF(C4024=1,0,IF(D4023=1,E4023+1,0))</f>
      </c>
      <c r="F4024" s="6" t="str">
        <f>IF(AND(C4024=1,D4023=1),MIN(E4023,3),"")</f>
      </c>
    </row>
    <row r="4025">
      <c r="A4025" s="5">
        <v>987</v>
      </c>
      <c r="B4025" s="5" t="str">
        <f>'Lineal Mixto'!$C$991</f>
      </c>
      <c r="C4025" s="5" t="str">
        <f>IF(AND(B4025&gt;=$B$3034,B4025&lt;=$B$3035),1,0)</f>
      </c>
      <c r="D4025" s="5" t="str">
        <f>IF(OR(D4024=1,C4025=1),1,0)</f>
      </c>
      <c r="E4025" s="5" t="str">
        <f>IF(C4025=1,0,IF(D4024=1,E4024+1,0))</f>
      </c>
      <c r="F4025" s="5" t="str">
        <f>IF(AND(C4025=1,D4024=1),MIN(E4024,3),"")</f>
      </c>
    </row>
    <row r="4026">
      <c r="A4026" s="6">
        <v>988</v>
      </c>
      <c r="B4026" s="6" t="str">
        <f>'Lineal Mixto'!$C$992</f>
      </c>
      <c r="C4026" s="6" t="str">
        <f>IF(AND(B4026&gt;=$B$3034,B4026&lt;=$B$3035),1,0)</f>
      </c>
      <c r="D4026" s="6" t="str">
        <f>IF(OR(D4025=1,C4026=1),1,0)</f>
      </c>
      <c r="E4026" s="6" t="str">
        <f>IF(C4026=1,0,IF(D4025=1,E4025+1,0))</f>
      </c>
      <c r="F4026" s="6" t="str">
        <f>IF(AND(C4026=1,D4025=1),MIN(E4025,3),"")</f>
      </c>
    </row>
    <row r="4027">
      <c r="A4027" s="5">
        <v>989</v>
      </c>
      <c r="B4027" s="5" t="str">
        <f>'Lineal Mixto'!$C$993</f>
      </c>
      <c r="C4027" s="5" t="str">
        <f>IF(AND(B4027&gt;=$B$3034,B4027&lt;=$B$3035),1,0)</f>
      </c>
      <c r="D4027" s="5" t="str">
        <f>IF(OR(D4026=1,C4027=1),1,0)</f>
      </c>
      <c r="E4027" s="5" t="str">
        <f>IF(C4027=1,0,IF(D4026=1,E4026+1,0))</f>
      </c>
      <c r="F4027" s="5" t="str">
        <f>IF(AND(C4027=1,D4026=1),MIN(E4026,3),"")</f>
      </c>
    </row>
    <row r="4028">
      <c r="A4028" s="6">
        <v>990</v>
      </c>
      <c r="B4028" s="6" t="str">
        <f>'Lineal Mixto'!$C$994</f>
      </c>
      <c r="C4028" s="6" t="str">
        <f>IF(AND(B4028&gt;=$B$3034,B4028&lt;=$B$3035),1,0)</f>
      </c>
      <c r="D4028" s="6" t="str">
        <f>IF(OR(D4027=1,C4028=1),1,0)</f>
      </c>
      <c r="E4028" s="6" t="str">
        <f>IF(C4028=1,0,IF(D4027=1,E4027+1,0))</f>
      </c>
      <c r="F4028" s="6" t="str">
        <f>IF(AND(C4028=1,D4027=1),MIN(E4027,3),"")</f>
      </c>
    </row>
    <row r="4029">
      <c r="A4029" s="5">
        <v>991</v>
      </c>
      <c r="B4029" s="5" t="str">
        <f>'Lineal Mixto'!$C$995</f>
      </c>
      <c r="C4029" s="5" t="str">
        <f>IF(AND(B4029&gt;=$B$3034,B4029&lt;=$B$3035),1,0)</f>
      </c>
      <c r="D4029" s="5" t="str">
        <f>IF(OR(D4028=1,C4029=1),1,0)</f>
      </c>
      <c r="E4029" s="5" t="str">
        <f>IF(C4029=1,0,IF(D4028=1,E4028+1,0))</f>
      </c>
      <c r="F4029" s="5" t="str">
        <f>IF(AND(C4029=1,D4028=1),MIN(E4028,3),"")</f>
      </c>
    </row>
    <row r="4030">
      <c r="A4030" s="6">
        <v>992</v>
      </c>
      <c r="B4030" s="6" t="str">
        <f>'Lineal Mixto'!$C$996</f>
      </c>
      <c r="C4030" s="6" t="str">
        <f>IF(AND(B4030&gt;=$B$3034,B4030&lt;=$B$3035),1,0)</f>
      </c>
      <c r="D4030" s="6" t="str">
        <f>IF(OR(D4029=1,C4030=1),1,0)</f>
      </c>
      <c r="E4030" s="6" t="str">
        <f>IF(C4030=1,0,IF(D4029=1,E4029+1,0))</f>
      </c>
      <c r="F4030" s="6" t="str">
        <f>IF(AND(C4030=1,D4029=1),MIN(E4029,3),"")</f>
      </c>
    </row>
    <row r="4031">
      <c r="A4031" s="5">
        <v>993</v>
      </c>
      <c r="B4031" s="5" t="str">
        <f>'Lineal Mixto'!$C$997</f>
      </c>
      <c r="C4031" s="5" t="str">
        <f>IF(AND(B4031&gt;=$B$3034,B4031&lt;=$B$3035),1,0)</f>
      </c>
      <c r="D4031" s="5" t="str">
        <f>IF(OR(D4030=1,C4031=1),1,0)</f>
      </c>
      <c r="E4031" s="5" t="str">
        <f>IF(C4031=1,0,IF(D4030=1,E4030+1,0))</f>
      </c>
      <c r="F4031" s="5" t="str">
        <f>IF(AND(C4031=1,D4030=1),MIN(E4030,3),"")</f>
      </c>
    </row>
    <row r="4032">
      <c r="A4032" s="6">
        <v>994</v>
      </c>
      <c r="B4032" s="6" t="str">
        <f>'Lineal Mixto'!$C$998</f>
      </c>
      <c r="C4032" s="6" t="str">
        <f>IF(AND(B4032&gt;=$B$3034,B4032&lt;=$B$3035),1,0)</f>
      </c>
      <c r="D4032" s="6" t="str">
        <f>IF(OR(D4031=1,C4032=1),1,0)</f>
      </c>
      <c r="E4032" s="6" t="str">
        <f>IF(C4032=1,0,IF(D4031=1,E4031+1,0))</f>
      </c>
      <c r="F4032" s="6" t="str">
        <f>IF(AND(C4032=1,D4031=1),MIN(E4031,3),"")</f>
      </c>
    </row>
    <row r="4033">
      <c r="A4033" s="5">
        <v>995</v>
      </c>
      <c r="B4033" s="5" t="str">
        <f>'Lineal Mixto'!$C$999</f>
      </c>
      <c r="C4033" s="5" t="str">
        <f>IF(AND(B4033&gt;=$B$3034,B4033&lt;=$B$3035),1,0)</f>
      </c>
      <c r="D4033" s="5" t="str">
        <f>IF(OR(D4032=1,C4033=1),1,0)</f>
      </c>
      <c r="E4033" s="5" t="str">
        <f>IF(C4033=1,0,IF(D4032=1,E4032+1,0))</f>
      </c>
      <c r="F4033" s="5" t="str">
        <f>IF(AND(C4033=1,D4032=1),MIN(E4032,3),"")</f>
      </c>
    </row>
    <row r="4034">
      <c r="A4034" s="6">
        <v>996</v>
      </c>
      <c r="B4034" s="6" t="str">
        <f>'Lineal Mixto'!$C$1000</f>
      </c>
      <c r="C4034" s="6" t="str">
        <f>IF(AND(B4034&gt;=$B$3034,B4034&lt;=$B$3035),1,0)</f>
      </c>
      <c r="D4034" s="6" t="str">
        <f>IF(OR(D4033=1,C4034=1),1,0)</f>
      </c>
      <c r="E4034" s="6" t="str">
        <f>IF(C4034=1,0,IF(D4033=1,E4033+1,0))</f>
      </c>
      <c r="F4034" s="6" t="str">
        <f>IF(AND(C4034=1,D4033=1),MIN(E4033,3),"")</f>
      </c>
    </row>
    <row r="4035">
      <c r="A4035" s="5">
        <v>997</v>
      </c>
      <c r="B4035" s="5" t="str">
        <f>'Lineal Mixto'!$C$1001</f>
      </c>
      <c r="C4035" s="5" t="str">
        <f>IF(AND(B4035&gt;=$B$3034,B4035&lt;=$B$3035),1,0)</f>
      </c>
      <c r="D4035" s="5" t="str">
        <f>IF(OR(D4034=1,C4035=1),1,0)</f>
      </c>
      <c r="E4035" s="5" t="str">
        <f>IF(C4035=1,0,IF(D4034=1,E4034+1,0))</f>
      </c>
      <c r="F4035" s="5" t="str">
        <f>IF(AND(C4035=1,D4034=1),MIN(E4034,3),"")</f>
      </c>
    </row>
    <row r="4036">
      <c r="A4036" s="6">
        <v>998</v>
      </c>
      <c r="B4036" s="6" t="str">
        <f>'Lineal Mixto'!$C$1002</f>
      </c>
      <c r="C4036" s="6" t="str">
        <f>IF(AND(B4036&gt;=$B$3034,B4036&lt;=$B$3035),1,0)</f>
      </c>
      <c r="D4036" s="6" t="str">
        <f>IF(OR(D4035=1,C4036=1),1,0)</f>
      </c>
      <c r="E4036" s="6" t="str">
        <f>IF(C4036=1,0,IF(D4035=1,E4035+1,0))</f>
      </c>
      <c r="F4036" s="6" t="str">
        <f>IF(AND(C4036=1,D4035=1),MIN(E4035,3),"")</f>
      </c>
    </row>
    <row r="4037">
      <c r="A4037" s="5">
        <v>999</v>
      </c>
      <c r="B4037" s="5" t="str">
        <f>'Lineal Mixto'!$C$1003</f>
      </c>
      <c r="C4037" s="5" t="str">
        <f>IF(AND(B4037&gt;=$B$3034,B4037&lt;=$B$3035),1,0)</f>
      </c>
      <c r="D4037" s="5" t="str">
        <f>IF(OR(D4036=1,C4037=1),1,0)</f>
      </c>
      <c r="E4037" s="5" t="str">
        <f>IF(C4037=1,0,IF(D4036=1,E4036+1,0))</f>
      </c>
      <c r="F4037" s="5" t="str">
        <f>IF(AND(C4037=1,D4036=1),MIN(E4036,3),"")</f>
      </c>
    </row>
    <row r="4038">
      <c r="A4038" s="6">
        <v>1000</v>
      </c>
      <c r="B4038" s="6" t="str">
        <f>'Lineal Mixto'!$C$1004</f>
      </c>
      <c r="C4038" s="6" t="str">
        <f>IF(AND(B4038&gt;=$B$3034,B4038&lt;=$B$3035),1,0)</f>
      </c>
      <c r="D4038" s="6" t="str">
        <f>IF(OR(D4037=1,C4038=1),1,0)</f>
      </c>
      <c r="E4038" s="6" t="str">
        <f>IF(C4038=1,0,IF(D4037=1,E4037+1,0))</f>
      </c>
      <c r="F4038" s="6" t="str">
        <f>IF(AND(C4038=1,D4037=1),MIN(E4037,3),"")</f>
      </c>
    </row>
    <row r="4039">
      <c r="A4039" s="5">
        <v>1001</v>
      </c>
      <c r="B4039" s="5" t="str">
        <f>'Lineal Mixto'!$C$1005</f>
      </c>
      <c r="C4039" s="5" t="str">
        <f>IF(AND(B4039&gt;=$B$3034,B4039&lt;=$B$3035),1,0)</f>
      </c>
      <c r="D4039" s="5" t="str">
        <f>IF(OR(D4038=1,C4039=1),1,0)</f>
      </c>
      <c r="E4039" s="5" t="str">
        <f>IF(C4039=1,0,IF(D4038=1,E4038+1,0))</f>
      </c>
      <c r="F4039" s="5" t="str">
        <f>IF(AND(C4039=1,D4038=1),MIN(E4038,3),"")</f>
      </c>
    </row>
    <row r="4040">
      <c r="A4040" s="6">
        <v>1002</v>
      </c>
      <c r="B4040" s="6" t="str">
        <f>'Lineal Mixto'!$C$1006</f>
      </c>
      <c r="C4040" s="6" t="str">
        <f>IF(AND(B4040&gt;=$B$3034,B4040&lt;=$B$3035),1,0)</f>
      </c>
      <c r="D4040" s="6" t="str">
        <f>IF(OR(D4039=1,C4040=1),1,0)</f>
      </c>
      <c r="E4040" s="6" t="str">
        <f>IF(C4040=1,0,IF(D4039=1,E4039+1,0))</f>
      </c>
      <c r="F4040" s="6" t="str">
        <f>IF(AND(C4040=1,D4039=1),MIN(E4039,3),"")</f>
      </c>
    </row>
    <row r="4041">
      <c r="A4041" s="5">
        <v>1003</v>
      </c>
      <c r="B4041" s="5" t="str">
        <f>'Lineal Mixto'!$C$1007</f>
      </c>
      <c r="C4041" s="5" t="str">
        <f>IF(AND(B4041&gt;=$B$3034,B4041&lt;=$B$3035),1,0)</f>
      </c>
      <c r="D4041" s="5" t="str">
        <f>IF(OR(D4040=1,C4041=1),1,0)</f>
      </c>
      <c r="E4041" s="5" t="str">
        <f>IF(C4041=1,0,IF(D4040=1,E4040+1,0))</f>
      </c>
      <c r="F4041" s="5" t="str">
        <f>IF(AND(C4041=1,D4040=1),MIN(E4040,3),"")</f>
      </c>
    </row>
    <row r="4042">
      <c r="A4042" s="6">
        <v>1004</v>
      </c>
      <c r="B4042" s="6" t="str">
        <f>'Lineal Mixto'!$C$1008</f>
      </c>
      <c r="C4042" s="6" t="str">
        <f>IF(AND(B4042&gt;=$B$3034,B4042&lt;=$B$3035),1,0)</f>
      </c>
      <c r="D4042" s="6" t="str">
        <f>IF(OR(D4041=1,C4042=1),1,0)</f>
      </c>
      <c r="E4042" s="6" t="str">
        <f>IF(C4042=1,0,IF(D4041=1,E4041+1,0))</f>
      </c>
      <c r="F4042" s="6" t="str">
        <f>IF(AND(C4042=1,D4041=1),MIN(E4041,3),"")</f>
      </c>
    </row>
    <row r="4043">
      <c r="A4043" s="5">
        <v>1005</v>
      </c>
      <c r="B4043" s="5" t="str">
        <f>'Lineal Mixto'!$C$1009</f>
      </c>
      <c r="C4043" s="5" t="str">
        <f>IF(AND(B4043&gt;=$B$3034,B4043&lt;=$B$3035),1,0)</f>
      </c>
      <c r="D4043" s="5" t="str">
        <f>IF(OR(D4042=1,C4043=1),1,0)</f>
      </c>
      <c r="E4043" s="5" t="str">
        <f>IF(C4043=1,0,IF(D4042=1,E4042+1,0))</f>
      </c>
      <c r="F4043" s="5" t="str">
        <f>IF(AND(C4043=1,D4042=1),MIN(E4042,3),"")</f>
      </c>
    </row>
    <row r="4044">
      <c r="A4044" s="6">
        <v>1006</v>
      </c>
      <c r="B4044" s="6" t="str">
        <f>'Lineal Mixto'!$C$1010</f>
      </c>
      <c r="C4044" s="6" t="str">
        <f>IF(AND(B4044&gt;=$B$3034,B4044&lt;=$B$3035),1,0)</f>
      </c>
      <c r="D4044" s="6" t="str">
        <f>IF(OR(D4043=1,C4044=1),1,0)</f>
      </c>
      <c r="E4044" s="6" t="str">
        <f>IF(C4044=1,0,IF(D4043=1,E4043+1,0))</f>
      </c>
      <c r="F4044" s="6" t="str">
        <f>IF(AND(C4044=1,D4043=1),MIN(E4043,3),"")</f>
      </c>
    </row>
    <row r="4045">
      <c r="A4045" s="5">
        <v>1007</v>
      </c>
      <c r="B4045" s="5" t="str">
        <f>'Lineal Mixto'!$C$1011</f>
      </c>
      <c r="C4045" s="5" t="str">
        <f>IF(AND(B4045&gt;=$B$3034,B4045&lt;=$B$3035),1,0)</f>
      </c>
      <c r="D4045" s="5" t="str">
        <f>IF(OR(D4044=1,C4045=1),1,0)</f>
      </c>
      <c r="E4045" s="5" t="str">
        <f>IF(C4045=1,0,IF(D4044=1,E4044+1,0))</f>
      </c>
      <c r="F4045" s="5" t="str">
        <f>IF(AND(C4045=1,D4044=1),MIN(E4044,3),"")</f>
      </c>
    </row>
    <row r="4046">
      <c r="A4046" s="6">
        <v>1008</v>
      </c>
      <c r="B4046" s="6" t="str">
        <f>'Lineal Mixto'!$C$1012</f>
      </c>
      <c r="C4046" s="6" t="str">
        <f>IF(AND(B4046&gt;=$B$3034,B4046&lt;=$B$3035),1,0)</f>
      </c>
      <c r="D4046" s="6" t="str">
        <f>IF(OR(D4045=1,C4046=1),1,0)</f>
      </c>
      <c r="E4046" s="6" t="str">
        <f>IF(C4046=1,0,IF(D4045=1,E4045+1,0))</f>
      </c>
      <c r="F4046" s="6" t="str">
        <f>IF(AND(C4046=1,D4045=1),MIN(E4045,3),"")</f>
      </c>
    </row>
    <row r="4047">
      <c r="A4047" s="5">
        <v>1009</v>
      </c>
      <c r="B4047" s="5" t="str">
        <f>'Lineal Mixto'!$C$1013</f>
      </c>
      <c r="C4047" s="5" t="str">
        <f>IF(AND(B4047&gt;=$B$3034,B4047&lt;=$B$3035),1,0)</f>
      </c>
      <c r="D4047" s="5" t="str">
        <f>IF(OR(D4046=1,C4047=1),1,0)</f>
      </c>
      <c r="E4047" s="5" t="str">
        <f>IF(C4047=1,0,IF(D4046=1,E4046+1,0))</f>
      </c>
      <c r="F4047" s="5" t="str">
        <f>IF(AND(C4047=1,D4046=1),MIN(E4046,3),"")</f>
      </c>
    </row>
    <row r="4048">
      <c r="A4048" s="6">
        <v>1010</v>
      </c>
      <c r="B4048" s="6" t="str">
        <f>'Lineal Mixto'!$C$1014</f>
      </c>
      <c r="C4048" s="6" t="str">
        <f>IF(AND(B4048&gt;=$B$3034,B4048&lt;=$B$3035),1,0)</f>
      </c>
      <c r="D4048" s="6" t="str">
        <f>IF(OR(D4047=1,C4048=1),1,0)</f>
      </c>
      <c r="E4048" s="6" t="str">
        <f>IF(C4048=1,0,IF(D4047=1,E4047+1,0))</f>
      </c>
      <c r="F4048" s="6" t="str">
        <f>IF(AND(C4048=1,D4047=1),MIN(E4047,3),"")</f>
      </c>
    </row>
    <row r="4049">
      <c r="A4049" s="5">
        <v>1011</v>
      </c>
      <c r="B4049" s="5" t="str">
        <f>'Lineal Mixto'!$C$1015</f>
      </c>
      <c r="C4049" s="5" t="str">
        <f>IF(AND(B4049&gt;=$B$3034,B4049&lt;=$B$3035),1,0)</f>
      </c>
      <c r="D4049" s="5" t="str">
        <f>IF(OR(D4048=1,C4049=1),1,0)</f>
      </c>
      <c r="E4049" s="5" t="str">
        <f>IF(C4049=1,0,IF(D4048=1,E4048+1,0))</f>
      </c>
      <c r="F4049" s="5" t="str">
        <f>IF(AND(C4049=1,D4048=1),MIN(E4048,3),"")</f>
      </c>
    </row>
    <row r="4050">
      <c r="A4050" s="6">
        <v>1012</v>
      </c>
      <c r="B4050" s="6" t="str">
        <f>'Lineal Mixto'!$C$1016</f>
      </c>
      <c r="C4050" s="6" t="str">
        <f>IF(AND(B4050&gt;=$B$3034,B4050&lt;=$B$3035),1,0)</f>
      </c>
      <c r="D4050" s="6" t="str">
        <f>IF(OR(D4049=1,C4050=1),1,0)</f>
      </c>
      <c r="E4050" s="6" t="str">
        <f>IF(C4050=1,0,IF(D4049=1,E4049+1,0))</f>
      </c>
      <c r="F4050" s="6" t="str">
        <f>IF(AND(C4050=1,D4049=1),MIN(E4049,3),"")</f>
      </c>
    </row>
    <row r="4051">
      <c r="A4051" s="5">
        <v>1013</v>
      </c>
      <c r="B4051" s="5" t="str">
        <f>'Lineal Mixto'!$C$1017</f>
      </c>
      <c r="C4051" s="5" t="str">
        <f>IF(AND(B4051&gt;=$B$3034,B4051&lt;=$B$3035),1,0)</f>
      </c>
      <c r="D4051" s="5" t="str">
        <f>IF(OR(D4050=1,C4051=1),1,0)</f>
      </c>
      <c r="E4051" s="5" t="str">
        <f>IF(C4051=1,0,IF(D4050=1,E4050+1,0))</f>
      </c>
      <c r="F4051" s="5" t="str">
        <f>IF(AND(C4051=1,D4050=1),MIN(E4050,3),"")</f>
      </c>
    </row>
    <row r="4052">
      <c r="A4052" s="6">
        <v>1014</v>
      </c>
      <c r="B4052" s="6" t="str">
        <f>'Lineal Mixto'!$C$1018</f>
      </c>
      <c r="C4052" s="6" t="str">
        <f>IF(AND(B4052&gt;=$B$3034,B4052&lt;=$B$3035),1,0)</f>
      </c>
      <c r="D4052" s="6" t="str">
        <f>IF(OR(D4051=1,C4052=1),1,0)</f>
      </c>
      <c r="E4052" s="6" t="str">
        <f>IF(C4052=1,0,IF(D4051=1,E4051+1,0))</f>
      </c>
      <c r="F4052" s="6" t="str">
        <f>IF(AND(C4052=1,D4051=1),MIN(E4051,3),"")</f>
      </c>
    </row>
    <row r="4053">
      <c r="A4053" s="5">
        <v>1015</v>
      </c>
      <c r="B4053" s="5" t="str">
        <f>'Lineal Mixto'!$C$1019</f>
      </c>
      <c r="C4053" s="5" t="str">
        <f>IF(AND(B4053&gt;=$B$3034,B4053&lt;=$B$3035),1,0)</f>
      </c>
      <c r="D4053" s="5" t="str">
        <f>IF(OR(D4052=1,C4053=1),1,0)</f>
      </c>
      <c r="E4053" s="5" t="str">
        <f>IF(C4053=1,0,IF(D4052=1,E4052+1,0))</f>
      </c>
      <c r="F4053" s="5" t="str">
        <f>IF(AND(C4053=1,D4052=1),MIN(E4052,3),"")</f>
      </c>
    </row>
    <row r="4054">
      <c r="A4054" s="6">
        <v>1016</v>
      </c>
      <c r="B4054" s="6" t="str">
        <f>'Lineal Mixto'!$C$1020</f>
      </c>
      <c r="C4054" s="6" t="str">
        <f>IF(AND(B4054&gt;=$B$3034,B4054&lt;=$B$3035),1,0)</f>
      </c>
      <c r="D4054" s="6" t="str">
        <f>IF(OR(D4053=1,C4054=1),1,0)</f>
      </c>
      <c r="E4054" s="6" t="str">
        <f>IF(C4054=1,0,IF(D4053=1,E4053+1,0))</f>
      </c>
      <c r="F4054" s="6" t="str">
        <f>IF(AND(C4054=1,D4053=1),MIN(E4053,3),"")</f>
      </c>
    </row>
    <row r="4055">
      <c r="A4055" s="5">
        <v>1017</v>
      </c>
      <c r="B4055" s="5" t="str">
        <f>'Lineal Mixto'!$C$1021</f>
      </c>
      <c r="C4055" s="5" t="str">
        <f>IF(AND(B4055&gt;=$B$3034,B4055&lt;=$B$3035),1,0)</f>
      </c>
      <c r="D4055" s="5" t="str">
        <f>IF(OR(D4054=1,C4055=1),1,0)</f>
      </c>
      <c r="E4055" s="5" t="str">
        <f>IF(C4055=1,0,IF(D4054=1,E4054+1,0))</f>
      </c>
      <c r="F4055" s="5" t="str">
        <f>IF(AND(C4055=1,D4054=1),MIN(E4054,3),"")</f>
      </c>
    </row>
    <row r="4056">
      <c r="A4056" s="6">
        <v>1018</v>
      </c>
      <c r="B4056" s="6" t="str">
        <f>'Lineal Mixto'!$C$1022</f>
      </c>
      <c r="C4056" s="6" t="str">
        <f>IF(AND(B4056&gt;=$B$3034,B4056&lt;=$B$3035),1,0)</f>
      </c>
      <c r="D4056" s="6" t="str">
        <f>IF(OR(D4055=1,C4056=1),1,0)</f>
      </c>
      <c r="E4056" s="6" t="str">
        <f>IF(C4056=1,0,IF(D4055=1,E4055+1,0))</f>
      </c>
      <c r="F4056" s="6" t="str">
        <f>IF(AND(C4056=1,D4055=1),MIN(E4055,3),"")</f>
      </c>
    </row>
    <row r="4057">
      <c r="A4057" s="5">
        <v>1019</v>
      </c>
      <c r="B4057" s="5" t="str">
        <f>'Lineal Mixto'!$C$1023</f>
      </c>
      <c r="C4057" s="5" t="str">
        <f>IF(AND(B4057&gt;=$B$3034,B4057&lt;=$B$3035),1,0)</f>
      </c>
      <c r="D4057" s="5" t="str">
        <f>IF(OR(D4056=1,C4057=1),1,0)</f>
      </c>
      <c r="E4057" s="5" t="str">
        <f>IF(C4057=1,0,IF(D4056=1,E4056+1,0))</f>
      </c>
      <c r="F4057" s="5" t="str">
        <f>IF(AND(C4057=1,D4056=1),MIN(E4056,3),"")</f>
      </c>
    </row>
    <row r="4058">
      <c r="A4058" s="6">
        <v>1020</v>
      </c>
      <c r="B4058" s="6" t="str">
        <f>'Lineal Mixto'!$C$1024</f>
      </c>
      <c r="C4058" s="6" t="str">
        <f>IF(AND(B4058&gt;=$B$3034,B4058&lt;=$B$3035),1,0)</f>
      </c>
      <c r="D4058" s="6" t="str">
        <f>IF(OR(D4057=1,C4058=1),1,0)</f>
      </c>
      <c r="E4058" s="6" t="str">
        <f>IF(C4058=1,0,IF(D4057=1,E4057+1,0))</f>
      </c>
      <c r="F4058" s="6" t="str">
        <f>IF(AND(C4058=1,D4057=1),MIN(E4057,3),"")</f>
      </c>
    </row>
    <row r="4059">
      <c r="A4059" s="5">
        <v>1021</v>
      </c>
      <c r="B4059" s="5" t="str">
        <f>'Lineal Mixto'!$C$1025</f>
      </c>
      <c r="C4059" s="5" t="str">
        <f>IF(AND(B4059&gt;=$B$3034,B4059&lt;=$B$3035),1,0)</f>
      </c>
      <c r="D4059" s="5" t="str">
        <f>IF(OR(D4058=1,C4059=1),1,0)</f>
      </c>
      <c r="E4059" s="5" t="str">
        <f>IF(C4059=1,0,IF(D4058=1,E4058+1,0))</f>
      </c>
      <c r="F4059" s="5" t="str">
        <f>IF(AND(C4059=1,D4058=1),MIN(E4058,3),"")</f>
      </c>
    </row>
    <row r="4060">
      <c r="A4060" s="6">
        <v>1022</v>
      </c>
      <c r="B4060" s="6" t="str">
        <f>'Lineal Mixto'!$C$1026</f>
      </c>
      <c r="C4060" s="6" t="str">
        <f>IF(AND(B4060&gt;=$B$3034,B4060&lt;=$B$3035),1,0)</f>
      </c>
      <c r="D4060" s="6" t="str">
        <f>IF(OR(D4059=1,C4060=1),1,0)</f>
      </c>
      <c r="E4060" s="6" t="str">
        <f>IF(C4060=1,0,IF(D4059=1,E4059+1,0))</f>
      </c>
      <c r="F4060" s="6" t="str">
        <f>IF(AND(C4060=1,D4059=1),MIN(E4059,3),"")</f>
      </c>
    </row>
    <row r="4061">
      <c r="A4061" s="5">
        <v>1023</v>
      </c>
      <c r="B4061" s="5" t="str">
        <f>'Lineal Mixto'!$C$1027</f>
      </c>
      <c r="C4061" s="5" t="str">
        <f>IF(AND(B4061&gt;=$B$3034,B4061&lt;=$B$3035),1,0)</f>
      </c>
      <c r="D4061" s="5" t="str">
        <f>IF(OR(D4060=1,C4061=1),1,0)</f>
      </c>
      <c r="E4061" s="5" t="str">
        <f>IF(C4061=1,0,IF(D4060=1,E4060+1,0))</f>
      </c>
      <c r="F4061" s="5" t="str">
        <f>IF(AND(C4061=1,D4060=1),MIN(E4060,3),"")</f>
      </c>
    </row>
    <row r="4062">
      <c r="A4062" s="6">
        <v>1024</v>
      </c>
      <c r="B4062" s="6" t="str">
        <f>'Lineal Mixto'!$C$1028</f>
      </c>
      <c r="C4062" s="6" t="str">
        <f>IF(AND(B4062&gt;=$B$3034,B4062&lt;=$B$3035),1,0)</f>
      </c>
      <c r="D4062" s="6" t="str">
        <f>IF(OR(D4061=1,C4062=1),1,0)</f>
      </c>
      <c r="E4062" s="6" t="str">
        <f>IF(C4062=1,0,IF(D4061=1,E4061+1,0))</f>
      </c>
      <c r="F4062" s="6" t="str">
        <f>IF(AND(C4062=1,D4061=1),MIN(E4061,3),"")</f>
      </c>
    </row>
    <row r="4063">
      <c r="A4063" s="5">
        <v>1025</v>
      </c>
      <c r="B4063" s="5" t="str">
        <f>'Lineal Mixto'!$C$1029</f>
      </c>
      <c r="C4063" s="5" t="str">
        <f>IF(AND(B4063&gt;=$B$3034,B4063&lt;=$B$3035),1,0)</f>
      </c>
      <c r="D4063" s="5" t="str">
        <f>IF(OR(D4062=1,C4063=1),1,0)</f>
      </c>
      <c r="E4063" s="5" t="str">
        <f>IF(C4063=1,0,IF(D4062=1,E4062+1,0))</f>
      </c>
      <c r="F4063" s="5" t="str">
        <f>IF(AND(C4063=1,D4062=1),MIN(E4062,3),"")</f>
      </c>
    </row>
    <row r="4064">
      <c r="A4064" s="6">
        <v>1026</v>
      </c>
      <c r="B4064" s="6" t="str">
        <f>'Lineal Mixto'!$C$1030</f>
      </c>
      <c r="C4064" s="6" t="str">
        <f>IF(AND(B4064&gt;=$B$3034,B4064&lt;=$B$3035),1,0)</f>
      </c>
      <c r="D4064" s="6" t="str">
        <f>IF(OR(D4063=1,C4064=1),1,0)</f>
      </c>
      <c r="E4064" s="6" t="str">
        <f>IF(C4064=1,0,IF(D4063=1,E4063+1,0))</f>
      </c>
      <c r="F4064" s="6" t="str">
        <f>IF(AND(C4064=1,D4063=1),MIN(E4063,3),"")</f>
      </c>
    </row>
    <row r="4065">
      <c r="A4065" s="5">
        <v>1027</v>
      </c>
      <c r="B4065" s="5" t="str">
        <f>'Lineal Mixto'!$C$1031</f>
      </c>
      <c r="C4065" s="5" t="str">
        <f>IF(AND(B4065&gt;=$B$3034,B4065&lt;=$B$3035),1,0)</f>
      </c>
      <c r="D4065" s="5" t="str">
        <f>IF(OR(D4064=1,C4065=1),1,0)</f>
      </c>
      <c r="E4065" s="5" t="str">
        <f>IF(C4065=1,0,IF(D4064=1,E4064+1,0))</f>
      </c>
      <c r="F4065" s="5" t="str">
        <f>IF(AND(C4065=1,D4064=1),MIN(E4064,3),"")</f>
      </c>
    </row>
    <row r="4066">
      <c r="A4066" s="6">
        <v>1028</v>
      </c>
      <c r="B4066" s="6" t="str">
        <f>'Lineal Mixto'!$C$1032</f>
      </c>
      <c r="C4066" s="6" t="str">
        <f>IF(AND(B4066&gt;=$B$3034,B4066&lt;=$B$3035),1,0)</f>
      </c>
      <c r="D4066" s="6" t="str">
        <f>IF(OR(D4065=1,C4066=1),1,0)</f>
      </c>
      <c r="E4066" s="6" t="str">
        <f>IF(C4066=1,0,IF(D4065=1,E4065+1,0))</f>
      </c>
      <c r="F4066" s="6" t="str">
        <f>IF(AND(C4066=1,D4065=1),MIN(E4065,3),"")</f>
      </c>
    </row>
    <row r="4067">
      <c r="A4067" s="5">
        <v>1029</v>
      </c>
      <c r="B4067" s="5" t="str">
        <f>'Lineal Mixto'!$C$1033</f>
      </c>
      <c r="C4067" s="5" t="str">
        <f>IF(AND(B4067&gt;=$B$3034,B4067&lt;=$B$3035),1,0)</f>
      </c>
      <c r="D4067" s="5" t="str">
        <f>IF(OR(D4066=1,C4067=1),1,0)</f>
      </c>
      <c r="E4067" s="5" t="str">
        <f>IF(C4067=1,0,IF(D4066=1,E4066+1,0))</f>
      </c>
      <c r="F4067" s="5" t="str">
        <f>IF(AND(C4067=1,D4066=1),MIN(E4066,3),"")</f>
      </c>
    </row>
    <row r="4068">
      <c r="A4068" s="6">
        <v>1030</v>
      </c>
      <c r="B4068" s="6" t="str">
        <f>'Lineal Mixto'!$C$1034</f>
      </c>
      <c r="C4068" s="6" t="str">
        <f>IF(AND(B4068&gt;=$B$3034,B4068&lt;=$B$3035),1,0)</f>
      </c>
      <c r="D4068" s="6" t="str">
        <f>IF(OR(D4067=1,C4068=1),1,0)</f>
      </c>
      <c r="E4068" s="6" t="str">
        <f>IF(C4068=1,0,IF(D4067=1,E4067+1,0))</f>
      </c>
      <c r="F4068" s="6" t="str">
        <f>IF(AND(C4068=1,D4067=1),MIN(E4067,3),"")</f>
      </c>
    </row>
    <row r="4069">
      <c r="A4069" s="5">
        <v>1031</v>
      </c>
      <c r="B4069" s="5" t="str">
        <f>'Lineal Mixto'!$C$1035</f>
      </c>
      <c r="C4069" s="5" t="str">
        <f>IF(AND(B4069&gt;=$B$3034,B4069&lt;=$B$3035),1,0)</f>
      </c>
      <c r="D4069" s="5" t="str">
        <f>IF(OR(D4068=1,C4069=1),1,0)</f>
      </c>
      <c r="E4069" s="5" t="str">
        <f>IF(C4069=1,0,IF(D4068=1,E4068+1,0))</f>
      </c>
      <c r="F4069" s="5" t="str">
        <f>IF(AND(C4069=1,D4068=1),MIN(E4068,3),"")</f>
      </c>
    </row>
    <row r="4070">
      <c r="A4070" s="6">
        <v>1032</v>
      </c>
      <c r="B4070" s="6" t="str">
        <f>'Lineal Mixto'!$C$1036</f>
      </c>
      <c r="C4070" s="6" t="str">
        <f>IF(AND(B4070&gt;=$B$3034,B4070&lt;=$B$3035),1,0)</f>
      </c>
      <c r="D4070" s="6" t="str">
        <f>IF(OR(D4069=1,C4070=1),1,0)</f>
      </c>
      <c r="E4070" s="6" t="str">
        <f>IF(C4070=1,0,IF(D4069=1,E4069+1,0))</f>
      </c>
      <c r="F4070" s="6" t="str">
        <f>IF(AND(C4070=1,D4069=1),MIN(E4069,3),"")</f>
      </c>
    </row>
    <row r="4071">
      <c r="A4071" s="5">
        <v>1033</v>
      </c>
      <c r="B4071" s="5" t="str">
        <f>'Lineal Mixto'!$C$1037</f>
      </c>
      <c r="C4071" s="5" t="str">
        <f>IF(AND(B4071&gt;=$B$3034,B4071&lt;=$B$3035),1,0)</f>
      </c>
      <c r="D4071" s="5" t="str">
        <f>IF(OR(D4070=1,C4071=1),1,0)</f>
      </c>
      <c r="E4071" s="5" t="str">
        <f>IF(C4071=1,0,IF(D4070=1,E4070+1,0))</f>
      </c>
      <c r="F4071" s="5" t="str">
        <f>IF(AND(C4071=1,D4070=1),MIN(E4070,3),"")</f>
      </c>
    </row>
    <row r="4072">
      <c r="A4072" s="6">
        <v>1034</v>
      </c>
      <c r="B4072" s="6" t="str">
        <f>'Lineal Mixto'!$C$1038</f>
      </c>
      <c r="C4072" s="6" t="str">
        <f>IF(AND(B4072&gt;=$B$3034,B4072&lt;=$B$3035),1,0)</f>
      </c>
      <c r="D4072" s="6" t="str">
        <f>IF(OR(D4071=1,C4072=1),1,0)</f>
      </c>
      <c r="E4072" s="6" t="str">
        <f>IF(C4072=1,0,IF(D4071=1,E4071+1,0))</f>
      </c>
      <c r="F4072" s="6" t="str">
        <f>IF(AND(C4072=1,D4071=1),MIN(E4071,3),"")</f>
      </c>
    </row>
    <row r="4073">
      <c r="A4073" s="5">
        <v>1035</v>
      </c>
      <c r="B4073" s="5" t="str">
        <f>'Lineal Mixto'!$C$1039</f>
      </c>
      <c r="C4073" s="5" t="str">
        <f>IF(AND(B4073&gt;=$B$3034,B4073&lt;=$B$3035),1,0)</f>
      </c>
      <c r="D4073" s="5" t="str">
        <f>IF(OR(D4072=1,C4073=1),1,0)</f>
      </c>
      <c r="E4073" s="5" t="str">
        <f>IF(C4073=1,0,IF(D4072=1,E4072+1,0))</f>
      </c>
      <c r="F4073" s="5" t="str">
        <f>IF(AND(C4073=1,D4072=1),MIN(E4072,3),"")</f>
      </c>
    </row>
    <row r="4074">
      <c r="A4074" s="6">
        <v>1036</v>
      </c>
      <c r="B4074" s="6" t="str">
        <f>'Lineal Mixto'!$C$1040</f>
      </c>
      <c r="C4074" s="6" t="str">
        <f>IF(AND(B4074&gt;=$B$3034,B4074&lt;=$B$3035),1,0)</f>
      </c>
      <c r="D4074" s="6" t="str">
        <f>IF(OR(D4073=1,C4074=1),1,0)</f>
      </c>
      <c r="E4074" s="6" t="str">
        <f>IF(C4074=1,0,IF(D4073=1,E4073+1,0))</f>
      </c>
      <c r="F4074" s="6" t="str">
        <f>IF(AND(C4074=1,D4073=1),MIN(E4073,3),"")</f>
      </c>
    </row>
    <row r="4075">
      <c r="A4075" s="5">
        <v>1037</v>
      </c>
      <c r="B4075" s="5" t="str">
        <f>'Lineal Mixto'!$C$1041</f>
      </c>
      <c r="C4075" s="5" t="str">
        <f>IF(AND(B4075&gt;=$B$3034,B4075&lt;=$B$3035),1,0)</f>
      </c>
      <c r="D4075" s="5" t="str">
        <f>IF(OR(D4074=1,C4075=1),1,0)</f>
      </c>
      <c r="E4075" s="5" t="str">
        <f>IF(C4075=1,0,IF(D4074=1,E4074+1,0))</f>
      </c>
      <c r="F4075" s="5" t="str">
        <f>IF(AND(C4075=1,D4074=1),MIN(E4074,3),"")</f>
      </c>
    </row>
    <row r="4076">
      <c r="A4076" s="6">
        <v>1038</v>
      </c>
      <c r="B4076" s="6" t="str">
        <f>'Lineal Mixto'!$C$1042</f>
      </c>
      <c r="C4076" s="6" t="str">
        <f>IF(AND(B4076&gt;=$B$3034,B4076&lt;=$B$3035),1,0)</f>
      </c>
      <c r="D4076" s="6" t="str">
        <f>IF(OR(D4075=1,C4076=1),1,0)</f>
      </c>
      <c r="E4076" s="6" t="str">
        <f>IF(C4076=1,0,IF(D4075=1,E4075+1,0))</f>
      </c>
      <c r="F4076" s="6" t="str">
        <f>IF(AND(C4076=1,D4075=1),MIN(E4075,3),"")</f>
      </c>
    </row>
    <row r="4077">
      <c r="A4077" s="5">
        <v>1039</v>
      </c>
      <c r="B4077" s="5" t="str">
        <f>'Lineal Mixto'!$C$1043</f>
      </c>
      <c r="C4077" s="5" t="str">
        <f>IF(AND(B4077&gt;=$B$3034,B4077&lt;=$B$3035),1,0)</f>
      </c>
      <c r="D4077" s="5" t="str">
        <f>IF(OR(D4076=1,C4077=1),1,0)</f>
      </c>
      <c r="E4077" s="5" t="str">
        <f>IF(C4077=1,0,IF(D4076=1,E4076+1,0))</f>
      </c>
      <c r="F4077" s="5" t="str">
        <f>IF(AND(C4077=1,D4076=1),MIN(E4076,3),"")</f>
      </c>
    </row>
    <row r="4078">
      <c r="A4078" s="6">
        <v>1040</v>
      </c>
      <c r="B4078" s="6" t="str">
        <f>'Lineal Mixto'!$C$1044</f>
      </c>
      <c r="C4078" s="6" t="str">
        <f>IF(AND(B4078&gt;=$B$3034,B4078&lt;=$B$3035),1,0)</f>
      </c>
      <c r="D4078" s="6" t="str">
        <f>IF(OR(D4077=1,C4078=1),1,0)</f>
      </c>
      <c r="E4078" s="6" t="str">
        <f>IF(C4078=1,0,IF(D4077=1,E4077+1,0))</f>
      </c>
      <c r="F4078" s="6" t="str">
        <f>IF(AND(C4078=1,D4077=1),MIN(E4077,3),"")</f>
      </c>
    </row>
    <row r="4079">
      <c r="A4079" s="5">
        <v>1041</v>
      </c>
      <c r="B4079" s="5" t="str">
        <f>'Lineal Mixto'!$C$1045</f>
      </c>
      <c r="C4079" s="5" t="str">
        <f>IF(AND(B4079&gt;=$B$3034,B4079&lt;=$B$3035),1,0)</f>
      </c>
      <c r="D4079" s="5" t="str">
        <f>IF(OR(D4078=1,C4079=1),1,0)</f>
      </c>
      <c r="E4079" s="5" t="str">
        <f>IF(C4079=1,0,IF(D4078=1,E4078+1,0))</f>
      </c>
      <c r="F4079" s="5" t="str">
        <f>IF(AND(C4079=1,D4078=1),MIN(E4078,3),"")</f>
      </c>
    </row>
    <row r="4080">
      <c r="A4080" s="6">
        <v>1042</v>
      </c>
      <c r="B4080" s="6" t="str">
        <f>'Lineal Mixto'!$C$1046</f>
      </c>
      <c r="C4080" s="6" t="str">
        <f>IF(AND(B4080&gt;=$B$3034,B4080&lt;=$B$3035),1,0)</f>
      </c>
      <c r="D4080" s="6" t="str">
        <f>IF(OR(D4079=1,C4080=1),1,0)</f>
      </c>
      <c r="E4080" s="6" t="str">
        <f>IF(C4080=1,0,IF(D4079=1,E4079+1,0))</f>
      </c>
      <c r="F4080" s="6" t="str">
        <f>IF(AND(C4080=1,D4079=1),MIN(E4079,3),"")</f>
      </c>
    </row>
    <row r="4081">
      <c r="A4081" s="5">
        <v>1043</v>
      </c>
      <c r="B4081" s="5" t="str">
        <f>'Lineal Mixto'!$C$1047</f>
      </c>
      <c r="C4081" s="5" t="str">
        <f>IF(AND(B4081&gt;=$B$3034,B4081&lt;=$B$3035),1,0)</f>
      </c>
      <c r="D4081" s="5" t="str">
        <f>IF(OR(D4080=1,C4081=1),1,0)</f>
      </c>
      <c r="E4081" s="5" t="str">
        <f>IF(C4081=1,0,IF(D4080=1,E4080+1,0))</f>
      </c>
      <c r="F4081" s="5" t="str">
        <f>IF(AND(C4081=1,D4080=1),MIN(E4080,3),"")</f>
      </c>
    </row>
    <row r="4082">
      <c r="A4082" s="6">
        <v>1044</v>
      </c>
      <c r="B4082" s="6" t="str">
        <f>'Lineal Mixto'!$C$1048</f>
      </c>
      <c r="C4082" s="6" t="str">
        <f>IF(AND(B4082&gt;=$B$3034,B4082&lt;=$B$3035),1,0)</f>
      </c>
      <c r="D4082" s="6" t="str">
        <f>IF(OR(D4081=1,C4082=1),1,0)</f>
      </c>
      <c r="E4082" s="6" t="str">
        <f>IF(C4082=1,0,IF(D4081=1,E4081+1,0))</f>
      </c>
      <c r="F4082" s="6" t="str">
        <f>IF(AND(C4082=1,D4081=1),MIN(E4081,3),"")</f>
      </c>
    </row>
    <row r="4083">
      <c r="A4083" s="5">
        <v>1045</v>
      </c>
      <c r="B4083" s="5" t="str">
        <f>'Lineal Mixto'!$C$1049</f>
      </c>
      <c r="C4083" s="5" t="str">
        <f>IF(AND(B4083&gt;=$B$3034,B4083&lt;=$B$3035),1,0)</f>
      </c>
      <c r="D4083" s="5" t="str">
        <f>IF(OR(D4082=1,C4083=1),1,0)</f>
      </c>
      <c r="E4083" s="5" t="str">
        <f>IF(C4083=1,0,IF(D4082=1,E4082+1,0))</f>
      </c>
      <c r="F4083" s="5" t="str">
        <f>IF(AND(C4083=1,D4082=1),MIN(E4082,3),"")</f>
      </c>
    </row>
    <row r="4084">
      <c r="A4084" s="6">
        <v>1046</v>
      </c>
      <c r="B4084" s="6" t="str">
        <f>'Lineal Mixto'!$C$1050</f>
      </c>
      <c r="C4084" s="6" t="str">
        <f>IF(AND(B4084&gt;=$B$3034,B4084&lt;=$B$3035),1,0)</f>
      </c>
      <c r="D4084" s="6" t="str">
        <f>IF(OR(D4083=1,C4084=1),1,0)</f>
      </c>
      <c r="E4084" s="6" t="str">
        <f>IF(C4084=1,0,IF(D4083=1,E4083+1,0))</f>
      </c>
      <c r="F4084" s="6" t="str">
        <f>IF(AND(C4084=1,D4083=1),MIN(E4083,3),"")</f>
      </c>
    </row>
    <row r="4085">
      <c r="A4085" s="5">
        <v>1047</v>
      </c>
      <c r="B4085" s="5" t="str">
        <f>'Lineal Mixto'!$C$1051</f>
      </c>
      <c r="C4085" s="5" t="str">
        <f>IF(AND(B4085&gt;=$B$3034,B4085&lt;=$B$3035),1,0)</f>
      </c>
      <c r="D4085" s="5" t="str">
        <f>IF(OR(D4084=1,C4085=1),1,0)</f>
      </c>
      <c r="E4085" s="5" t="str">
        <f>IF(C4085=1,0,IF(D4084=1,E4084+1,0))</f>
      </c>
      <c r="F4085" s="5" t="str">
        <f>IF(AND(C4085=1,D4084=1),MIN(E4084,3),"")</f>
      </c>
    </row>
    <row r="4086">
      <c r="A4086" s="6">
        <v>1048</v>
      </c>
      <c r="B4086" s="6" t="str">
        <f>'Lineal Mixto'!$C$1052</f>
      </c>
      <c r="C4086" s="6" t="str">
        <f>IF(AND(B4086&gt;=$B$3034,B4086&lt;=$B$3035),1,0)</f>
      </c>
      <c r="D4086" s="6" t="str">
        <f>IF(OR(D4085=1,C4086=1),1,0)</f>
      </c>
      <c r="E4086" s="6" t="str">
        <f>IF(C4086=1,0,IF(D4085=1,E4085+1,0))</f>
      </c>
      <c r="F4086" s="6" t="str">
        <f>IF(AND(C4086=1,D4085=1),MIN(E4085,3),"")</f>
      </c>
    </row>
    <row r="4087">
      <c r="A4087" s="5">
        <v>1049</v>
      </c>
      <c r="B4087" s="5" t="str">
        <f>'Lineal Mixto'!$C$1053</f>
      </c>
      <c r="C4087" s="5" t="str">
        <f>IF(AND(B4087&gt;=$B$3034,B4087&lt;=$B$3035),1,0)</f>
      </c>
      <c r="D4087" s="5" t="str">
        <f>IF(OR(D4086=1,C4087=1),1,0)</f>
      </c>
      <c r="E4087" s="5" t="str">
        <f>IF(C4087=1,0,IF(D4086=1,E4086+1,0))</f>
      </c>
      <c r="F4087" s="5" t="str">
        <f>IF(AND(C4087=1,D4086=1),MIN(E4086,3),"")</f>
      </c>
    </row>
    <row r="4088">
      <c r="A4088" s="6">
        <v>1050</v>
      </c>
      <c r="B4088" s="6" t="str">
        <f>'Lineal Mixto'!$C$1054</f>
      </c>
      <c r="C4088" s="6" t="str">
        <f>IF(AND(B4088&gt;=$B$3034,B4088&lt;=$B$3035),1,0)</f>
      </c>
      <c r="D4088" s="6" t="str">
        <f>IF(OR(D4087=1,C4088=1),1,0)</f>
      </c>
      <c r="E4088" s="6" t="str">
        <f>IF(C4088=1,0,IF(D4087=1,E4087+1,0))</f>
      </c>
      <c r="F4088" s="6" t="str">
        <f>IF(AND(C4088=1,D4087=1),MIN(E4087,3),"")</f>
      </c>
    </row>
    <row r="4089">
      <c r="A4089" s="5">
        <v>1051</v>
      </c>
      <c r="B4089" s="5" t="str">
        <f>'Lineal Mixto'!$C$1055</f>
      </c>
      <c r="C4089" s="5" t="str">
        <f>IF(AND(B4089&gt;=$B$3034,B4089&lt;=$B$3035),1,0)</f>
      </c>
      <c r="D4089" s="5" t="str">
        <f>IF(OR(D4088=1,C4089=1),1,0)</f>
      </c>
      <c r="E4089" s="5" t="str">
        <f>IF(C4089=1,0,IF(D4088=1,E4088+1,0))</f>
      </c>
      <c r="F4089" s="5" t="str">
        <f>IF(AND(C4089=1,D4088=1),MIN(E4088,3),"")</f>
      </c>
    </row>
    <row r="4090">
      <c r="A4090" s="6">
        <v>1052</v>
      </c>
      <c r="B4090" s="6" t="str">
        <f>'Lineal Mixto'!$C$1056</f>
      </c>
      <c r="C4090" s="6" t="str">
        <f>IF(AND(B4090&gt;=$B$3034,B4090&lt;=$B$3035),1,0)</f>
      </c>
      <c r="D4090" s="6" t="str">
        <f>IF(OR(D4089=1,C4090=1),1,0)</f>
      </c>
      <c r="E4090" s="6" t="str">
        <f>IF(C4090=1,0,IF(D4089=1,E4089+1,0))</f>
      </c>
      <c r="F4090" s="6" t="str">
        <f>IF(AND(C4090=1,D4089=1),MIN(E4089,3),"")</f>
      </c>
    </row>
    <row r="4091">
      <c r="A4091" s="5">
        <v>1053</v>
      </c>
      <c r="B4091" s="5" t="str">
        <f>'Lineal Mixto'!$C$1057</f>
      </c>
      <c r="C4091" s="5" t="str">
        <f>IF(AND(B4091&gt;=$B$3034,B4091&lt;=$B$3035),1,0)</f>
      </c>
      <c r="D4091" s="5" t="str">
        <f>IF(OR(D4090=1,C4091=1),1,0)</f>
      </c>
      <c r="E4091" s="5" t="str">
        <f>IF(C4091=1,0,IF(D4090=1,E4090+1,0))</f>
      </c>
      <c r="F4091" s="5" t="str">
        <f>IF(AND(C4091=1,D4090=1),MIN(E4090,3),"")</f>
      </c>
    </row>
    <row r="4092">
      <c r="A4092" s="6">
        <v>1054</v>
      </c>
      <c r="B4092" s="6" t="str">
        <f>'Lineal Mixto'!$C$1058</f>
      </c>
      <c r="C4092" s="6" t="str">
        <f>IF(AND(B4092&gt;=$B$3034,B4092&lt;=$B$3035),1,0)</f>
      </c>
      <c r="D4092" s="6" t="str">
        <f>IF(OR(D4091=1,C4092=1),1,0)</f>
      </c>
      <c r="E4092" s="6" t="str">
        <f>IF(C4092=1,0,IF(D4091=1,E4091+1,0))</f>
      </c>
      <c r="F4092" s="6" t="str">
        <f>IF(AND(C4092=1,D4091=1),MIN(E4091,3),"")</f>
      </c>
    </row>
    <row r="4093">
      <c r="A4093" s="5">
        <v>1055</v>
      </c>
      <c r="B4093" s="5" t="str">
        <f>'Lineal Mixto'!$C$1059</f>
      </c>
      <c r="C4093" s="5" t="str">
        <f>IF(AND(B4093&gt;=$B$3034,B4093&lt;=$B$3035),1,0)</f>
      </c>
      <c r="D4093" s="5" t="str">
        <f>IF(OR(D4092=1,C4093=1),1,0)</f>
      </c>
      <c r="E4093" s="5" t="str">
        <f>IF(C4093=1,0,IF(D4092=1,E4092+1,0))</f>
      </c>
      <c r="F4093" s="5" t="str">
        <f>IF(AND(C4093=1,D4092=1),MIN(E4092,3),"")</f>
      </c>
    </row>
    <row r="4094">
      <c r="A4094" s="6">
        <v>1056</v>
      </c>
      <c r="B4094" s="6" t="str">
        <f>'Lineal Mixto'!$C$1060</f>
      </c>
      <c r="C4094" s="6" t="str">
        <f>IF(AND(B4094&gt;=$B$3034,B4094&lt;=$B$3035),1,0)</f>
      </c>
      <c r="D4094" s="6" t="str">
        <f>IF(OR(D4093=1,C4094=1),1,0)</f>
      </c>
      <c r="E4094" s="6" t="str">
        <f>IF(C4094=1,0,IF(D4093=1,E4093+1,0))</f>
      </c>
      <c r="F4094" s="6" t="str">
        <f>IF(AND(C4094=1,D4093=1),MIN(E4093,3),"")</f>
      </c>
    </row>
    <row r="4095">
      <c r="A4095" s="5">
        <v>1057</v>
      </c>
      <c r="B4095" s="5" t="str">
        <f>'Lineal Mixto'!$C$1061</f>
      </c>
      <c r="C4095" s="5" t="str">
        <f>IF(AND(B4095&gt;=$B$3034,B4095&lt;=$B$3035),1,0)</f>
      </c>
      <c r="D4095" s="5" t="str">
        <f>IF(OR(D4094=1,C4095=1),1,0)</f>
      </c>
      <c r="E4095" s="5" t="str">
        <f>IF(C4095=1,0,IF(D4094=1,E4094+1,0))</f>
      </c>
      <c r="F4095" s="5" t="str">
        <f>IF(AND(C4095=1,D4094=1),MIN(E4094,3),"")</f>
      </c>
    </row>
    <row r="4096">
      <c r="A4096" s="6">
        <v>1058</v>
      </c>
      <c r="B4096" s="6" t="str">
        <f>'Lineal Mixto'!$C$1062</f>
      </c>
      <c r="C4096" s="6" t="str">
        <f>IF(AND(B4096&gt;=$B$3034,B4096&lt;=$B$3035),1,0)</f>
      </c>
      <c r="D4096" s="6" t="str">
        <f>IF(OR(D4095=1,C4096=1),1,0)</f>
      </c>
      <c r="E4096" s="6" t="str">
        <f>IF(C4096=1,0,IF(D4095=1,E4095+1,0))</f>
      </c>
      <c r="F4096" s="6" t="str">
        <f>IF(AND(C4096=1,D4095=1),MIN(E4095,3),"")</f>
      </c>
    </row>
    <row r="4097">
      <c r="A4097" s="5">
        <v>1059</v>
      </c>
      <c r="B4097" s="5" t="str">
        <f>'Lineal Mixto'!$C$1063</f>
      </c>
      <c r="C4097" s="5" t="str">
        <f>IF(AND(B4097&gt;=$B$3034,B4097&lt;=$B$3035),1,0)</f>
      </c>
      <c r="D4097" s="5" t="str">
        <f>IF(OR(D4096=1,C4097=1),1,0)</f>
      </c>
      <c r="E4097" s="5" t="str">
        <f>IF(C4097=1,0,IF(D4096=1,E4096+1,0))</f>
      </c>
      <c r="F4097" s="5" t="str">
        <f>IF(AND(C4097=1,D4096=1),MIN(E4096,3),"")</f>
      </c>
    </row>
    <row r="4098">
      <c r="A4098" s="6">
        <v>1060</v>
      </c>
      <c r="B4098" s="6" t="str">
        <f>'Lineal Mixto'!$C$1064</f>
      </c>
      <c r="C4098" s="6" t="str">
        <f>IF(AND(B4098&gt;=$B$3034,B4098&lt;=$B$3035),1,0)</f>
      </c>
      <c r="D4098" s="6" t="str">
        <f>IF(OR(D4097=1,C4098=1),1,0)</f>
      </c>
      <c r="E4098" s="6" t="str">
        <f>IF(C4098=1,0,IF(D4097=1,E4097+1,0))</f>
      </c>
      <c r="F4098" s="6" t="str">
        <f>IF(AND(C4098=1,D4097=1),MIN(E4097,3),"")</f>
      </c>
    </row>
    <row r="4099">
      <c r="A4099" s="5">
        <v>1061</v>
      </c>
      <c r="B4099" s="5" t="str">
        <f>'Lineal Mixto'!$C$1065</f>
      </c>
      <c r="C4099" s="5" t="str">
        <f>IF(AND(B4099&gt;=$B$3034,B4099&lt;=$B$3035),1,0)</f>
      </c>
      <c r="D4099" s="5" t="str">
        <f>IF(OR(D4098=1,C4099=1),1,0)</f>
      </c>
      <c r="E4099" s="5" t="str">
        <f>IF(C4099=1,0,IF(D4098=1,E4098+1,0))</f>
      </c>
      <c r="F4099" s="5" t="str">
        <f>IF(AND(C4099=1,D4098=1),MIN(E4098,3),"")</f>
      </c>
    </row>
    <row r="4100">
      <c r="A4100" s="6">
        <v>1062</v>
      </c>
      <c r="B4100" s="6" t="str">
        <f>'Lineal Mixto'!$C$1066</f>
      </c>
      <c r="C4100" s="6" t="str">
        <f>IF(AND(B4100&gt;=$B$3034,B4100&lt;=$B$3035),1,0)</f>
      </c>
      <c r="D4100" s="6" t="str">
        <f>IF(OR(D4099=1,C4100=1),1,0)</f>
      </c>
      <c r="E4100" s="6" t="str">
        <f>IF(C4100=1,0,IF(D4099=1,E4099+1,0))</f>
      </c>
      <c r="F4100" s="6" t="str">
        <f>IF(AND(C4100=1,D4099=1),MIN(E4099,3),"")</f>
      </c>
    </row>
    <row r="4101">
      <c r="A4101" s="5">
        <v>1063</v>
      </c>
      <c r="B4101" s="5" t="str">
        <f>'Lineal Mixto'!$C$1067</f>
      </c>
      <c r="C4101" s="5" t="str">
        <f>IF(AND(B4101&gt;=$B$3034,B4101&lt;=$B$3035),1,0)</f>
      </c>
      <c r="D4101" s="5" t="str">
        <f>IF(OR(D4100=1,C4101=1),1,0)</f>
      </c>
      <c r="E4101" s="5" t="str">
        <f>IF(C4101=1,0,IF(D4100=1,E4100+1,0))</f>
      </c>
      <c r="F4101" s="5" t="str">
        <f>IF(AND(C4101=1,D4100=1),MIN(E4100,3),"")</f>
      </c>
    </row>
    <row r="4102">
      <c r="A4102" s="6">
        <v>1064</v>
      </c>
      <c r="B4102" s="6" t="str">
        <f>'Lineal Mixto'!$C$1068</f>
      </c>
      <c r="C4102" s="6" t="str">
        <f>IF(AND(B4102&gt;=$B$3034,B4102&lt;=$B$3035),1,0)</f>
      </c>
      <c r="D4102" s="6" t="str">
        <f>IF(OR(D4101=1,C4102=1),1,0)</f>
      </c>
      <c r="E4102" s="6" t="str">
        <f>IF(C4102=1,0,IF(D4101=1,E4101+1,0))</f>
      </c>
      <c r="F4102" s="6" t="str">
        <f>IF(AND(C4102=1,D4101=1),MIN(E4101,3),"")</f>
      </c>
    </row>
    <row r="4103">
      <c r="A4103" s="5">
        <v>1065</v>
      </c>
      <c r="B4103" s="5" t="str">
        <f>'Lineal Mixto'!$C$1069</f>
      </c>
      <c r="C4103" s="5" t="str">
        <f>IF(AND(B4103&gt;=$B$3034,B4103&lt;=$B$3035),1,0)</f>
      </c>
      <c r="D4103" s="5" t="str">
        <f>IF(OR(D4102=1,C4103=1),1,0)</f>
      </c>
      <c r="E4103" s="5" t="str">
        <f>IF(C4103=1,0,IF(D4102=1,E4102+1,0))</f>
      </c>
      <c r="F4103" s="5" t="str">
        <f>IF(AND(C4103=1,D4102=1),MIN(E4102,3),"")</f>
      </c>
    </row>
    <row r="4104">
      <c r="A4104" s="6">
        <v>1066</v>
      </c>
      <c r="B4104" s="6" t="str">
        <f>'Lineal Mixto'!$C$1070</f>
      </c>
      <c r="C4104" s="6" t="str">
        <f>IF(AND(B4104&gt;=$B$3034,B4104&lt;=$B$3035),1,0)</f>
      </c>
      <c r="D4104" s="6" t="str">
        <f>IF(OR(D4103=1,C4104=1),1,0)</f>
      </c>
      <c r="E4104" s="6" t="str">
        <f>IF(C4104=1,0,IF(D4103=1,E4103+1,0))</f>
      </c>
      <c r="F4104" s="6" t="str">
        <f>IF(AND(C4104=1,D4103=1),MIN(E4103,3),"")</f>
      </c>
    </row>
    <row r="4105">
      <c r="A4105" s="5">
        <v>1067</v>
      </c>
      <c r="B4105" s="5" t="str">
        <f>'Lineal Mixto'!$C$1071</f>
      </c>
      <c r="C4105" s="5" t="str">
        <f>IF(AND(B4105&gt;=$B$3034,B4105&lt;=$B$3035),1,0)</f>
      </c>
      <c r="D4105" s="5" t="str">
        <f>IF(OR(D4104=1,C4105=1),1,0)</f>
      </c>
      <c r="E4105" s="5" t="str">
        <f>IF(C4105=1,0,IF(D4104=1,E4104+1,0))</f>
      </c>
      <c r="F4105" s="5" t="str">
        <f>IF(AND(C4105=1,D4104=1),MIN(E4104,3),"")</f>
      </c>
    </row>
    <row r="4106">
      <c r="A4106" s="6">
        <v>1068</v>
      </c>
      <c r="B4106" s="6" t="str">
        <f>'Lineal Mixto'!$C$1072</f>
      </c>
      <c r="C4106" s="6" t="str">
        <f>IF(AND(B4106&gt;=$B$3034,B4106&lt;=$B$3035),1,0)</f>
      </c>
      <c r="D4106" s="6" t="str">
        <f>IF(OR(D4105=1,C4106=1),1,0)</f>
      </c>
      <c r="E4106" s="6" t="str">
        <f>IF(C4106=1,0,IF(D4105=1,E4105+1,0))</f>
      </c>
      <c r="F4106" s="6" t="str">
        <f>IF(AND(C4106=1,D4105=1),MIN(E4105,3),"")</f>
      </c>
    </row>
    <row r="4107">
      <c r="A4107" s="5">
        <v>1069</v>
      </c>
      <c r="B4107" s="5" t="str">
        <f>'Lineal Mixto'!$C$1073</f>
      </c>
      <c r="C4107" s="5" t="str">
        <f>IF(AND(B4107&gt;=$B$3034,B4107&lt;=$B$3035),1,0)</f>
      </c>
      <c r="D4107" s="5" t="str">
        <f>IF(OR(D4106=1,C4107=1),1,0)</f>
      </c>
      <c r="E4107" s="5" t="str">
        <f>IF(C4107=1,0,IF(D4106=1,E4106+1,0))</f>
      </c>
      <c r="F4107" s="5" t="str">
        <f>IF(AND(C4107=1,D4106=1),MIN(E4106,3),"")</f>
      </c>
    </row>
    <row r="4108">
      <c r="A4108" s="6">
        <v>1070</v>
      </c>
      <c r="B4108" s="6" t="str">
        <f>'Lineal Mixto'!$C$1074</f>
      </c>
      <c r="C4108" s="6" t="str">
        <f>IF(AND(B4108&gt;=$B$3034,B4108&lt;=$B$3035),1,0)</f>
      </c>
      <c r="D4108" s="6" t="str">
        <f>IF(OR(D4107=1,C4108=1),1,0)</f>
      </c>
      <c r="E4108" s="6" t="str">
        <f>IF(C4108=1,0,IF(D4107=1,E4107+1,0))</f>
      </c>
      <c r="F4108" s="6" t="str">
        <f>IF(AND(C4108=1,D4107=1),MIN(E4107,3),"")</f>
      </c>
    </row>
    <row r="4109">
      <c r="A4109" s="5">
        <v>1071</v>
      </c>
      <c r="B4109" s="5" t="str">
        <f>'Lineal Mixto'!$C$1075</f>
      </c>
      <c r="C4109" s="5" t="str">
        <f>IF(AND(B4109&gt;=$B$3034,B4109&lt;=$B$3035),1,0)</f>
      </c>
      <c r="D4109" s="5" t="str">
        <f>IF(OR(D4108=1,C4109=1),1,0)</f>
      </c>
      <c r="E4109" s="5" t="str">
        <f>IF(C4109=1,0,IF(D4108=1,E4108+1,0))</f>
      </c>
      <c r="F4109" s="5" t="str">
        <f>IF(AND(C4109=1,D4108=1),MIN(E4108,3),"")</f>
      </c>
    </row>
    <row r="4110">
      <c r="A4110" s="6">
        <v>1072</v>
      </c>
      <c r="B4110" s="6" t="str">
        <f>'Lineal Mixto'!$C$1076</f>
      </c>
      <c r="C4110" s="6" t="str">
        <f>IF(AND(B4110&gt;=$B$3034,B4110&lt;=$B$3035),1,0)</f>
      </c>
      <c r="D4110" s="6" t="str">
        <f>IF(OR(D4109=1,C4110=1),1,0)</f>
      </c>
      <c r="E4110" s="6" t="str">
        <f>IF(C4110=1,0,IF(D4109=1,E4109+1,0))</f>
      </c>
      <c r="F4110" s="6" t="str">
        <f>IF(AND(C4110=1,D4109=1),MIN(E4109,3),"")</f>
      </c>
    </row>
    <row r="4111">
      <c r="A4111" s="5">
        <v>1073</v>
      </c>
      <c r="B4111" s="5" t="str">
        <f>'Lineal Mixto'!$C$1077</f>
      </c>
      <c r="C4111" s="5" t="str">
        <f>IF(AND(B4111&gt;=$B$3034,B4111&lt;=$B$3035),1,0)</f>
      </c>
      <c r="D4111" s="5" t="str">
        <f>IF(OR(D4110=1,C4111=1),1,0)</f>
      </c>
      <c r="E4111" s="5" t="str">
        <f>IF(C4111=1,0,IF(D4110=1,E4110+1,0))</f>
      </c>
      <c r="F4111" s="5" t="str">
        <f>IF(AND(C4111=1,D4110=1),MIN(E4110,3),"")</f>
      </c>
    </row>
    <row r="4112">
      <c r="A4112" s="6">
        <v>1074</v>
      </c>
      <c r="B4112" s="6" t="str">
        <f>'Lineal Mixto'!$C$1078</f>
      </c>
      <c r="C4112" s="6" t="str">
        <f>IF(AND(B4112&gt;=$B$3034,B4112&lt;=$B$3035),1,0)</f>
      </c>
      <c r="D4112" s="6" t="str">
        <f>IF(OR(D4111=1,C4112=1),1,0)</f>
      </c>
      <c r="E4112" s="6" t="str">
        <f>IF(C4112=1,0,IF(D4111=1,E4111+1,0))</f>
      </c>
      <c r="F4112" s="6" t="str">
        <f>IF(AND(C4112=1,D4111=1),MIN(E4111,3),"")</f>
      </c>
    </row>
    <row r="4113">
      <c r="A4113" s="5">
        <v>1075</v>
      </c>
      <c r="B4113" s="5" t="str">
        <f>'Lineal Mixto'!$C$1079</f>
      </c>
      <c r="C4113" s="5" t="str">
        <f>IF(AND(B4113&gt;=$B$3034,B4113&lt;=$B$3035),1,0)</f>
      </c>
      <c r="D4113" s="5" t="str">
        <f>IF(OR(D4112=1,C4113=1),1,0)</f>
      </c>
      <c r="E4113" s="5" t="str">
        <f>IF(C4113=1,0,IF(D4112=1,E4112+1,0))</f>
      </c>
      <c r="F4113" s="5" t="str">
        <f>IF(AND(C4113=1,D4112=1),MIN(E4112,3),"")</f>
      </c>
    </row>
    <row r="4114">
      <c r="A4114" s="6">
        <v>1076</v>
      </c>
      <c r="B4114" s="6" t="str">
        <f>'Lineal Mixto'!$C$1080</f>
      </c>
      <c r="C4114" s="6" t="str">
        <f>IF(AND(B4114&gt;=$B$3034,B4114&lt;=$B$3035),1,0)</f>
      </c>
      <c r="D4114" s="6" t="str">
        <f>IF(OR(D4113=1,C4114=1),1,0)</f>
      </c>
      <c r="E4114" s="6" t="str">
        <f>IF(C4114=1,0,IF(D4113=1,E4113+1,0))</f>
      </c>
      <c r="F4114" s="6" t="str">
        <f>IF(AND(C4114=1,D4113=1),MIN(E4113,3),"")</f>
      </c>
    </row>
    <row r="4115">
      <c r="A4115" s="5">
        <v>1077</v>
      </c>
      <c r="B4115" s="5" t="str">
        <f>'Lineal Mixto'!$C$1081</f>
      </c>
      <c r="C4115" s="5" t="str">
        <f>IF(AND(B4115&gt;=$B$3034,B4115&lt;=$B$3035),1,0)</f>
      </c>
      <c r="D4115" s="5" t="str">
        <f>IF(OR(D4114=1,C4115=1),1,0)</f>
      </c>
      <c r="E4115" s="5" t="str">
        <f>IF(C4115=1,0,IF(D4114=1,E4114+1,0))</f>
      </c>
      <c r="F4115" s="5" t="str">
        <f>IF(AND(C4115=1,D4114=1),MIN(E4114,3),"")</f>
      </c>
    </row>
    <row r="4116">
      <c r="A4116" s="6">
        <v>1078</v>
      </c>
      <c r="B4116" s="6" t="str">
        <f>'Lineal Mixto'!$C$1082</f>
      </c>
      <c r="C4116" s="6" t="str">
        <f>IF(AND(B4116&gt;=$B$3034,B4116&lt;=$B$3035),1,0)</f>
      </c>
      <c r="D4116" s="6" t="str">
        <f>IF(OR(D4115=1,C4116=1),1,0)</f>
      </c>
      <c r="E4116" s="6" t="str">
        <f>IF(C4116=1,0,IF(D4115=1,E4115+1,0))</f>
      </c>
      <c r="F4116" s="6" t="str">
        <f>IF(AND(C4116=1,D4115=1),MIN(E4115,3),"")</f>
      </c>
    </row>
    <row r="4117">
      <c r="A4117" s="5">
        <v>1079</v>
      </c>
      <c r="B4117" s="5" t="str">
        <f>'Lineal Mixto'!$C$1083</f>
      </c>
      <c r="C4117" s="5" t="str">
        <f>IF(AND(B4117&gt;=$B$3034,B4117&lt;=$B$3035),1,0)</f>
      </c>
      <c r="D4117" s="5" t="str">
        <f>IF(OR(D4116=1,C4117=1),1,0)</f>
      </c>
      <c r="E4117" s="5" t="str">
        <f>IF(C4117=1,0,IF(D4116=1,E4116+1,0))</f>
      </c>
      <c r="F4117" s="5" t="str">
        <f>IF(AND(C4117=1,D4116=1),MIN(E4116,3),"")</f>
      </c>
    </row>
    <row r="4118">
      <c r="A4118" s="6">
        <v>1080</v>
      </c>
      <c r="B4118" s="6" t="str">
        <f>'Lineal Mixto'!$C$1084</f>
      </c>
      <c r="C4118" s="6" t="str">
        <f>IF(AND(B4118&gt;=$B$3034,B4118&lt;=$B$3035),1,0)</f>
      </c>
      <c r="D4118" s="6" t="str">
        <f>IF(OR(D4117=1,C4118=1),1,0)</f>
      </c>
      <c r="E4118" s="6" t="str">
        <f>IF(C4118=1,0,IF(D4117=1,E4117+1,0))</f>
      </c>
      <c r="F4118" s="6" t="str">
        <f>IF(AND(C4118=1,D4117=1),MIN(E4117,3),"")</f>
      </c>
    </row>
    <row r="4119">
      <c r="A4119" s="5">
        <v>1081</v>
      </c>
      <c r="B4119" s="5" t="str">
        <f>'Lineal Mixto'!$C$1085</f>
      </c>
      <c r="C4119" s="5" t="str">
        <f>IF(AND(B4119&gt;=$B$3034,B4119&lt;=$B$3035),1,0)</f>
      </c>
      <c r="D4119" s="5" t="str">
        <f>IF(OR(D4118=1,C4119=1),1,0)</f>
      </c>
      <c r="E4119" s="5" t="str">
        <f>IF(C4119=1,0,IF(D4118=1,E4118+1,0))</f>
      </c>
      <c r="F4119" s="5" t="str">
        <f>IF(AND(C4119=1,D4118=1),MIN(E4118,3),"")</f>
      </c>
    </row>
    <row r="4120">
      <c r="A4120" s="6">
        <v>1082</v>
      </c>
      <c r="B4120" s="6" t="str">
        <f>'Lineal Mixto'!$C$1086</f>
      </c>
      <c r="C4120" s="6" t="str">
        <f>IF(AND(B4120&gt;=$B$3034,B4120&lt;=$B$3035),1,0)</f>
      </c>
      <c r="D4120" s="6" t="str">
        <f>IF(OR(D4119=1,C4120=1),1,0)</f>
      </c>
      <c r="E4120" s="6" t="str">
        <f>IF(C4120=1,0,IF(D4119=1,E4119+1,0))</f>
      </c>
      <c r="F4120" s="6" t="str">
        <f>IF(AND(C4120=1,D4119=1),MIN(E4119,3),"")</f>
      </c>
    </row>
    <row r="4121">
      <c r="A4121" s="5">
        <v>1083</v>
      </c>
      <c r="B4121" s="5" t="str">
        <f>'Lineal Mixto'!$C$1087</f>
      </c>
      <c r="C4121" s="5" t="str">
        <f>IF(AND(B4121&gt;=$B$3034,B4121&lt;=$B$3035),1,0)</f>
      </c>
      <c r="D4121" s="5" t="str">
        <f>IF(OR(D4120=1,C4121=1),1,0)</f>
      </c>
      <c r="E4121" s="5" t="str">
        <f>IF(C4121=1,0,IF(D4120=1,E4120+1,0))</f>
      </c>
      <c r="F4121" s="5" t="str">
        <f>IF(AND(C4121=1,D4120=1),MIN(E4120,3),"")</f>
      </c>
    </row>
    <row r="4122">
      <c r="A4122" s="6">
        <v>1084</v>
      </c>
      <c r="B4122" s="6" t="str">
        <f>'Lineal Mixto'!$C$1088</f>
      </c>
      <c r="C4122" s="6" t="str">
        <f>IF(AND(B4122&gt;=$B$3034,B4122&lt;=$B$3035),1,0)</f>
      </c>
      <c r="D4122" s="6" t="str">
        <f>IF(OR(D4121=1,C4122=1),1,0)</f>
      </c>
      <c r="E4122" s="6" t="str">
        <f>IF(C4122=1,0,IF(D4121=1,E4121+1,0))</f>
      </c>
      <c r="F4122" s="6" t="str">
        <f>IF(AND(C4122=1,D4121=1),MIN(E4121,3),"")</f>
      </c>
    </row>
    <row r="4123">
      <c r="A4123" s="5">
        <v>1085</v>
      </c>
      <c r="B4123" s="5" t="str">
        <f>'Lineal Mixto'!$C$1089</f>
      </c>
      <c r="C4123" s="5" t="str">
        <f>IF(AND(B4123&gt;=$B$3034,B4123&lt;=$B$3035),1,0)</f>
      </c>
      <c r="D4123" s="5" t="str">
        <f>IF(OR(D4122=1,C4123=1),1,0)</f>
      </c>
      <c r="E4123" s="5" t="str">
        <f>IF(C4123=1,0,IF(D4122=1,E4122+1,0))</f>
      </c>
      <c r="F4123" s="5" t="str">
        <f>IF(AND(C4123=1,D4122=1),MIN(E4122,3),"")</f>
      </c>
    </row>
    <row r="4124">
      <c r="A4124" s="6">
        <v>1086</v>
      </c>
      <c r="B4124" s="6" t="str">
        <f>'Lineal Mixto'!$C$1090</f>
      </c>
      <c r="C4124" s="6" t="str">
        <f>IF(AND(B4124&gt;=$B$3034,B4124&lt;=$B$3035),1,0)</f>
      </c>
      <c r="D4124" s="6" t="str">
        <f>IF(OR(D4123=1,C4124=1),1,0)</f>
      </c>
      <c r="E4124" s="6" t="str">
        <f>IF(C4124=1,0,IF(D4123=1,E4123+1,0))</f>
      </c>
      <c r="F4124" s="6" t="str">
        <f>IF(AND(C4124=1,D4123=1),MIN(E4123,3),"")</f>
      </c>
    </row>
    <row r="4125">
      <c r="A4125" s="5">
        <v>1087</v>
      </c>
      <c r="B4125" s="5" t="str">
        <f>'Lineal Mixto'!$C$1091</f>
      </c>
      <c r="C4125" s="5" t="str">
        <f>IF(AND(B4125&gt;=$B$3034,B4125&lt;=$B$3035),1,0)</f>
      </c>
      <c r="D4125" s="5" t="str">
        <f>IF(OR(D4124=1,C4125=1),1,0)</f>
      </c>
      <c r="E4125" s="5" t="str">
        <f>IF(C4125=1,0,IF(D4124=1,E4124+1,0))</f>
      </c>
      <c r="F4125" s="5" t="str">
        <f>IF(AND(C4125=1,D4124=1),MIN(E4124,3),"")</f>
      </c>
    </row>
    <row r="4126">
      <c r="A4126" s="6">
        <v>1088</v>
      </c>
      <c r="B4126" s="6" t="str">
        <f>'Lineal Mixto'!$C$1092</f>
      </c>
      <c r="C4126" s="6" t="str">
        <f>IF(AND(B4126&gt;=$B$3034,B4126&lt;=$B$3035),1,0)</f>
      </c>
      <c r="D4126" s="6" t="str">
        <f>IF(OR(D4125=1,C4126=1),1,0)</f>
      </c>
      <c r="E4126" s="6" t="str">
        <f>IF(C4126=1,0,IF(D4125=1,E4125+1,0))</f>
      </c>
      <c r="F4126" s="6" t="str">
        <f>IF(AND(C4126=1,D4125=1),MIN(E4125,3),"")</f>
      </c>
    </row>
    <row r="4127">
      <c r="A4127" s="5">
        <v>1089</v>
      </c>
      <c r="B4127" s="5" t="str">
        <f>'Lineal Mixto'!$C$1093</f>
      </c>
      <c r="C4127" s="5" t="str">
        <f>IF(AND(B4127&gt;=$B$3034,B4127&lt;=$B$3035),1,0)</f>
      </c>
      <c r="D4127" s="5" t="str">
        <f>IF(OR(D4126=1,C4127=1),1,0)</f>
      </c>
      <c r="E4127" s="5" t="str">
        <f>IF(C4127=1,0,IF(D4126=1,E4126+1,0))</f>
      </c>
      <c r="F4127" s="5" t="str">
        <f>IF(AND(C4127=1,D4126=1),MIN(E4126,3),"")</f>
      </c>
    </row>
    <row r="4128">
      <c r="A4128" s="6">
        <v>1090</v>
      </c>
      <c r="B4128" s="6" t="str">
        <f>'Lineal Mixto'!$C$1094</f>
      </c>
      <c r="C4128" s="6" t="str">
        <f>IF(AND(B4128&gt;=$B$3034,B4128&lt;=$B$3035),1,0)</f>
      </c>
      <c r="D4128" s="6" t="str">
        <f>IF(OR(D4127=1,C4128=1),1,0)</f>
      </c>
      <c r="E4128" s="6" t="str">
        <f>IF(C4128=1,0,IF(D4127=1,E4127+1,0))</f>
      </c>
      <c r="F4128" s="6" t="str">
        <f>IF(AND(C4128=1,D4127=1),MIN(E4127,3),"")</f>
      </c>
    </row>
    <row r="4129">
      <c r="A4129" s="5">
        <v>1091</v>
      </c>
      <c r="B4129" s="5" t="str">
        <f>'Lineal Mixto'!$C$1095</f>
      </c>
      <c r="C4129" s="5" t="str">
        <f>IF(AND(B4129&gt;=$B$3034,B4129&lt;=$B$3035),1,0)</f>
      </c>
      <c r="D4129" s="5" t="str">
        <f>IF(OR(D4128=1,C4129=1),1,0)</f>
      </c>
      <c r="E4129" s="5" t="str">
        <f>IF(C4129=1,0,IF(D4128=1,E4128+1,0))</f>
      </c>
      <c r="F4129" s="5" t="str">
        <f>IF(AND(C4129=1,D4128=1),MIN(E4128,3),"")</f>
      </c>
    </row>
    <row r="4130">
      <c r="A4130" s="6">
        <v>1092</v>
      </c>
      <c r="B4130" s="6" t="str">
        <f>'Lineal Mixto'!$C$1096</f>
      </c>
      <c r="C4130" s="6" t="str">
        <f>IF(AND(B4130&gt;=$B$3034,B4130&lt;=$B$3035),1,0)</f>
      </c>
      <c r="D4130" s="6" t="str">
        <f>IF(OR(D4129=1,C4130=1),1,0)</f>
      </c>
      <c r="E4130" s="6" t="str">
        <f>IF(C4130=1,0,IF(D4129=1,E4129+1,0))</f>
      </c>
      <c r="F4130" s="6" t="str">
        <f>IF(AND(C4130=1,D4129=1),MIN(E4129,3),"")</f>
      </c>
    </row>
    <row r="4131">
      <c r="A4131" s="5">
        <v>1093</v>
      </c>
      <c r="B4131" s="5" t="str">
        <f>'Lineal Mixto'!$C$1097</f>
      </c>
      <c r="C4131" s="5" t="str">
        <f>IF(AND(B4131&gt;=$B$3034,B4131&lt;=$B$3035),1,0)</f>
      </c>
      <c r="D4131" s="5" t="str">
        <f>IF(OR(D4130=1,C4131=1),1,0)</f>
      </c>
      <c r="E4131" s="5" t="str">
        <f>IF(C4131=1,0,IF(D4130=1,E4130+1,0))</f>
      </c>
      <c r="F4131" s="5" t="str">
        <f>IF(AND(C4131=1,D4130=1),MIN(E4130,3),"")</f>
      </c>
    </row>
    <row r="4132">
      <c r="A4132" s="6">
        <v>1094</v>
      </c>
      <c r="B4132" s="6" t="str">
        <f>'Lineal Mixto'!$C$1098</f>
      </c>
      <c r="C4132" s="6" t="str">
        <f>IF(AND(B4132&gt;=$B$3034,B4132&lt;=$B$3035),1,0)</f>
      </c>
      <c r="D4132" s="6" t="str">
        <f>IF(OR(D4131=1,C4132=1),1,0)</f>
      </c>
      <c r="E4132" s="6" t="str">
        <f>IF(C4132=1,0,IF(D4131=1,E4131+1,0))</f>
      </c>
      <c r="F4132" s="6" t="str">
        <f>IF(AND(C4132=1,D4131=1),MIN(E4131,3),"")</f>
      </c>
    </row>
    <row r="4133">
      <c r="A4133" s="5">
        <v>1095</v>
      </c>
      <c r="B4133" s="5" t="str">
        <f>'Lineal Mixto'!$C$1099</f>
      </c>
      <c r="C4133" s="5" t="str">
        <f>IF(AND(B4133&gt;=$B$3034,B4133&lt;=$B$3035),1,0)</f>
      </c>
      <c r="D4133" s="5" t="str">
        <f>IF(OR(D4132=1,C4133=1),1,0)</f>
      </c>
      <c r="E4133" s="5" t="str">
        <f>IF(C4133=1,0,IF(D4132=1,E4132+1,0))</f>
      </c>
      <c r="F4133" s="5" t="str">
        <f>IF(AND(C4133=1,D4132=1),MIN(E4132,3),"")</f>
      </c>
    </row>
    <row r="4134">
      <c r="A4134" s="6">
        <v>1096</v>
      </c>
      <c r="B4134" s="6" t="str">
        <f>'Lineal Mixto'!$C$1100</f>
      </c>
      <c r="C4134" s="6" t="str">
        <f>IF(AND(B4134&gt;=$B$3034,B4134&lt;=$B$3035),1,0)</f>
      </c>
      <c r="D4134" s="6" t="str">
        <f>IF(OR(D4133=1,C4134=1),1,0)</f>
      </c>
      <c r="E4134" s="6" t="str">
        <f>IF(C4134=1,0,IF(D4133=1,E4133+1,0))</f>
      </c>
      <c r="F4134" s="6" t="str">
        <f>IF(AND(C4134=1,D4133=1),MIN(E4133,3),"")</f>
      </c>
    </row>
    <row r="4135">
      <c r="A4135" s="5">
        <v>1097</v>
      </c>
      <c r="B4135" s="5" t="str">
        <f>'Lineal Mixto'!$C$1101</f>
      </c>
      <c r="C4135" s="5" t="str">
        <f>IF(AND(B4135&gt;=$B$3034,B4135&lt;=$B$3035),1,0)</f>
      </c>
      <c r="D4135" s="5" t="str">
        <f>IF(OR(D4134=1,C4135=1),1,0)</f>
      </c>
      <c r="E4135" s="5" t="str">
        <f>IF(C4135=1,0,IF(D4134=1,E4134+1,0))</f>
      </c>
      <c r="F4135" s="5" t="str">
        <f>IF(AND(C4135=1,D4134=1),MIN(E4134,3),"")</f>
      </c>
    </row>
    <row r="4136">
      <c r="A4136" s="6">
        <v>1098</v>
      </c>
      <c r="B4136" s="6" t="str">
        <f>'Lineal Mixto'!$C$1102</f>
      </c>
      <c r="C4136" s="6" t="str">
        <f>IF(AND(B4136&gt;=$B$3034,B4136&lt;=$B$3035),1,0)</f>
      </c>
      <c r="D4136" s="6" t="str">
        <f>IF(OR(D4135=1,C4136=1),1,0)</f>
      </c>
      <c r="E4136" s="6" t="str">
        <f>IF(C4136=1,0,IF(D4135=1,E4135+1,0))</f>
      </c>
      <c r="F4136" s="6" t="str">
        <f>IF(AND(C4136=1,D4135=1),MIN(E4135,3),"")</f>
      </c>
    </row>
    <row r="4137">
      <c r="A4137" s="5">
        <v>1099</v>
      </c>
      <c r="B4137" s="5" t="str">
        <f>'Lineal Mixto'!$C$1103</f>
      </c>
      <c r="C4137" s="5" t="str">
        <f>IF(AND(B4137&gt;=$B$3034,B4137&lt;=$B$3035),1,0)</f>
      </c>
      <c r="D4137" s="5" t="str">
        <f>IF(OR(D4136=1,C4137=1),1,0)</f>
      </c>
      <c r="E4137" s="5" t="str">
        <f>IF(C4137=1,0,IF(D4136=1,E4136+1,0))</f>
      </c>
      <c r="F4137" s="5" t="str">
        <f>IF(AND(C4137=1,D4136=1),MIN(E4136,3),"")</f>
      </c>
    </row>
    <row r="4138">
      <c r="A4138" s="6">
        <v>1100</v>
      </c>
      <c r="B4138" s="6" t="str">
        <f>'Lineal Mixto'!$C$1104</f>
      </c>
      <c r="C4138" s="6" t="str">
        <f>IF(AND(B4138&gt;=$B$3034,B4138&lt;=$B$3035),1,0)</f>
      </c>
      <c r="D4138" s="6" t="str">
        <f>IF(OR(D4137=1,C4138=1),1,0)</f>
      </c>
      <c r="E4138" s="6" t="str">
        <f>IF(C4138=1,0,IF(D4137=1,E4137+1,0))</f>
      </c>
      <c r="F4138" s="6" t="str">
        <f>IF(AND(C4138=1,D4137=1),MIN(E4137,3),"")</f>
      </c>
    </row>
    <row r="4139">
      <c r="A4139" s="5">
        <v>1101</v>
      </c>
      <c r="B4139" s="5" t="str">
        <f>'Lineal Mixto'!$C$1105</f>
      </c>
      <c r="C4139" s="5" t="str">
        <f>IF(AND(B4139&gt;=$B$3034,B4139&lt;=$B$3035),1,0)</f>
      </c>
      <c r="D4139" s="5" t="str">
        <f>IF(OR(D4138=1,C4139=1),1,0)</f>
      </c>
      <c r="E4139" s="5" t="str">
        <f>IF(C4139=1,0,IF(D4138=1,E4138+1,0))</f>
      </c>
      <c r="F4139" s="5" t="str">
        <f>IF(AND(C4139=1,D4138=1),MIN(E4138,3),"")</f>
      </c>
    </row>
    <row r="4140">
      <c r="A4140" s="6">
        <v>1102</v>
      </c>
      <c r="B4140" s="6" t="str">
        <f>'Lineal Mixto'!$C$1106</f>
      </c>
      <c r="C4140" s="6" t="str">
        <f>IF(AND(B4140&gt;=$B$3034,B4140&lt;=$B$3035),1,0)</f>
      </c>
      <c r="D4140" s="6" t="str">
        <f>IF(OR(D4139=1,C4140=1),1,0)</f>
      </c>
      <c r="E4140" s="6" t="str">
        <f>IF(C4140=1,0,IF(D4139=1,E4139+1,0))</f>
      </c>
      <c r="F4140" s="6" t="str">
        <f>IF(AND(C4140=1,D4139=1),MIN(E4139,3),"")</f>
      </c>
    </row>
    <row r="4141">
      <c r="A4141" s="5">
        <v>1103</v>
      </c>
      <c r="B4141" s="5" t="str">
        <f>'Lineal Mixto'!$C$1107</f>
      </c>
      <c r="C4141" s="5" t="str">
        <f>IF(AND(B4141&gt;=$B$3034,B4141&lt;=$B$3035),1,0)</f>
      </c>
      <c r="D4141" s="5" t="str">
        <f>IF(OR(D4140=1,C4141=1),1,0)</f>
      </c>
      <c r="E4141" s="5" t="str">
        <f>IF(C4141=1,0,IF(D4140=1,E4140+1,0))</f>
      </c>
      <c r="F4141" s="5" t="str">
        <f>IF(AND(C4141=1,D4140=1),MIN(E4140,3),"")</f>
      </c>
    </row>
    <row r="4142">
      <c r="A4142" s="6">
        <v>1104</v>
      </c>
      <c r="B4142" s="6" t="str">
        <f>'Lineal Mixto'!$C$1108</f>
      </c>
      <c r="C4142" s="6" t="str">
        <f>IF(AND(B4142&gt;=$B$3034,B4142&lt;=$B$3035),1,0)</f>
      </c>
      <c r="D4142" s="6" t="str">
        <f>IF(OR(D4141=1,C4142=1),1,0)</f>
      </c>
      <c r="E4142" s="6" t="str">
        <f>IF(C4142=1,0,IF(D4141=1,E4141+1,0))</f>
      </c>
      <c r="F4142" s="6" t="str">
        <f>IF(AND(C4142=1,D4141=1),MIN(E4141,3),"")</f>
      </c>
    </row>
    <row r="4143">
      <c r="A4143" s="5">
        <v>1105</v>
      </c>
      <c r="B4143" s="5" t="str">
        <f>'Lineal Mixto'!$C$1109</f>
      </c>
      <c r="C4143" s="5" t="str">
        <f>IF(AND(B4143&gt;=$B$3034,B4143&lt;=$B$3035),1,0)</f>
      </c>
      <c r="D4143" s="5" t="str">
        <f>IF(OR(D4142=1,C4143=1),1,0)</f>
      </c>
      <c r="E4143" s="5" t="str">
        <f>IF(C4143=1,0,IF(D4142=1,E4142+1,0))</f>
      </c>
      <c r="F4143" s="5" t="str">
        <f>IF(AND(C4143=1,D4142=1),MIN(E4142,3),"")</f>
      </c>
    </row>
    <row r="4144">
      <c r="A4144" s="6">
        <v>1106</v>
      </c>
      <c r="B4144" s="6" t="str">
        <f>'Lineal Mixto'!$C$1110</f>
      </c>
      <c r="C4144" s="6" t="str">
        <f>IF(AND(B4144&gt;=$B$3034,B4144&lt;=$B$3035),1,0)</f>
      </c>
      <c r="D4144" s="6" t="str">
        <f>IF(OR(D4143=1,C4144=1),1,0)</f>
      </c>
      <c r="E4144" s="6" t="str">
        <f>IF(C4144=1,0,IF(D4143=1,E4143+1,0))</f>
      </c>
      <c r="F4144" s="6" t="str">
        <f>IF(AND(C4144=1,D4143=1),MIN(E4143,3),"")</f>
      </c>
    </row>
    <row r="4145">
      <c r="A4145" s="5">
        <v>1107</v>
      </c>
      <c r="B4145" s="5" t="str">
        <f>'Lineal Mixto'!$C$1111</f>
      </c>
      <c r="C4145" s="5" t="str">
        <f>IF(AND(B4145&gt;=$B$3034,B4145&lt;=$B$3035),1,0)</f>
      </c>
      <c r="D4145" s="5" t="str">
        <f>IF(OR(D4144=1,C4145=1),1,0)</f>
      </c>
      <c r="E4145" s="5" t="str">
        <f>IF(C4145=1,0,IF(D4144=1,E4144+1,0))</f>
      </c>
      <c r="F4145" s="5" t="str">
        <f>IF(AND(C4145=1,D4144=1),MIN(E4144,3),"")</f>
      </c>
    </row>
    <row r="4146">
      <c r="A4146" s="6">
        <v>1108</v>
      </c>
      <c r="B4146" s="6" t="str">
        <f>'Lineal Mixto'!$C$1112</f>
      </c>
      <c r="C4146" s="6" t="str">
        <f>IF(AND(B4146&gt;=$B$3034,B4146&lt;=$B$3035),1,0)</f>
      </c>
      <c r="D4146" s="6" t="str">
        <f>IF(OR(D4145=1,C4146=1),1,0)</f>
      </c>
      <c r="E4146" s="6" t="str">
        <f>IF(C4146=1,0,IF(D4145=1,E4145+1,0))</f>
      </c>
      <c r="F4146" s="6" t="str">
        <f>IF(AND(C4146=1,D4145=1),MIN(E4145,3),"")</f>
      </c>
    </row>
    <row r="4147">
      <c r="A4147" s="5">
        <v>1109</v>
      </c>
      <c r="B4147" s="5" t="str">
        <f>'Lineal Mixto'!$C$1113</f>
      </c>
      <c r="C4147" s="5" t="str">
        <f>IF(AND(B4147&gt;=$B$3034,B4147&lt;=$B$3035),1,0)</f>
      </c>
      <c r="D4147" s="5" t="str">
        <f>IF(OR(D4146=1,C4147=1),1,0)</f>
      </c>
      <c r="E4147" s="5" t="str">
        <f>IF(C4147=1,0,IF(D4146=1,E4146+1,0))</f>
      </c>
      <c r="F4147" s="5" t="str">
        <f>IF(AND(C4147=1,D4146=1),MIN(E4146,3),"")</f>
      </c>
    </row>
    <row r="4148">
      <c r="A4148" s="6">
        <v>1110</v>
      </c>
      <c r="B4148" s="6" t="str">
        <f>'Lineal Mixto'!$C$1114</f>
      </c>
      <c r="C4148" s="6" t="str">
        <f>IF(AND(B4148&gt;=$B$3034,B4148&lt;=$B$3035),1,0)</f>
      </c>
      <c r="D4148" s="6" t="str">
        <f>IF(OR(D4147=1,C4148=1),1,0)</f>
      </c>
      <c r="E4148" s="6" t="str">
        <f>IF(C4148=1,0,IF(D4147=1,E4147+1,0))</f>
      </c>
      <c r="F4148" s="6" t="str">
        <f>IF(AND(C4148=1,D4147=1),MIN(E4147,3),"")</f>
      </c>
    </row>
    <row r="4149">
      <c r="A4149" s="5">
        <v>1111</v>
      </c>
      <c r="B4149" s="5" t="str">
        <f>'Lineal Mixto'!$C$1115</f>
      </c>
      <c r="C4149" s="5" t="str">
        <f>IF(AND(B4149&gt;=$B$3034,B4149&lt;=$B$3035),1,0)</f>
      </c>
      <c r="D4149" s="5" t="str">
        <f>IF(OR(D4148=1,C4149=1),1,0)</f>
      </c>
      <c r="E4149" s="5" t="str">
        <f>IF(C4149=1,0,IF(D4148=1,E4148+1,0))</f>
      </c>
      <c r="F4149" s="5" t="str">
        <f>IF(AND(C4149=1,D4148=1),MIN(E4148,3),"")</f>
      </c>
    </row>
    <row r="4150">
      <c r="A4150" s="6">
        <v>1112</v>
      </c>
      <c r="B4150" s="6" t="str">
        <f>'Lineal Mixto'!$C$1116</f>
      </c>
      <c r="C4150" s="6" t="str">
        <f>IF(AND(B4150&gt;=$B$3034,B4150&lt;=$B$3035),1,0)</f>
      </c>
      <c r="D4150" s="6" t="str">
        <f>IF(OR(D4149=1,C4150=1),1,0)</f>
      </c>
      <c r="E4150" s="6" t="str">
        <f>IF(C4150=1,0,IF(D4149=1,E4149+1,0))</f>
      </c>
      <c r="F4150" s="6" t="str">
        <f>IF(AND(C4150=1,D4149=1),MIN(E4149,3),"")</f>
      </c>
    </row>
    <row r="4151">
      <c r="A4151" s="5">
        <v>1113</v>
      </c>
      <c r="B4151" s="5" t="str">
        <f>'Lineal Mixto'!$C$1117</f>
      </c>
      <c r="C4151" s="5" t="str">
        <f>IF(AND(B4151&gt;=$B$3034,B4151&lt;=$B$3035),1,0)</f>
      </c>
      <c r="D4151" s="5" t="str">
        <f>IF(OR(D4150=1,C4151=1),1,0)</f>
      </c>
      <c r="E4151" s="5" t="str">
        <f>IF(C4151=1,0,IF(D4150=1,E4150+1,0))</f>
      </c>
      <c r="F4151" s="5" t="str">
        <f>IF(AND(C4151=1,D4150=1),MIN(E4150,3),"")</f>
      </c>
    </row>
    <row r="4152">
      <c r="A4152" s="6">
        <v>1114</v>
      </c>
      <c r="B4152" s="6" t="str">
        <f>'Lineal Mixto'!$C$1118</f>
      </c>
      <c r="C4152" s="6" t="str">
        <f>IF(AND(B4152&gt;=$B$3034,B4152&lt;=$B$3035),1,0)</f>
      </c>
      <c r="D4152" s="6" t="str">
        <f>IF(OR(D4151=1,C4152=1),1,0)</f>
      </c>
      <c r="E4152" s="6" t="str">
        <f>IF(C4152=1,0,IF(D4151=1,E4151+1,0))</f>
      </c>
      <c r="F4152" s="6" t="str">
        <f>IF(AND(C4152=1,D4151=1),MIN(E4151,3),"")</f>
      </c>
    </row>
    <row r="4153">
      <c r="A4153" s="5">
        <v>1115</v>
      </c>
      <c r="B4153" s="5" t="str">
        <f>'Lineal Mixto'!$C$1119</f>
      </c>
      <c r="C4153" s="5" t="str">
        <f>IF(AND(B4153&gt;=$B$3034,B4153&lt;=$B$3035),1,0)</f>
      </c>
      <c r="D4153" s="5" t="str">
        <f>IF(OR(D4152=1,C4153=1),1,0)</f>
      </c>
      <c r="E4153" s="5" t="str">
        <f>IF(C4153=1,0,IF(D4152=1,E4152+1,0))</f>
      </c>
      <c r="F4153" s="5" t="str">
        <f>IF(AND(C4153=1,D4152=1),MIN(E4152,3),"")</f>
      </c>
    </row>
    <row r="4154">
      <c r="A4154" s="6">
        <v>1116</v>
      </c>
      <c r="B4154" s="6" t="str">
        <f>'Lineal Mixto'!$C$1120</f>
      </c>
      <c r="C4154" s="6" t="str">
        <f>IF(AND(B4154&gt;=$B$3034,B4154&lt;=$B$3035),1,0)</f>
      </c>
      <c r="D4154" s="6" t="str">
        <f>IF(OR(D4153=1,C4154=1),1,0)</f>
      </c>
      <c r="E4154" s="6" t="str">
        <f>IF(C4154=1,0,IF(D4153=1,E4153+1,0))</f>
      </c>
      <c r="F4154" s="6" t="str">
        <f>IF(AND(C4154=1,D4153=1),MIN(E4153,3),"")</f>
      </c>
    </row>
    <row r="4155">
      <c r="A4155" s="5">
        <v>1117</v>
      </c>
      <c r="B4155" s="5" t="str">
        <f>'Lineal Mixto'!$C$1121</f>
      </c>
      <c r="C4155" s="5" t="str">
        <f>IF(AND(B4155&gt;=$B$3034,B4155&lt;=$B$3035),1,0)</f>
      </c>
      <c r="D4155" s="5" t="str">
        <f>IF(OR(D4154=1,C4155=1),1,0)</f>
      </c>
      <c r="E4155" s="5" t="str">
        <f>IF(C4155=1,0,IF(D4154=1,E4154+1,0))</f>
      </c>
      <c r="F4155" s="5" t="str">
        <f>IF(AND(C4155=1,D4154=1),MIN(E4154,3),"")</f>
      </c>
    </row>
    <row r="4156">
      <c r="A4156" s="6">
        <v>1118</v>
      </c>
      <c r="B4156" s="6" t="str">
        <f>'Lineal Mixto'!$C$1122</f>
      </c>
      <c r="C4156" s="6" t="str">
        <f>IF(AND(B4156&gt;=$B$3034,B4156&lt;=$B$3035),1,0)</f>
      </c>
      <c r="D4156" s="6" t="str">
        <f>IF(OR(D4155=1,C4156=1),1,0)</f>
      </c>
      <c r="E4156" s="6" t="str">
        <f>IF(C4156=1,0,IF(D4155=1,E4155+1,0))</f>
      </c>
      <c r="F4156" s="6" t="str">
        <f>IF(AND(C4156=1,D4155=1),MIN(E4155,3),"")</f>
      </c>
    </row>
    <row r="4157">
      <c r="A4157" s="5">
        <v>1119</v>
      </c>
      <c r="B4157" s="5" t="str">
        <f>'Lineal Mixto'!$C$1123</f>
      </c>
      <c r="C4157" s="5" t="str">
        <f>IF(AND(B4157&gt;=$B$3034,B4157&lt;=$B$3035),1,0)</f>
      </c>
      <c r="D4157" s="5" t="str">
        <f>IF(OR(D4156=1,C4157=1),1,0)</f>
      </c>
      <c r="E4157" s="5" t="str">
        <f>IF(C4157=1,0,IF(D4156=1,E4156+1,0))</f>
      </c>
      <c r="F4157" s="5" t="str">
        <f>IF(AND(C4157=1,D4156=1),MIN(E4156,3),"")</f>
      </c>
    </row>
    <row r="4158">
      <c r="A4158" s="6">
        <v>1120</v>
      </c>
      <c r="B4158" s="6" t="str">
        <f>'Lineal Mixto'!$C$1124</f>
      </c>
      <c r="C4158" s="6" t="str">
        <f>IF(AND(B4158&gt;=$B$3034,B4158&lt;=$B$3035),1,0)</f>
      </c>
      <c r="D4158" s="6" t="str">
        <f>IF(OR(D4157=1,C4158=1),1,0)</f>
      </c>
      <c r="E4158" s="6" t="str">
        <f>IF(C4158=1,0,IF(D4157=1,E4157+1,0))</f>
      </c>
      <c r="F4158" s="6" t="str">
        <f>IF(AND(C4158=1,D4157=1),MIN(E4157,3),"")</f>
      </c>
    </row>
    <row r="4159">
      <c r="A4159" s="5">
        <v>1121</v>
      </c>
      <c r="B4159" s="5" t="str">
        <f>'Lineal Mixto'!$C$1125</f>
      </c>
      <c r="C4159" s="5" t="str">
        <f>IF(AND(B4159&gt;=$B$3034,B4159&lt;=$B$3035),1,0)</f>
      </c>
      <c r="D4159" s="5" t="str">
        <f>IF(OR(D4158=1,C4159=1),1,0)</f>
      </c>
      <c r="E4159" s="5" t="str">
        <f>IF(C4159=1,0,IF(D4158=1,E4158+1,0))</f>
      </c>
      <c r="F4159" s="5" t="str">
        <f>IF(AND(C4159=1,D4158=1),MIN(E4158,3),"")</f>
      </c>
    </row>
    <row r="4160">
      <c r="A4160" s="6">
        <v>1122</v>
      </c>
      <c r="B4160" s="6" t="str">
        <f>'Lineal Mixto'!$C$1126</f>
      </c>
      <c r="C4160" s="6" t="str">
        <f>IF(AND(B4160&gt;=$B$3034,B4160&lt;=$B$3035),1,0)</f>
      </c>
      <c r="D4160" s="6" t="str">
        <f>IF(OR(D4159=1,C4160=1),1,0)</f>
      </c>
      <c r="E4160" s="6" t="str">
        <f>IF(C4160=1,0,IF(D4159=1,E4159+1,0))</f>
      </c>
      <c r="F4160" s="6" t="str">
        <f>IF(AND(C4160=1,D4159=1),MIN(E4159,3),"")</f>
      </c>
    </row>
    <row r="4161">
      <c r="A4161" s="5">
        <v>1123</v>
      </c>
      <c r="B4161" s="5" t="str">
        <f>'Lineal Mixto'!$C$1127</f>
      </c>
      <c r="C4161" s="5" t="str">
        <f>IF(AND(B4161&gt;=$B$3034,B4161&lt;=$B$3035),1,0)</f>
      </c>
      <c r="D4161" s="5" t="str">
        <f>IF(OR(D4160=1,C4161=1),1,0)</f>
      </c>
      <c r="E4161" s="5" t="str">
        <f>IF(C4161=1,0,IF(D4160=1,E4160+1,0))</f>
      </c>
      <c r="F4161" s="5" t="str">
        <f>IF(AND(C4161=1,D4160=1),MIN(E4160,3),"")</f>
      </c>
    </row>
    <row r="4162">
      <c r="A4162" s="6">
        <v>1124</v>
      </c>
      <c r="B4162" s="6" t="str">
        <f>'Lineal Mixto'!$C$1128</f>
      </c>
      <c r="C4162" s="6" t="str">
        <f>IF(AND(B4162&gt;=$B$3034,B4162&lt;=$B$3035),1,0)</f>
      </c>
      <c r="D4162" s="6" t="str">
        <f>IF(OR(D4161=1,C4162=1),1,0)</f>
      </c>
      <c r="E4162" s="6" t="str">
        <f>IF(C4162=1,0,IF(D4161=1,E4161+1,0))</f>
      </c>
      <c r="F4162" s="6" t="str">
        <f>IF(AND(C4162=1,D4161=1),MIN(E4161,3),"")</f>
      </c>
    </row>
    <row r="4163">
      <c r="A4163" s="5">
        <v>1125</v>
      </c>
      <c r="B4163" s="5" t="str">
        <f>'Lineal Mixto'!$C$1129</f>
      </c>
      <c r="C4163" s="5" t="str">
        <f>IF(AND(B4163&gt;=$B$3034,B4163&lt;=$B$3035),1,0)</f>
      </c>
      <c r="D4163" s="5" t="str">
        <f>IF(OR(D4162=1,C4163=1),1,0)</f>
      </c>
      <c r="E4163" s="5" t="str">
        <f>IF(C4163=1,0,IF(D4162=1,E4162+1,0))</f>
      </c>
      <c r="F4163" s="5" t="str">
        <f>IF(AND(C4163=1,D4162=1),MIN(E4162,3),"")</f>
      </c>
    </row>
    <row r="4164">
      <c r="A4164" s="6">
        <v>1126</v>
      </c>
      <c r="B4164" s="6" t="str">
        <f>'Lineal Mixto'!$C$1130</f>
      </c>
      <c r="C4164" s="6" t="str">
        <f>IF(AND(B4164&gt;=$B$3034,B4164&lt;=$B$3035),1,0)</f>
      </c>
      <c r="D4164" s="6" t="str">
        <f>IF(OR(D4163=1,C4164=1),1,0)</f>
      </c>
      <c r="E4164" s="6" t="str">
        <f>IF(C4164=1,0,IF(D4163=1,E4163+1,0))</f>
      </c>
      <c r="F4164" s="6" t="str">
        <f>IF(AND(C4164=1,D4163=1),MIN(E4163,3),"")</f>
      </c>
    </row>
    <row r="4165">
      <c r="A4165" s="5">
        <v>1127</v>
      </c>
      <c r="B4165" s="5" t="str">
        <f>'Lineal Mixto'!$C$1131</f>
      </c>
      <c r="C4165" s="5" t="str">
        <f>IF(AND(B4165&gt;=$B$3034,B4165&lt;=$B$3035),1,0)</f>
      </c>
      <c r="D4165" s="5" t="str">
        <f>IF(OR(D4164=1,C4165=1),1,0)</f>
      </c>
      <c r="E4165" s="5" t="str">
        <f>IF(C4165=1,0,IF(D4164=1,E4164+1,0))</f>
      </c>
      <c r="F4165" s="5" t="str">
        <f>IF(AND(C4165=1,D4164=1),MIN(E4164,3),"")</f>
      </c>
    </row>
    <row r="4166">
      <c r="A4166" s="6">
        <v>1128</v>
      </c>
      <c r="B4166" s="6" t="str">
        <f>'Lineal Mixto'!$C$1132</f>
      </c>
      <c r="C4166" s="6" t="str">
        <f>IF(AND(B4166&gt;=$B$3034,B4166&lt;=$B$3035),1,0)</f>
      </c>
      <c r="D4166" s="6" t="str">
        <f>IF(OR(D4165=1,C4166=1),1,0)</f>
      </c>
      <c r="E4166" s="6" t="str">
        <f>IF(C4166=1,0,IF(D4165=1,E4165+1,0))</f>
      </c>
      <c r="F4166" s="6" t="str">
        <f>IF(AND(C4166=1,D4165=1),MIN(E4165,3),"")</f>
      </c>
    </row>
    <row r="4167">
      <c r="A4167" s="5">
        <v>1129</v>
      </c>
      <c r="B4167" s="5" t="str">
        <f>'Lineal Mixto'!$C$1133</f>
      </c>
      <c r="C4167" s="5" t="str">
        <f>IF(AND(B4167&gt;=$B$3034,B4167&lt;=$B$3035),1,0)</f>
      </c>
      <c r="D4167" s="5" t="str">
        <f>IF(OR(D4166=1,C4167=1),1,0)</f>
      </c>
      <c r="E4167" s="5" t="str">
        <f>IF(C4167=1,0,IF(D4166=1,E4166+1,0))</f>
      </c>
      <c r="F4167" s="5" t="str">
        <f>IF(AND(C4167=1,D4166=1),MIN(E4166,3),"")</f>
      </c>
    </row>
    <row r="4168">
      <c r="A4168" s="6">
        <v>1130</v>
      </c>
      <c r="B4168" s="6" t="str">
        <f>'Lineal Mixto'!$C$1134</f>
      </c>
      <c r="C4168" s="6" t="str">
        <f>IF(AND(B4168&gt;=$B$3034,B4168&lt;=$B$3035),1,0)</f>
      </c>
      <c r="D4168" s="6" t="str">
        <f>IF(OR(D4167=1,C4168=1),1,0)</f>
      </c>
      <c r="E4168" s="6" t="str">
        <f>IF(C4168=1,0,IF(D4167=1,E4167+1,0))</f>
      </c>
      <c r="F4168" s="6" t="str">
        <f>IF(AND(C4168=1,D4167=1),MIN(E4167,3),"")</f>
      </c>
    </row>
    <row r="4169">
      <c r="A4169" s="5">
        <v>1131</v>
      </c>
      <c r="B4169" s="5" t="str">
        <f>'Lineal Mixto'!$C$1135</f>
      </c>
      <c r="C4169" s="5" t="str">
        <f>IF(AND(B4169&gt;=$B$3034,B4169&lt;=$B$3035),1,0)</f>
      </c>
      <c r="D4169" s="5" t="str">
        <f>IF(OR(D4168=1,C4169=1),1,0)</f>
      </c>
      <c r="E4169" s="5" t="str">
        <f>IF(C4169=1,0,IF(D4168=1,E4168+1,0))</f>
      </c>
      <c r="F4169" s="5" t="str">
        <f>IF(AND(C4169=1,D4168=1),MIN(E4168,3),"")</f>
      </c>
    </row>
    <row r="4170">
      <c r="A4170" s="6">
        <v>1132</v>
      </c>
      <c r="B4170" s="6" t="str">
        <f>'Lineal Mixto'!$C$1136</f>
      </c>
      <c r="C4170" s="6" t="str">
        <f>IF(AND(B4170&gt;=$B$3034,B4170&lt;=$B$3035),1,0)</f>
      </c>
      <c r="D4170" s="6" t="str">
        <f>IF(OR(D4169=1,C4170=1),1,0)</f>
      </c>
      <c r="E4170" s="6" t="str">
        <f>IF(C4170=1,0,IF(D4169=1,E4169+1,0))</f>
      </c>
      <c r="F4170" s="6" t="str">
        <f>IF(AND(C4170=1,D4169=1),MIN(E4169,3),"")</f>
      </c>
    </row>
    <row r="4171">
      <c r="A4171" s="5">
        <v>1133</v>
      </c>
      <c r="B4171" s="5" t="str">
        <f>'Lineal Mixto'!$C$1137</f>
      </c>
      <c r="C4171" s="5" t="str">
        <f>IF(AND(B4171&gt;=$B$3034,B4171&lt;=$B$3035),1,0)</f>
      </c>
      <c r="D4171" s="5" t="str">
        <f>IF(OR(D4170=1,C4171=1),1,0)</f>
      </c>
      <c r="E4171" s="5" t="str">
        <f>IF(C4171=1,0,IF(D4170=1,E4170+1,0))</f>
      </c>
      <c r="F4171" s="5" t="str">
        <f>IF(AND(C4171=1,D4170=1),MIN(E4170,3),"")</f>
      </c>
    </row>
    <row r="4172">
      <c r="A4172" s="6">
        <v>1134</v>
      </c>
      <c r="B4172" s="6" t="str">
        <f>'Lineal Mixto'!$C$1138</f>
      </c>
      <c r="C4172" s="6" t="str">
        <f>IF(AND(B4172&gt;=$B$3034,B4172&lt;=$B$3035),1,0)</f>
      </c>
      <c r="D4172" s="6" t="str">
        <f>IF(OR(D4171=1,C4172=1),1,0)</f>
      </c>
      <c r="E4172" s="6" t="str">
        <f>IF(C4172=1,0,IF(D4171=1,E4171+1,0))</f>
      </c>
      <c r="F4172" s="6" t="str">
        <f>IF(AND(C4172=1,D4171=1),MIN(E4171,3),"")</f>
      </c>
    </row>
    <row r="4173">
      <c r="A4173" s="5">
        <v>1135</v>
      </c>
      <c r="B4173" s="5" t="str">
        <f>'Lineal Mixto'!$C$1139</f>
      </c>
      <c r="C4173" s="5" t="str">
        <f>IF(AND(B4173&gt;=$B$3034,B4173&lt;=$B$3035),1,0)</f>
      </c>
      <c r="D4173" s="5" t="str">
        <f>IF(OR(D4172=1,C4173=1),1,0)</f>
      </c>
      <c r="E4173" s="5" t="str">
        <f>IF(C4173=1,0,IF(D4172=1,E4172+1,0))</f>
      </c>
      <c r="F4173" s="5" t="str">
        <f>IF(AND(C4173=1,D4172=1),MIN(E4172,3),"")</f>
      </c>
    </row>
    <row r="4174">
      <c r="A4174" s="6">
        <v>1136</v>
      </c>
      <c r="B4174" s="6" t="str">
        <f>'Lineal Mixto'!$C$1140</f>
      </c>
      <c r="C4174" s="6" t="str">
        <f>IF(AND(B4174&gt;=$B$3034,B4174&lt;=$B$3035),1,0)</f>
      </c>
      <c r="D4174" s="6" t="str">
        <f>IF(OR(D4173=1,C4174=1),1,0)</f>
      </c>
      <c r="E4174" s="6" t="str">
        <f>IF(C4174=1,0,IF(D4173=1,E4173+1,0))</f>
      </c>
      <c r="F4174" s="6" t="str">
        <f>IF(AND(C4174=1,D4173=1),MIN(E4173,3),"")</f>
      </c>
    </row>
    <row r="4175">
      <c r="A4175" s="5">
        <v>1137</v>
      </c>
      <c r="B4175" s="5" t="str">
        <f>'Lineal Mixto'!$C$1141</f>
      </c>
      <c r="C4175" s="5" t="str">
        <f>IF(AND(B4175&gt;=$B$3034,B4175&lt;=$B$3035),1,0)</f>
      </c>
      <c r="D4175" s="5" t="str">
        <f>IF(OR(D4174=1,C4175=1),1,0)</f>
      </c>
      <c r="E4175" s="5" t="str">
        <f>IF(C4175=1,0,IF(D4174=1,E4174+1,0))</f>
      </c>
      <c r="F4175" s="5" t="str">
        <f>IF(AND(C4175=1,D4174=1),MIN(E4174,3),"")</f>
      </c>
    </row>
    <row r="4176">
      <c r="A4176" s="6">
        <v>1138</v>
      </c>
      <c r="B4176" s="6" t="str">
        <f>'Lineal Mixto'!$C$1142</f>
      </c>
      <c r="C4176" s="6" t="str">
        <f>IF(AND(B4176&gt;=$B$3034,B4176&lt;=$B$3035),1,0)</f>
      </c>
      <c r="D4176" s="6" t="str">
        <f>IF(OR(D4175=1,C4176=1),1,0)</f>
      </c>
      <c r="E4176" s="6" t="str">
        <f>IF(C4176=1,0,IF(D4175=1,E4175+1,0))</f>
      </c>
      <c r="F4176" s="6" t="str">
        <f>IF(AND(C4176=1,D4175=1),MIN(E4175,3),"")</f>
      </c>
    </row>
    <row r="4177">
      <c r="A4177" s="5">
        <v>1139</v>
      </c>
      <c r="B4177" s="5" t="str">
        <f>'Lineal Mixto'!$C$1143</f>
      </c>
      <c r="C4177" s="5" t="str">
        <f>IF(AND(B4177&gt;=$B$3034,B4177&lt;=$B$3035),1,0)</f>
      </c>
      <c r="D4177" s="5" t="str">
        <f>IF(OR(D4176=1,C4177=1),1,0)</f>
      </c>
      <c r="E4177" s="5" t="str">
        <f>IF(C4177=1,0,IF(D4176=1,E4176+1,0))</f>
      </c>
      <c r="F4177" s="5" t="str">
        <f>IF(AND(C4177=1,D4176=1),MIN(E4176,3),"")</f>
      </c>
    </row>
    <row r="4178">
      <c r="A4178" s="6">
        <v>1140</v>
      </c>
      <c r="B4178" s="6" t="str">
        <f>'Lineal Mixto'!$C$1144</f>
      </c>
      <c r="C4178" s="6" t="str">
        <f>IF(AND(B4178&gt;=$B$3034,B4178&lt;=$B$3035),1,0)</f>
      </c>
      <c r="D4178" s="6" t="str">
        <f>IF(OR(D4177=1,C4178=1),1,0)</f>
      </c>
      <c r="E4178" s="6" t="str">
        <f>IF(C4178=1,0,IF(D4177=1,E4177+1,0))</f>
      </c>
      <c r="F4178" s="6" t="str">
        <f>IF(AND(C4178=1,D4177=1),MIN(E4177,3),"")</f>
      </c>
    </row>
    <row r="4179">
      <c r="A4179" s="5">
        <v>1141</v>
      </c>
      <c r="B4179" s="5" t="str">
        <f>'Lineal Mixto'!$C$1145</f>
      </c>
      <c r="C4179" s="5" t="str">
        <f>IF(AND(B4179&gt;=$B$3034,B4179&lt;=$B$3035),1,0)</f>
      </c>
      <c r="D4179" s="5" t="str">
        <f>IF(OR(D4178=1,C4179=1),1,0)</f>
      </c>
      <c r="E4179" s="5" t="str">
        <f>IF(C4179=1,0,IF(D4178=1,E4178+1,0))</f>
      </c>
      <c r="F4179" s="5" t="str">
        <f>IF(AND(C4179=1,D4178=1),MIN(E4178,3),"")</f>
      </c>
    </row>
    <row r="4180">
      <c r="A4180" s="6">
        <v>1142</v>
      </c>
      <c r="B4180" s="6" t="str">
        <f>'Lineal Mixto'!$C$1146</f>
      </c>
      <c r="C4180" s="6" t="str">
        <f>IF(AND(B4180&gt;=$B$3034,B4180&lt;=$B$3035),1,0)</f>
      </c>
      <c r="D4180" s="6" t="str">
        <f>IF(OR(D4179=1,C4180=1),1,0)</f>
      </c>
      <c r="E4180" s="6" t="str">
        <f>IF(C4180=1,0,IF(D4179=1,E4179+1,0))</f>
      </c>
      <c r="F4180" s="6" t="str">
        <f>IF(AND(C4180=1,D4179=1),MIN(E4179,3),"")</f>
      </c>
    </row>
    <row r="4181">
      <c r="A4181" s="5">
        <v>1143</v>
      </c>
      <c r="B4181" s="5" t="str">
        <f>'Lineal Mixto'!$C$1147</f>
      </c>
      <c r="C4181" s="5" t="str">
        <f>IF(AND(B4181&gt;=$B$3034,B4181&lt;=$B$3035),1,0)</f>
      </c>
      <c r="D4181" s="5" t="str">
        <f>IF(OR(D4180=1,C4181=1),1,0)</f>
      </c>
      <c r="E4181" s="5" t="str">
        <f>IF(C4181=1,0,IF(D4180=1,E4180+1,0))</f>
      </c>
      <c r="F4181" s="5" t="str">
        <f>IF(AND(C4181=1,D4180=1),MIN(E4180,3),"")</f>
      </c>
    </row>
    <row r="4182">
      <c r="A4182" s="6">
        <v>1144</v>
      </c>
      <c r="B4182" s="6" t="str">
        <f>'Lineal Mixto'!$C$1148</f>
      </c>
      <c r="C4182" s="6" t="str">
        <f>IF(AND(B4182&gt;=$B$3034,B4182&lt;=$B$3035),1,0)</f>
      </c>
      <c r="D4182" s="6" t="str">
        <f>IF(OR(D4181=1,C4182=1),1,0)</f>
      </c>
      <c r="E4182" s="6" t="str">
        <f>IF(C4182=1,0,IF(D4181=1,E4181+1,0))</f>
      </c>
      <c r="F4182" s="6" t="str">
        <f>IF(AND(C4182=1,D4181=1),MIN(E4181,3),"")</f>
      </c>
    </row>
    <row r="4183">
      <c r="A4183" s="5">
        <v>1145</v>
      </c>
      <c r="B4183" s="5" t="str">
        <f>'Lineal Mixto'!$C$1149</f>
      </c>
      <c r="C4183" s="5" t="str">
        <f>IF(AND(B4183&gt;=$B$3034,B4183&lt;=$B$3035),1,0)</f>
      </c>
      <c r="D4183" s="5" t="str">
        <f>IF(OR(D4182=1,C4183=1),1,0)</f>
      </c>
      <c r="E4183" s="5" t="str">
        <f>IF(C4183=1,0,IF(D4182=1,E4182+1,0))</f>
      </c>
      <c r="F4183" s="5" t="str">
        <f>IF(AND(C4183=1,D4182=1),MIN(E4182,3),"")</f>
      </c>
    </row>
    <row r="4184">
      <c r="A4184" s="6">
        <v>1146</v>
      </c>
      <c r="B4184" s="6" t="str">
        <f>'Lineal Mixto'!$C$1150</f>
      </c>
      <c r="C4184" s="6" t="str">
        <f>IF(AND(B4184&gt;=$B$3034,B4184&lt;=$B$3035),1,0)</f>
      </c>
      <c r="D4184" s="6" t="str">
        <f>IF(OR(D4183=1,C4184=1),1,0)</f>
      </c>
      <c r="E4184" s="6" t="str">
        <f>IF(C4184=1,0,IF(D4183=1,E4183+1,0))</f>
      </c>
      <c r="F4184" s="6" t="str">
        <f>IF(AND(C4184=1,D4183=1),MIN(E4183,3),"")</f>
      </c>
    </row>
    <row r="4185">
      <c r="A4185" s="5">
        <v>1147</v>
      </c>
      <c r="B4185" s="5" t="str">
        <f>'Lineal Mixto'!$C$1151</f>
      </c>
      <c r="C4185" s="5" t="str">
        <f>IF(AND(B4185&gt;=$B$3034,B4185&lt;=$B$3035),1,0)</f>
      </c>
      <c r="D4185" s="5" t="str">
        <f>IF(OR(D4184=1,C4185=1),1,0)</f>
      </c>
      <c r="E4185" s="5" t="str">
        <f>IF(C4185=1,0,IF(D4184=1,E4184+1,0))</f>
      </c>
      <c r="F4185" s="5" t="str">
        <f>IF(AND(C4185=1,D4184=1),MIN(E4184,3),"")</f>
      </c>
    </row>
    <row r="4186">
      <c r="A4186" s="6">
        <v>1148</v>
      </c>
      <c r="B4186" s="6" t="str">
        <f>'Lineal Mixto'!$C$1152</f>
      </c>
      <c r="C4186" s="6" t="str">
        <f>IF(AND(B4186&gt;=$B$3034,B4186&lt;=$B$3035),1,0)</f>
      </c>
      <c r="D4186" s="6" t="str">
        <f>IF(OR(D4185=1,C4186=1),1,0)</f>
      </c>
      <c r="E4186" s="6" t="str">
        <f>IF(C4186=1,0,IF(D4185=1,E4185+1,0))</f>
      </c>
      <c r="F4186" s="6" t="str">
        <f>IF(AND(C4186=1,D4185=1),MIN(E4185,3),"")</f>
      </c>
    </row>
    <row r="4187">
      <c r="A4187" s="5">
        <v>1149</v>
      </c>
      <c r="B4187" s="5" t="str">
        <f>'Lineal Mixto'!$C$1153</f>
      </c>
      <c r="C4187" s="5" t="str">
        <f>IF(AND(B4187&gt;=$B$3034,B4187&lt;=$B$3035),1,0)</f>
      </c>
      <c r="D4187" s="5" t="str">
        <f>IF(OR(D4186=1,C4187=1),1,0)</f>
      </c>
      <c r="E4187" s="5" t="str">
        <f>IF(C4187=1,0,IF(D4186=1,E4186+1,0))</f>
      </c>
      <c r="F4187" s="5" t="str">
        <f>IF(AND(C4187=1,D4186=1),MIN(E4186,3),"")</f>
      </c>
    </row>
    <row r="4188">
      <c r="A4188" s="6">
        <v>1150</v>
      </c>
      <c r="B4188" s="6" t="str">
        <f>'Lineal Mixto'!$C$1154</f>
      </c>
      <c r="C4188" s="6" t="str">
        <f>IF(AND(B4188&gt;=$B$3034,B4188&lt;=$B$3035),1,0)</f>
      </c>
      <c r="D4188" s="6" t="str">
        <f>IF(OR(D4187=1,C4188=1),1,0)</f>
      </c>
      <c r="E4188" s="6" t="str">
        <f>IF(C4188=1,0,IF(D4187=1,E4187+1,0))</f>
      </c>
      <c r="F4188" s="6" t="str">
        <f>IF(AND(C4188=1,D4187=1),MIN(E4187,3),"")</f>
      </c>
    </row>
    <row r="4189">
      <c r="A4189" s="5">
        <v>1151</v>
      </c>
      <c r="B4189" s="5" t="str">
        <f>'Lineal Mixto'!$C$1155</f>
      </c>
      <c r="C4189" s="5" t="str">
        <f>IF(AND(B4189&gt;=$B$3034,B4189&lt;=$B$3035),1,0)</f>
      </c>
      <c r="D4189" s="5" t="str">
        <f>IF(OR(D4188=1,C4189=1),1,0)</f>
      </c>
      <c r="E4189" s="5" t="str">
        <f>IF(C4189=1,0,IF(D4188=1,E4188+1,0))</f>
      </c>
      <c r="F4189" s="5" t="str">
        <f>IF(AND(C4189=1,D4188=1),MIN(E4188,3),"")</f>
      </c>
    </row>
    <row r="4190">
      <c r="A4190" s="6">
        <v>1152</v>
      </c>
      <c r="B4190" s="6" t="str">
        <f>'Lineal Mixto'!$C$1156</f>
      </c>
      <c r="C4190" s="6" t="str">
        <f>IF(AND(B4190&gt;=$B$3034,B4190&lt;=$B$3035),1,0)</f>
      </c>
      <c r="D4190" s="6" t="str">
        <f>IF(OR(D4189=1,C4190=1),1,0)</f>
      </c>
      <c r="E4190" s="6" t="str">
        <f>IF(C4190=1,0,IF(D4189=1,E4189+1,0))</f>
      </c>
      <c r="F4190" s="6" t="str">
        <f>IF(AND(C4190=1,D4189=1),MIN(E4189,3),"")</f>
      </c>
    </row>
    <row r="4191">
      <c r="A4191" s="5">
        <v>1153</v>
      </c>
      <c r="B4191" s="5" t="str">
        <f>'Lineal Mixto'!$C$1157</f>
      </c>
      <c r="C4191" s="5" t="str">
        <f>IF(AND(B4191&gt;=$B$3034,B4191&lt;=$B$3035),1,0)</f>
      </c>
      <c r="D4191" s="5" t="str">
        <f>IF(OR(D4190=1,C4191=1),1,0)</f>
      </c>
      <c r="E4191" s="5" t="str">
        <f>IF(C4191=1,0,IF(D4190=1,E4190+1,0))</f>
      </c>
      <c r="F4191" s="5" t="str">
        <f>IF(AND(C4191=1,D4190=1),MIN(E4190,3),"")</f>
      </c>
    </row>
    <row r="4192">
      <c r="A4192" s="6">
        <v>1154</v>
      </c>
      <c r="B4192" s="6" t="str">
        <f>'Lineal Mixto'!$C$1158</f>
      </c>
      <c r="C4192" s="6" t="str">
        <f>IF(AND(B4192&gt;=$B$3034,B4192&lt;=$B$3035),1,0)</f>
      </c>
      <c r="D4192" s="6" t="str">
        <f>IF(OR(D4191=1,C4192=1),1,0)</f>
      </c>
      <c r="E4192" s="6" t="str">
        <f>IF(C4192=1,0,IF(D4191=1,E4191+1,0))</f>
      </c>
      <c r="F4192" s="6" t="str">
        <f>IF(AND(C4192=1,D4191=1),MIN(E4191,3),"")</f>
      </c>
    </row>
    <row r="4193">
      <c r="A4193" s="5">
        <v>1155</v>
      </c>
      <c r="B4193" s="5" t="str">
        <f>'Lineal Mixto'!$C$1159</f>
      </c>
      <c r="C4193" s="5" t="str">
        <f>IF(AND(B4193&gt;=$B$3034,B4193&lt;=$B$3035),1,0)</f>
      </c>
      <c r="D4193" s="5" t="str">
        <f>IF(OR(D4192=1,C4193=1),1,0)</f>
      </c>
      <c r="E4193" s="5" t="str">
        <f>IF(C4193=1,0,IF(D4192=1,E4192+1,0))</f>
      </c>
      <c r="F4193" s="5" t="str">
        <f>IF(AND(C4193=1,D4192=1),MIN(E4192,3),"")</f>
      </c>
    </row>
    <row r="4194">
      <c r="A4194" s="6">
        <v>1156</v>
      </c>
      <c r="B4194" s="6" t="str">
        <f>'Lineal Mixto'!$C$1160</f>
      </c>
      <c r="C4194" s="6" t="str">
        <f>IF(AND(B4194&gt;=$B$3034,B4194&lt;=$B$3035),1,0)</f>
      </c>
      <c r="D4194" s="6" t="str">
        <f>IF(OR(D4193=1,C4194=1),1,0)</f>
      </c>
      <c r="E4194" s="6" t="str">
        <f>IF(C4194=1,0,IF(D4193=1,E4193+1,0))</f>
      </c>
      <c r="F4194" s="6" t="str">
        <f>IF(AND(C4194=1,D4193=1),MIN(E4193,3),"")</f>
      </c>
    </row>
    <row r="4195">
      <c r="A4195" s="5">
        <v>1157</v>
      </c>
      <c r="B4195" s="5" t="str">
        <f>'Lineal Mixto'!$C$1161</f>
      </c>
      <c r="C4195" s="5" t="str">
        <f>IF(AND(B4195&gt;=$B$3034,B4195&lt;=$B$3035),1,0)</f>
      </c>
      <c r="D4195" s="5" t="str">
        <f>IF(OR(D4194=1,C4195=1),1,0)</f>
      </c>
      <c r="E4195" s="5" t="str">
        <f>IF(C4195=1,0,IF(D4194=1,E4194+1,0))</f>
      </c>
      <c r="F4195" s="5" t="str">
        <f>IF(AND(C4195=1,D4194=1),MIN(E4194,3),"")</f>
      </c>
    </row>
    <row r="4196">
      <c r="A4196" s="6">
        <v>1158</v>
      </c>
      <c r="B4196" s="6" t="str">
        <f>'Lineal Mixto'!$C$1162</f>
      </c>
      <c r="C4196" s="6" t="str">
        <f>IF(AND(B4196&gt;=$B$3034,B4196&lt;=$B$3035),1,0)</f>
      </c>
      <c r="D4196" s="6" t="str">
        <f>IF(OR(D4195=1,C4196=1),1,0)</f>
      </c>
      <c r="E4196" s="6" t="str">
        <f>IF(C4196=1,0,IF(D4195=1,E4195+1,0))</f>
      </c>
      <c r="F4196" s="6" t="str">
        <f>IF(AND(C4196=1,D4195=1),MIN(E4195,3),"")</f>
      </c>
    </row>
    <row r="4197">
      <c r="A4197" s="5">
        <v>1159</v>
      </c>
      <c r="B4197" s="5" t="str">
        <f>'Lineal Mixto'!$C$1163</f>
      </c>
      <c r="C4197" s="5" t="str">
        <f>IF(AND(B4197&gt;=$B$3034,B4197&lt;=$B$3035),1,0)</f>
      </c>
      <c r="D4197" s="5" t="str">
        <f>IF(OR(D4196=1,C4197=1),1,0)</f>
      </c>
      <c r="E4197" s="5" t="str">
        <f>IF(C4197=1,0,IF(D4196=1,E4196+1,0))</f>
      </c>
      <c r="F4197" s="5" t="str">
        <f>IF(AND(C4197=1,D4196=1),MIN(E4196,3),"")</f>
      </c>
    </row>
    <row r="4198">
      <c r="A4198" s="6">
        <v>1160</v>
      </c>
      <c r="B4198" s="6" t="str">
        <f>'Lineal Mixto'!$C$1164</f>
      </c>
      <c r="C4198" s="6" t="str">
        <f>IF(AND(B4198&gt;=$B$3034,B4198&lt;=$B$3035),1,0)</f>
      </c>
      <c r="D4198" s="6" t="str">
        <f>IF(OR(D4197=1,C4198=1),1,0)</f>
      </c>
      <c r="E4198" s="6" t="str">
        <f>IF(C4198=1,0,IF(D4197=1,E4197+1,0))</f>
      </c>
      <c r="F4198" s="6" t="str">
        <f>IF(AND(C4198=1,D4197=1),MIN(E4197,3),"")</f>
      </c>
    </row>
    <row r="4199">
      <c r="A4199" s="5">
        <v>1161</v>
      </c>
      <c r="B4199" s="5" t="str">
        <f>'Lineal Mixto'!$C$1165</f>
      </c>
      <c r="C4199" s="5" t="str">
        <f>IF(AND(B4199&gt;=$B$3034,B4199&lt;=$B$3035),1,0)</f>
      </c>
      <c r="D4199" s="5" t="str">
        <f>IF(OR(D4198=1,C4199=1),1,0)</f>
      </c>
      <c r="E4199" s="5" t="str">
        <f>IF(C4199=1,0,IF(D4198=1,E4198+1,0))</f>
      </c>
      <c r="F4199" s="5" t="str">
        <f>IF(AND(C4199=1,D4198=1),MIN(E4198,3),"")</f>
      </c>
    </row>
    <row r="4200">
      <c r="A4200" s="6">
        <v>1162</v>
      </c>
      <c r="B4200" s="6" t="str">
        <f>'Lineal Mixto'!$C$1166</f>
      </c>
      <c r="C4200" s="6" t="str">
        <f>IF(AND(B4200&gt;=$B$3034,B4200&lt;=$B$3035),1,0)</f>
      </c>
      <c r="D4200" s="6" t="str">
        <f>IF(OR(D4199=1,C4200=1),1,0)</f>
      </c>
      <c r="E4200" s="6" t="str">
        <f>IF(C4200=1,0,IF(D4199=1,E4199+1,0))</f>
      </c>
      <c r="F4200" s="6" t="str">
        <f>IF(AND(C4200=1,D4199=1),MIN(E4199,3),"")</f>
      </c>
    </row>
    <row r="4201">
      <c r="A4201" s="5">
        <v>1163</v>
      </c>
      <c r="B4201" s="5" t="str">
        <f>'Lineal Mixto'!$C$1167</f>
      </c>
      <c r="C4201" s="5" t="str">
        <f>IF(AND(B4201&gt;=$B$3034,B4201&lt;=$B$3035),1,0)</f>
      </c>
      <c r="D4201" s="5" t="str">
        <f>IF(OR(D4200=1,C4201=1),1,0)</f>
      </c>
      <c r="E4201" s="5" t="str">
        <f>IF(C4201=1,0,IF(D4200=1,E4200+1,0))</f>
      </c>
      <c r="F4201" s="5" t="str">
        <f>IF(AND(C4201=1,D4200=1),MIN(E4200,3),"")</f>
      </c>
    </row>
    <row r="4202">
      <c r="A4202" s="6">
        <v>1164</v>
      </c>
      <c r="B4202" s="6" t="str">
        <f>'Lineal Mixto'!$C$1168</f>
      </c>
      <c r="C4202" s="6" t="str">
        <f>IF(AND(B4202&gt;=$B$3034,B4202&lt;=$B$3035),1,0)</f>
      </c>
      <c r="D4202" s="6" t="str">
        <f>IF(OR(D4201=1,C4202=1),1,0)</f>
      </c>
      <c r="E4202" s="6" t="str">
        <f>IF(C4202=1,0,IF(D4201=1,E4201+1,0))</f>
      </c>
      <c r="F4202" s="6" t="str">
        <f>IF(AND(C4202=1,D4201=1),MIN(E4201,3),"")</f>
      </c>
    </row>
    <row r="4203">
      <c r="A4203" s="5">
        <v>1165</v>
      </c>
      <c r="B4203" s="5" t="str">
        <f>'Lineal Mixto'!$C$1169</f>
      </c>
      <c r="C4203" s="5" t="str">
        <f>IF(AND(B4203&gt;=$B$3034,B4203&lt;=$B$3035),1,0)</f>
      </c>
      <c r="D4203" s="5" t="str">
        <f>IF(OR(D4202=1,C4203=1),1,0)</f>
      </c>
      <c r="E4203" s="5" t="str">
        <f>IF(C4203=1,0,IF(D4202=1,E4202+1,0))</f>
      </c>
      <c r="F4203" s="5" t="str">
        <f>IF(AND(C4203=1,D4202=1),MIN(E4202,3),"")</f>
      </c>
    </row>
    <row r="4204">
      <c r="A4204" s="6">
        <v>1166</v>
      </c>
      <c r="B4204" s="6" t="str">
        <f>'Lineal Mixto'!$C$1170</f>
      </c>
      <c r="C4204" s="6" t="str">
        <f>IF(AND(B4204&gt;=$B$3034,B4204&lt;=$B$3035),1,0)</f>
      </c>
      <c r="D4204" s="6" t="str">
        <f>IF(OR(D4203=1,C4204=1),1,0)</f>
      </c>
      <c r="E4204" s="6" t="str">
        <f>IF(C4204=1,0,IF(D4203=1,E4203+1,0))</f>
      </c>
      <c r="F4204" s="6" t="str">
        <f>IF(AND(C4204=1,D4203=1),MIN(E4203,3),"")</f>
      </c>
    </row>
    <row r="4205">
      <c r="A4205" s="5">
        <v>1167</v>
      </c>
      <c r="B4205" s="5" t="str">
        <f>'Lineal Mixto'!$C$1171</f>
      </c>
      <c r="C4205" s="5" t="str">
        <f>IF(AND(B4205&gt;=$B$3034,B4205&lt;=$B$3035),1,0)</f>
      </c>
      <c r="D4205" s="5" t="str">
        <f>IF(OR(D4204=1,C4205=1),1,0)</f>
      </c>
      <c r="E4205" s="5" t="str">
        <f>IF(C4205=1,0,IF(D4204=1,E4204+1,0))</f>
      </c>
      <c r="F4205" s="5" t="str">
        <f>IF(AND(C4205=1,D4204=1),MIN(E4204,3),"")</f>
      </c>
    </row>
    <row r="4206">
      <c r="A4206" s="6">
        <v>1168</v>
      </c>
      <c r="B4206" s="6" t="str">
        <f>'Lineal Mixto'!$C$1172</f>
      </c>
      <c r="C4206" s="6" t="str">
        <f>IF(AND(B4206&gt;=$B$3034,B4206&lt;=$B$3035),1,0)</f>
      </c>
      <c r="D4206" s="6" t="str">
        <f>IF(OR(D4205=1,C4206=1),1,0)</f>
      </c>
      <c r="E4206" s="6" t="str">
        <f>IF(C4206=1,0,IF(D4205=1,E4205+1,0))</f>
      </c>
      <c r="F4206" s="6" t="str">
        <f>IF(AND(C4206=1,D4205=1),MIN(E4205,3),"")</f>
      </c>
    </row>
    <row r="4207">
      <c r="A4207" s="5">
        <v>1169</v>
      </c>
      <c r="B4207" s="5" t="str">
        <f>'Lineal Mixto'!$C$1173</f>
      </c>
      <c r="C4207" s="5" t="str">
        <f>IF(AND(B4207&gt;=$B$3034,B4207&lt;=$B$3035),1,0)</f>
      </c>
      <c r="D4207" s="5" t="str">
        <f>IF(OR(D4206=1,C4207=1),1,0)</f>
      </c>
      <c r="E4207" s="5" t="str">
        <f>IF(C4207=1,0,IF(D4206=1,E4206+1,0))</f>
      </c>
      <c r="F4207" s="5" t="str">
        <f>IF(AND(C4207=1,D4206=1),MIN(E4206,3),"")</f>
      </c>
    </row>
    <row r="4208">
      <c r="A4208" s="6">
        <v>1170</v>
      </c>
      <c r="B4208" s="6" t="str">
        <f>'Lineal Mixto'!$C$1174</f>
      </c>
      <c r="C4208" s="6" t="str">
        <f>IF(AND(B4208&gt;=$B$3034,B4208&lt;=$B$3035),1,0)</f>
      </c>
      <c r="D4208" s="6" t="str">
        <f>IF(OR(D4207=1,C4208=1),1,0)</f>
      </c>
      <c r="E4208" s="6" t="str">
        <f>IF(C4208=1,0,IF(D4207=1,E4207+1,0))</f>
      </c>
      <c r="F4208" s="6" t="str">
        <f>IF(AND(C4208=1,D4207=1),MIN(E4207,3),"")</f>
      </c>
    </row>
    <row r="4209">
      <c r="A4209" s="5">
        <v>1171</v>
      </c>
      <c r="B4209" s="5" t="str">
        <f>'Lineal Mixto'!$C$1175</f>
      </c>
      <c r="C4209" s="5" t="str">
        <f>IF(AND(B4209&gt;=$B$3034,B4209&lt;=$B$3035),1,0)</f>
      </c>
      <c r="D4209" s="5" t="str">
        <f>IF(OR(D4208=1,C4209=1),1,0)</f>
      </c>
      <c r="E4209" s="5" t="str">
        <f>IF(C4209=1,0,IF(D4208=1,E4208+1,0))</f>
      </c>
      <c r="F4209" s="5" t="str">
        <f>IF(AND(C4209=1,D4208=1),MIN(E4208,3),"")</f>
      </c>
    </row>
    <row r="4210">
      <c r="A4210" s="6">
        <v>1172</v>
      </c>
      <c r="B4210" s="6" t="str">
        <f>'Lineal Mixto'!$C$1176</f>
      </c>
      <c r="C4210" s="6" t="str">
        <f>IF(AND(B4210&gt;=$B$3034,B4210&lt;=$B$3035),1,0)</f>
      </c>
      <c r="D4210" s="6" t="str">
        <f>IF(OR(D4209=1,C4210=1),1,0)</f>
      </c>
      <c r="E4210" s="6" t="str">
        <f>IF(C4210=1,0,IF(D4209=1,E4209+1,0))</f>
      </c>
      <c r="F4210" s="6" t="str">
        <f>IF(AND(C4210=1,D4209=1),MIN(E4209,3),"")</f>
      </c>
    </row>
    <row r="4211">
      <c r="A4211" s="5">
        <v>1173</v>
      </c>
      <c r="B4211" s="5" t="str">
        <f>'Lineal Mixto'!$C$1177</f>
      </c>
      <c r="C4211" s="5" t="str">
        <f>IF(AND(B4211&gt;=$B$3034,B4211&lt;=$B$3035),1,0)</f>
      </c>
      <c r="D4211" s="5" t="str">
        <f>IF(OR(D4210=1,C4211=1),1,0)</f>
      </c>
      <c r="E4211" s="5" t="str">
        <f>IF(C4211=1,0,IF(D4210=1,E4210+1,0))</f>
      </c>
      <c r="F4211" s="5" t="str">
        <f>IF(AND(C4211=1,D4210=1),MIN(E4210,3),"")</f>
      </c>
    </row>
    <row r="4212">
      <c r="A4212" s="6">
        <v>1174</v>
      </c>
      <c r="B4212" s="6" t="str">
        <f>'Lineal Mixto'!$C$1178</f>
      </c>
      <c r="C4212" s="6" t="str">
        <f>IF(AND(B4212&gt;=$B$3034,B4212&lt;=$B$3035),1,0)</f>
      </c>
      <c r="D4212" s="6" t="str">
        <f>IF(OR(D4211=1,C4212=1),1,0)</f>
      </c>
      <c r="E4212" s="6" t="str">
        <f>IF(C4212=1,0,IF(D4211=1,E4211+1,0))</f>
      </c>
      <c r="F4212" s="6" t="str">
        <f>IF(AND(C4212=1,D4211=1),MIN(E4211,3),"")</f>
      </c>
    </row>
    <row r="4213">
      <c r="A4213" s="5">
        <v>1175</v>
      </c>
      <c r="B4213" s="5" t="str">
        <f>'Lineal Mixto'!$C$1179</f>
      </c>
      <c r="C4213" s="5" t="str">
        <f>IF(AND(B4213&gt;=$B$3034,B4213&lt;=$B$3035),1,0)</f>
      </c>
      <c r="D4213" s="5" t="str">
        <f>IF(OR(D4212=1,C4213=1),1,0)</f>
      </c>
      <c r="E4213" s="5" t="str">
        <f>IF(C4213=1,0,IF(D4212=1,E4212+1,0))</f>
      </c>
      <c r="F4213" s="5" t="str">
        <f>IF(AND(C4213=1,D4212=1),MIN(E4212,3),"")</f>
      </c>
    </row>
    <row r="4214">
      <c r="A4214" s="6">
        <v>1176</v>
      </c>
      <c r="B4214" s="6" t="str">
        <f>'Lineal Mixto'!$C$1180</f>
      </c>
      <c r="C4214" s="6" t="str">
        <f>IF(AND(B4214&gt;=$B$3034,B4214&lt;=$B$3035),1,0)</f>
      </c>
      <c r="D4214" s="6" t="str">
        <f>IF(OR(D4213=1,C4214=1),1,0)</f>
      </c>
      <c r="E4214" s="6" t="str">
        <f>IF(C4214=1,0,IF(D4213=1,E4213+1,0))</f>
      </c>
      <c r="F4214" s="6" t="str">
        <f>IF(AND(C4214=1,D4213=1),MIN(E4213,3),"")</f>
      </c>
    </row>
    <row r="4215">
      <c r="A4215" s="5">
        <v>1177</v>
      </c>
      <c r="B4215" s="5" t="str">
        <f>'Lineal Mixto'!$C$1181</f>
      </c>
      <c r="C4215" s="5" t="str">
        <f>IF(AND(B4215&gt;=$B$3034,B4215&lt;=$B$3035),1,0)</f>
      </c>
      <c r="D4215" s="5" t="str">
        <f>IF(OR(D4214=1,C4215=1),1,0)</f>
      </c>
      <c r="E4215" s="5" t="str">
        <f>IF(C4215=1,0,IF(D4214=1,E4214+1,0))</f>
      </c>
      <c r="F4215" s="5" t="str">
        <f>IF(AND(C4215=1,D4214=1),MIN(E4214,3),"")</f>
      </c>
    </row>
    <row r="4216">
      <c r="A4216" s="6">
        <v>1178</v>
      </c>
      <c r="B4216" s="6" t="str">
        <f>'Lineal Mixto'!$C$1182</f>
      </c>
      <c r="C4216" s="6" t="str">
        <f>IF(AND(B4216&gt;=$B$3034,B4216&lt;=$B$3035),1,0)</f>
      </c>
      <c r="D4216" s="6" t="str">
        <f>IF(OR(D4215=1,C4216=1),1,0)</f>
      </c>
      <c r="E4216" s="6" t="str">
        <f>IF(C4216=1,0,IF(D4215=1,E4215+1,0))</f>
      </c>
      <c r="F4216" s="6" t="str">
        <f>IF(AND(C4216=1,D4215=1),MIN(E4215,3),"")</f>
      </c>
    </row>
    <row r="4217">
      <c r="A4217" s="5">
        <v>1179</v>
      </c>
      <c r="B4217" s="5" t="str">
        <f>'Lineal Mixto'!$C$1183</f>
      </c>
      <c r="C4217" s="5" t="str">
        <f>IF(AND(B4217&gt;=$B$3034,B4217&lt;=$B$3035),1,0)</f>
      </c>
      <c r="D4217" s="5" t="str">
        <f>IF(OR(D4216=1,C4217=1),1,0)</f>
      </c>
      <c r="E4217" s="5" t="str">
        <f>IF(C4217=1,0,IF(D4216=1,E4216+1,0))</f>
      </c>
      <c r="F4217" s="5" t="str">
        <f>IF(AND(C4217=1,D4216=1),MIN(E4216,3),"")</f>
      </c>
    </row>
    <row r="4218">
      <c r="A4218" s="6">
        <v>1180</v>
      </c>
      <c r="B4218" s="6" t="str">
        <f>'Lineal Mixto'!$C$1184</f>
      </c>
      <c r="C4218" s="6" t="str">
        <f>IF(AND(B4218&gt;=$B$3034,B4218&lt;=$B$3035),1,0)</f>
      </c>
      <c r="D4218" s="6" t="str">
        <f>IF(OR(D4217=1,C4218=1),1,0)</f>
      </c>
      <c r="E4218" s="6" t="str">
        <f>IF(C4218=1,0,IF(D4217=1,E4217+1,0))</f>
      </c>
      <c r="F4218" s="6" t="str">
        <f>IF(AND(C4218=1,D4217=1),MIN(E4217,3),"")</f>
      </c>
    </row>
    <row r="4219">
      <c r="A4219" s="5">
        <v>1181</v>
      </c>
      <c r="B4219" s="5" t="str">
        <f>'Lineal Mixto'!$C$1185</f>
      </c>
      <c r="C4219" s="5" t="str">
        <f>IF(AND(B4219&gt;=$B$3034,B4219&lt;=$B$3035),1,0)</f>
      </c>
      <c r="D4219" s="5" t="str">
        <f>IF(OR(D4218=1,C4219=1),1,0)</f>
      </c>
      <c r="E4219" s="5" t="str">
        <f>IF(C4219=1,0,IF(D4218=1,E4218+1,0))</f>
      </c>
      <c r="F4219" s="5" t="str">
        <f>IF(AND(C4219=1,D4218=1),MIN(E4218,3),"")</f>
      </c>
    </row>
    <row r="4220">
      <c r="A4220" s="6">
        <v>1182</v>
      </c>
      <c r="B4220" s="6" t="str">
        <f>'Lineal Mixto'!$C$1186</f>
      </c>
      <c r="C4220" s="6" t="str">
        <f>IF(AND(B4220&gt;=$B$3034,B4220&lt;=$B$3035),1,0)</f>
      </c>
      <c r="D4220" s="6" t="str">
        <f>IF(OR(D4219=1,C4220=1),1,0)</f>
      </c>
      <c r="E4220" s="6" t="str">
        <f>IF(C4220=1,0,IF(D4219=1,E4219+1,0))</f>
      </c>
      <c r="F4220" s="6" t="str">
        <f>IF(AND(C4220=1,D4219=1),MIN(E4219,3),"")</f>
      </c>
    </row>
    <row r="4221">
      <c r="A4221" s="5">
        <v>1183</v>
      </c>
      <c r="B4221" s="5" t="str">
        <f>'Lineal Mixto'!$C$1187</f>
      </c>
      <c r="C4221" s="5" t="str">
        <f>IF(AND(B4221&gt;=$B$3034,B4221&lt;=$B$3035),1,0)</f>
      </c>
      <c r="D4221" s="5" t="str">
        <f>IF(OR(D4220=1,C4221=1),1,0)</f>
      </c>
      <c r="E4221" s="5" t="str">
        <f>IF(C4221=1,0,IF(D4220=1,E4220+1,0))</f>
      </c>
      <c r="F4221" s="5" t="str">
        <f>IF(AND(C4221=1,D4220=1),MIN(E4220,3),"")</f>
      </c>
    </row>
    <row r="4222">
      <c r="A4222" s="6">
        <v>1184</v>
      </c>
      <c r="B4222" s="6" t="str">
        <f>'Lineal Mixto'!$C$1188</f>
      </c>
      <c r="C4222" s="6" t="str">
        <f>IF(AND(B4222&gt;=$B$3034,B4222&lt;=$B$3035),1,0)</f>
      </c>
      <c r="D4222" s="6" t="str">
        <f>IF(OR(D4221=1,C4222=1),1,0)</f>
      </c>
      <c r="E4222" s="6" t="str">
        <f>IF(C4222=1,0,IF(D4221=1,E4221+1,0))</f>
      </c>
      <c r="F4222" s="6" t="str">
        <f>IF(AND(C4222=1,D4221=1),MIN(E4221,3),"")</f>
      </c>
    </row>
    <row r="4223">
      <c r="A4223" s="5">
        <v>1185</v>
      </c>
      <c r="B4223" s="5" t="str">
        <f>'Lineal Mixto'!$C$1189</f>
      </c>
      <c r="C4223" s="5" t="str">
        <f>IF(AND(B4223&gt;=$B$3034,B4223&lt;=$B$3035),1,0)</f>
      </c>
      <c r="D4223" s="5" t="str">
        <f>IF(OR(D4222=1,C4223=1),1,0)</f>
      </c>
      <c r="E4223" s="5" t="str">
        <f>IF(C4223=1,0,IF(D4222=1,E4222+1,0))</f>
      </c>
      <c r="F4223" s="5" t="str">
        <f>IF(AND(C4223=1,D4222=1),MIN(E4222,3),"")</f>
      </c>
    </row>
    <row r="4224">
      <c r="A4224" s="6">
        <v>1186</v>
      </c>
      <c r="B4224" s="6" t="str">
        <f>'Lineal Mixto'!$C$1190</f>
      </c>
      <c r="C4224" s="6" t="str">
        <f>IF(AND(B4224&gt;=$B$3034,B4224&lt;=$B$3035),1,0)</f>
      </c>
      <c r="D4224" s="6" t="str">
        <f>IF(OR(D4223=1,C4224=1),1,0)</f>
      </c>
      <c r="E4224" s="6" t="str">
        <f>IF(C4224=1,0,IF(D4223=1,E4223+1,0))</f>
      </c>
      <c r="F4224" s="6" t="str">
        <f>IF(AND(C4224=1,D4223=1),MIN(E4223,3),"")</f>
      </c>
    </row>
    <row r="4225">
      <c r="A4225" s="5">
        <v>1187</v>
      </c>
      <c r="B4225" s="5" t="str">
        <f>'Lineal Mixto'!$C$1191</f>
      </c>
      <c r="C4225" s="5" t="str">
        <f>IF(AND(B4225&gt;=$B$3034,B4225&lt;=$B$3035),1,0)</f>
      </c>
      <c r="D4225" s="5" t="str">
        <f>IF(OR(D4224=1,C4225=1),1,0)</f>
      </c>
      <c r="E4225" s="5" t="str">
        <f>IF(C4225=1,0,IF(D4224=1,E4224+1,0))</f>
      </c>
      <c r="F4225" s="5" t="str">
        <f>IF(AND(C4225=1,D4224=1),MIN(E4224,3),"")</f>
      </c>
    </row>
    <row r="4226">
      <c r="A4226" s="6">
        <v>1188</v>
      </c>
      <c r="B4226" s="6" t="str">
        <f>'Lineal Mixto'!$C$1192</f>
      </c>
      <c r="C4226" s="6" t="str">
        <f>IF(AND(B4226&gt;=$B$3034,B4226&lt;=$B$3035),1,0)</f>
      </c>
      <c r="D4226" s="6" t="str">
        <f>IF(OR(D4225=1,C4226=1),1,0)</f>
      </c>
      <c r="E4226" s="6" t="str">
        <f>IF(C4226=1,0,IF(D4225=1,E4225+1,0))</f>
      </c>
      <c r="F4226" s="6" t="str">
        <f>IF(AND(C4226=1,D4225=1),MIN(E4225,3),"")</f>
      </c>
    </row>
    <row r="4227">
      <c r="A4227" s="5">
        <v>1189</v>
      </c>
      <c r="B4227" s="5" t="str">
        <f>'Lineal Mixto'!$C$1193</f>
      </c>
      <c r="C4227" s="5" t="str">
        <f>IF(AND(B4227&gt;=$B$3034,B4227&lt;=$B$3035),1,0)</f>
      </c>
      <c r="D4227" s="5" t="str">
        <f>IF(OR(D4226=1,C4227=1),1,0)</f>
      </c>
      <c r="E4227" s="5" t="str">
        <f>IF(C4227=1,0,IF(D4226=1,E4226+1,0))</f>
      </c>
      <c r="F4227" s="5" t="str">
        <f>IF(AND(C4227=1,D4226=1),MIN(E4226,3),"")</f>
      </c>
    </row>
    <row r="4228">
      <c r="A4228" s="6">
        <v>1190</v>
      </c>
      <c r="B4228" s="6" t="str">
        <f>'Lineal Mixto'!$C$1194</f>
      </c>
      <c r="C4228" s="6" t="str">
        <f>IF(AND(B4228&gt;=$B$3034,B4228&lt;=$B$3035),1,0)</f>
      </c>
      <c r="D4228" s="6" t="str">
        <f>IF(OR(D4227=1,C4228=1),1,0)</f>
      </c>
      <c r="E4228" s="6" t="str">
        <f>IF(C4228=1,0,IF(D4227=1,E4227+1,0))</f>
      </c>
      <c r="F4228" s="6" t="str">
        <f>IF(AND(C4228=1,D4227=1),MIN(E4227,3),"")</f>
      </c>
    </row>
    <row r="4229">
      <c r="A4229" s="5">
        <v>1191</v>
      </c>
      <c r="B4229" s="5" t="str">
        <f>'Lineal Mixto'!$C$1195</f>
      </c>
      <c r="C4229" s="5" t="str">
        <f>IF(AND(B4229&gt;=$B$3034,B4229&lt;=$B$3035),1,0)</f>
      </c>
      <c r="D4229" s="5" t="str">
        <f>IF(OR(D4228=1,C4229=1),1,0)</f>
      </c>
      <c r="E4229" s="5" t="str">
        <f>IF(C4229=1,0,IF(D4228=1,E4228+1,0))</f>
      </c>
      <c r="F4229" s="5" t="str">
        <f>IF(AND(C4229=1,D4228=1),MIN(E4228,3),"")</f>
      </c>
    </row>
    <row r="4230">
      <c r="A4230" s="6">
        <v>1192</v>
      </c>
      <c r="B4230" s="6" t="str">
        <f>'Lineal Mixto'!$C$1196</f>
      </c>
      <c r="C4230" s="6" t="str">
        <f>IF(AND(B4230&gt;=$B$3034,B4230&lt;=$B$3035),1,0)</f>
      </c>
      <c r="D4230" s="6" t="str">
        <f>IF(OR(D4229=1,C4230=1),1,0)</f>
      </c>
      <c r="E4230" s="6" t="str">
        <f>IF(C4230=1,0,IF(D4229=1,E4229+1,0))</f>
      </c>
      <c r="F4230" s="6" t="str">
        <f>IF(AND(C4230=1,D4229=1),MIN(E4229,3),"")</f>
      </c>
    </row>
    <row r="4231">
      <c r="A4231" s="5">
        <v>1193</v>
      </c>
      <c r="B4231" s="5" t="str">
        <f>'Lineal Mixto'!$C$1197</f>
      </c>
      <c r="C4231" s="5" t="str">
        <f>IF(AND(B4231&gt;=$B$3034,B4231&lt;=$B$3035),1,0)</f>
      </c>
      <c r="D4231" s="5" t="str">
        <f>IF(OR(D4230=1,C4231=1),1,0)</f>
      </c>
      <c r="E4231" s="5" t="str">
        <f>IF(C4231=1,0,IF(D4230=1,E4230+1,0))</f>
      </c>
      <c r="F4231" s="5" t="str">
        <f>IF(AND(C4231=1,D4230=1),MIN(E4230,3),"")</f>
      </c>
    </row>
    <row r="4232">
      <c r="A4232" s="6">
        <v>1194</v>
      </c>
      <c r="B4232" s="6" t="str">
        <f>'Lineal Mixto'!$C$1198</f>
      </c>
      <c r="C4232" s="6" t="str">
        <f>IF(AND(B4232&gt;=$B$3034,B4232&lt;=$B$3035),1,0)</f>
      </c>
      <c r="D4232" s="6" t="str">
        <f>IF(OR(D4231=1,C4232=1),1,0)</f>
      </c>
      <c r="E4232" s="6" t="str">
        <f>IF(C4232=1,0,IF(D4231=1,E4231+1,0))</f>
      </c>
      <c r="F4232" s="6" t="str">
        <f>IF(AND(C4232=1,D4231=1),MIN(E4231,3),"")</f>
      </c>
    </row>
    <row r="4233">
      <c r="A4233" s="5">
        <v>1195</v>
      </c>
      <c r="B4233" s="5" t="str">
        <f>'Lineal Mixto'!$C$1199</f>
      </c>
      <c r="C4233" s="5" t="str">
        <f>IF(AND(B4233&gt;=$B$3034,B4233&lt;=$B$3035),1,0)</f>
      </c>
      <c r="D4233" s="5" t="str">
        <f>IF(OR(D4232=1,C4233=1),1,0)</f>
      </c>
      <c r="E4233" s="5" t="str">
        <f>IF(C4233=1,0,IF(D4232=1,E4232+1,0))</f>
      </c>
      <c r="F4233" s="5" t="str">
        <f>IF(AND(C4233=1,D4232=1),MIN(E4232,3),"")</f>
      </c>
    </row>
    <row r="4234">
      <c r="A4234" s="6">
        <v>1196</v>
      </c>
      <c r="B4234" s="6" t="str">
        <f>'Lineal Mixto'!$C$1200</f>
      </c>
      <c r="C4234" s="6" t="str">
        <f>IF(AND(B4234&gt;=$B$3034,B4234&lt;=$B$3035),1,0)</f>
      </c>
      <c r="D4234" s="6" t="str">
        <f>IF(OR(D4233=1,C4234=1),1,0)</f>
      </c>
      <c r="E4234" s="6" t="str">
        <f>IF(C4234=1,0,IF(D4233=1,E4233+1,0))</f>
      </c>
      <c r="F4234" s="6" t="str">
        <f>IF(AND(C4234=1,D4233=1),MIN(E4233,3),"")</f>
      </c>
    </row>
    <row r="4235">
      <c r="A4235" s="5">
        <v>1197</v>
      </c>
      <c r="B4235" s="5" t="str">
        <f>'Lineal Mixto'!$C$1201</f>
      </c>
      <c r="C4235" s="5" t="str">
        <f>IF(AND(B4235&gt;=$B$3034,B4235&lt;=$B$3035),1,0)</f>
      </c>
      <c r="D4235" s="5" t="str">
        <f>IF(OR(D4234=1,C4235=1),1,0)</f>
      </c>
      <c r="E4235" s="5" t="str">
        <f>IF(C4235=1,0,IF(D4234=1,E4234+1,0))</f>
      </c>
      <c r="F4235" s="5" t="str">
        <f>IF(AND(C4235=1,D4234=1),MIN(E4234,3),"")</f>
      </c>
    </row>
    <row r="4236">
      <c r="A4236" s="6">
        <v>1198</v>
      </c>
      <c r="B4236" s="6" t="str">
        <f>'Lineal Mixto'!$C$1202</f>
      </c>
      <c r="C4236" s="6" t="str">
        <f>IF(AND(B4236&gt;=$B$3034,B4236&lt;=$B$3035),1,0)</f>
      </c>
      <c r="D4236" s="6" t="str">
        <f>IF(OR(D4235=1,C4236=1),1,0)</f>
      </c>
      <c r="E4236" s="6" t="str">
        <f>IF(C4236=1,0,IF(D4235=1,E4235+1,0))</f>
      </c>
      <c r="F4236" s="6" t="str">
        <f>IF(AND(C4236=1,D4235=1),MIN(E4235,3),"")</f>
      </c>
    </row>
    <row r="4237">
      <c r="A4237" s="5">
        <v>1199</v>
      </c>
      <c r="B4237" s="5" t="str">
        <f>'Lineal Mixto'!$C$1203</f>
      </c>
      <c r="C4237" s="5" t="str">
        <f>IF(AND(B4237&gt;=$B$3034,B4237&lt;=$B$3035),1,0)</f>
      </c>
      <c r="D4237" s="5" t="str">
        <f>IF(OR(D4236=1,C4237=1),1,0)</f>
      </c>
      <c r="E4237" s="5" t="str">
        <f>IF(C4237=1,0,IF(D4236=1,E4236+1,0))</f>
      </c>
      <c r="F4237" s="5" t="str">
        <f>IF(AND(C4237=1,D4236=1),MIN(E4236,3),"")</f>
      </c>
    </row>
    <row r="4238">
      <c r="A4238" s="6">
        <v>1200</v>
      </c>
      <c r="B4238" s="6" t="str">
        <f>'Lineal Mixto'!$C$1204</f>
      </c>
      <c r="C4238" s="6" t="str">
        <f>IF(AND(B4238&gt;=$B$3034,B4238&lt;=$B$3035),1,0)</f>
      </c>
      <c r="D4238" s="6" t="str">
        <f>IF(OR(D4237=1,C4238=1),1,0)</f>
      </c>
      <c r="E4238" s="6" t="str">
        <f>IF(C4238=1,0,IF(D4237=1,E4237+1,0))</f>
      </c>
      <c r="F4238" s="6" t="str">
        <f>IF(AND(C4238=1,D4237=1),MIN(E4237,3),"")</f>
      </c>
    </row>
    <row r="4239">
      <c r="A4239" s="5">
        <v>1201</v>
      </c>
      <c r="B4239" s="5" t="str">
        <f>'Lineal Mixto'!$C$1205</f>
      </c>
      <c r="C4239" s="5" t="str">
        <f>IF(AND(B4239&gt;=$B$3034,B4239&lt;=$B$3035),1,0)</f>
      </c>
      <c r="D4239" s="5" t="str">
        <f>IF(OR(D4238=1,C4239=1),1,0)</f>
      </c>
      <c r="E4239" s="5" t="str">
        <f>IF(C4239=1,0,IF(D4238=1,E4238+1,0))</f>
      </c>
      <c r="F4239" s="5" t="str">
        <f>IF(AND(C4239=1,D4238=1),MIN(E4238,3),"")</f>
      </c>
    </row>
    <row r="4240">
      <c r="A4240" s="6">
        <v>1202</v>
      </c>
      <c r="B4240" s="6" t="str">
        <f>'Lineal Mixto'!$C$1206</f>
      </c>
      <c r="C4240" s="6" t="str">
        <f>IF(AND(B4240&gt;=$B$3034,B4240&lt;=$B$3035),1,0)</f>
      </c>
      <c r="D4240" s="6" t="str">
        <f>IF(OR(D4239=1,C4240=1),1,0)</f>
      </c>
      <c r="E4240" s="6" t="str">
        <f>IF(C4240=1,0,IF(D4239=1,E4239+1,0))</f>
      </c>
      <c r="F4240" s="6" t="str">
        <f>IF(AND(C4240=1,D4239=1),MIN(E4239,3),"")</f>
      </c>
    </row>
    <row r="4241">
      <c r="A4241" s="5">
        <v>1203</v>
      </c>
      <c r="B4241" s="5" t="str">
        <f>'Lineal Mixto'!$C$1207</f>
      </c>
      <c r="C4241" s="5" t="str">
        <f>IF(AND(B4241&gt;=$B$3034,B4241&lt;=$B$3035),1,0)</f>
      </c>
      <c r="D4241" s="5" t="str">
        <f>IF(OR(D4240=1,C4241=1),1,0)</f>
      </c>
      <c r="E4241" s="5" t="str">
        <f>IF(C4241=1,0,IF(D4240=1,E4240+1,0))</f>
      </c>
      <c r="F4241" s="5" t="str">
        <f>IF(AND(C4241=1,D4240=1),MIN(E4240,3),"")</f>
      </c>
    </row>
    <row r="4242">
      <c r="A4242" s="6">
        <v>1204</v>
      </c>
      <c r="B4242" s="6" t="str">
        <f>'Lineal Mixto'!$C$1208</f>
      </c>
      <c r="C4242" s="6" t="str">
        <f>IF(AND(B4242&gt;=$B$3034,B4242&lt;=$B$3035),1,0)</f>
      </c>
      <c r="D4242" s="6" t="str">
        <f>IF(OR(D4241=1,C4242=1),1,0)</f>
      </c>
      <c r="E4242" s="6" t="str">
        <f>IF(C4242=1,0,IF(D4241=1,E4241+1,0))</f>
      </c>
      <c r="F4242" s="6" t="str">
        <f>IF(AND(C4242=1,D4241=1),MIN(E4241,3),"")</f>
      </c>
    </row>
    <row r="4243">
      <c r="A4243" s="5">
        <v>1205</v>
      </c>
      <c r="B4243" s="5" t="str">
        <f>'Lineal Mixto'!$C$1209</f>
      </c>
      <c r="C4243" s="5" t="str">
        <f>IF(AND(B4243&gt;=$B$3034,B4243&lt;=$B$3035),1,0)</f>
      </c>
      <c r="D4243" s="5" t="str">
        <f>IF(OR(D4242=1,C4243=1),1,0)</f>
      </c>
      <c r="E4243" s="5" t="str">
        <f>IF(C4243=1,0,IF(D4242=1,E4242+1,0))</f>
      </c>
      <c r="F4243" s="5" t="str">
        <f>IF(AND(C4243=1,D4242=1),MIN(E4242,3),"")</f>
      </c>
    </row>
    <row r="4244">
      <c r="A4244" s="6">
        <v>1206</v>
      </c>
      <c r="B4244" s="6" t="str">
        <f>'Lineal Mixto'!$C$1210</f>
      </c>
      <c r="C4244" s="6" t="str">
        <f>IF(AND(B4244&gt;=$B$3034,B4244&lt;=$B$3035),1,0)</f>
      </c>
      <c r="D4244" s="6" t="str">
        <f>IF(OR(D4243=1,C4244=1),1,0)</f>
      </c>
      <c r="E4244" s="6" t="str">
        <f>IF(C4244=1,0,IF(D4243=1,E4243+1,0))</f>
      </c>
      <c r="F4244" s="6" t="str">
        <f>IF(AND(C4244=1,D4243=1),MIN(E4243,3),"")</f>
      </c>
    </row>
    <row r="4245">
      <c r="A4245" s="5">
        <v>1207</v>
      </c>
      <c r="B4245" s="5" t="str">
        <f>'Lineal Mixto'!$C$1211</f>
      </c>
      <c r="C4245" s="5" t="str">
        <f>IF(AND(B4245&gt;=$B$3034,B4245&lt;=$B$3035),1,0)</f>
      </c>
      <c r="D4245" s="5" t="str">
        <f>IF(OR(D4244=1,C4245=1),1,0)</f>
      </c>
      <c r="E4245" s="5" t="str">
        <f>IF(C4245=1,0,IF(D4244=1,E4244+1,0))</f>
      </c>
      <c r="F4245" s="5" t="str">
        <f>IF(AND(C4245=1,D4244=1),MIN(E4244,3),"")</f>
      </c>
    </row>
    <row r="4246">
      <c r="A4246" s="6">
        <v>1208</v>
      </c>
      <c r="B4246" s="6" t="str">
        <f>'Lineal Mixto'!$C$1212</f>
      </c>
      <c r="C4246" s="6" t="str">
        <f>IF(AND(B4246&gt;=$B$3034,B4246&lt;=$B$3035),1,0)</f>
      </c>
      <c r="D4246" s="6" t="str">
        <f>IF(OR(D4245=1,C4246=1),1,0)</f>
      </c>
      <c r="E4246" s="6" t="str">
        <f>IF(C4246=1,0,IF(D4245=1,E4245+1,0))</f>
      </c>
      <c r="F4246" s="6" t="str">
        <f>IF(AND(C4246=1,D4245=1),MIN(E4245,3),"")</f>
      </c>
    </row>
    <row r="4247">
      <c r="A4247" s="5">
        <v>1209</v>
      </c>
      <c r="B4247" s="5" t="str">
        <f>'Lineal Mixto'!$C$1213</f>
      </c>
      <c r="C4247" s="5" t="str">
        <f>IF(AND(B4247&gt;=$B$3034,B4247&lt;=$B$3035),1,0)</f>
      </c>
      <c r="D4247" s="5" t="str">
        <f>IF(OR(D4246=1,C4247=1),1,0)</f>
      </c>
      <c r="E4247" s="5" t="str">
        <f>IF(C4247=1,0,IF(D4246=1,E4246+1,0))</f>
      </c>
      <c r="F4247" s="5" t="str">
        <f>IF(AND(C4247=1,D4246=1),MIN(E4246,3),"")</f>
      </c>
    </row>
    <row r="4248">
      <c r="A4248" s="6">
        <v>1210</v>
      </c>
      <c r="B4248" s="6" t="str">
        <f>'Lineal Mixto'!$C$1214</f>
      </c>
      <c r="C4248" s="6" t="str">
        <f>IF(AND(B4248&gt;=$B$3034,B4248&lt;=$B$3035),1,0)</f>
      </c>
      <c r="D4248" s="6" t="str">
        <f>IF(OR(D4247=1,C4248=1),1,0)</f>
      </c>
      <c r="E4248" s="6" t="str">
        <f>IF(C4248=1,0,IF(D4247=1,E4247+1,0))</f>
      </c>
      <c r="F4248" s="6" t="str">
        <f>IF(AND(C4248=1,D4247=1),MIN(E4247,3),"")</f>
      </c>
    </row>
    <row r="4249">
      <c r="A4249" s="5">
        <v>1211</v>
      </c>
      <c r="B4249" s="5" t="str">
        <f>'Lineal Mixto'!$C$1215</f>
      </c>
      <c r="C4249" s="5" t="str">
        <f>IF(AND(B4249&gt;=$B$3034,B4249&lt;=$B$3035),1,0)</f>
      </c>
      <c r="D4249" s="5" t="str">
        <f>IF(OR(D4248=1,C4249=1),1,0)</f>
      </c>
      <c r="E4249" s="5" t="str">
        <f>IF(C4249=1,0,IF(D4248=1,E4248+1,0))</f>
      </c>
      <c r="F4249" s="5" t="str">
        <f>IF(AND(C4249=1,D4248=1),MIN(E4248,3),"")</f>
      </c>
    </row>
    <row r="4250">
      <c r="A4250" s="6">
        <v>1212</v>
      </c>
      <c r="B4250" s="6" t="str">
        <f>'Lineal Mixto'!$C$1216</f>
      </c>
      <c r="C4250" s="6" t="str">
        <f>IF(AND(B4250&gt;=$B$3034,B4250&lt;=$B$3035),1,0)</f>
      </c>
      <c r="D4250" s="6" t="str">
        <f>IF(OR(D4249=1,C4250=1),1,0)</f>
      </c>
      <c r="E4250" s="6" t="str">
        <f>IF(C4250=1,0,IF(D4249=1,E4249+1,0))</f>
      </c>
      <c r="F4250" s="6" t="str">
        <f>IF(AND(C4250=1,D4249=1),MIN(E4249,3),"")</f>
      </c>
    </row>
    <row r="4251">
      <c r="A4251" s="5">
        <v>1213</v>
      </c>
      <c r="B4251" s="5" t="str">
        <f>'Lineal Mixto'!$C$1217</f>
      </c>
      <c r="C4251" s="5" t="str">
        <f>IF(AND(B4251&gt;=$B$3034,B4251&lt;=$B$3035),1,0)</f>
      </c>
      <c r="D4251" s="5" t="str">
        <f>IF(OR(D4250=1,C4251=1),1,0)</f>
      </c>
      <c r="E4251" s="5" t="str">
        <f>IF(C4251=1,0,IF(D4250=1,E4250+1,0))</f>
      </c>
      <c r="F4251" s="5" t="str">
        <f>IF(AND(C4251=1,D4250=1),MIN(E4250,3),"")</f>
      </c>
    </row>
    <row r="4252">
      <c r="A4252" s="6">
        <v>1214</v>
      </c>
      <c r="B4252" s="6" t="str">
        <f>'Lineal Mixto'!$C$1218</f>
      </c>
      <c r="C4252" s="6" t="str">
        <f>IF(AND(B4252&gt;=$B$3034,B4252&lt;=$B$3035),1,0)</f>
      </c>
      <c r="D4252" s="6" t="str">
        <f>IF(OR(D4251=1,C4252=1),1,0)</f>
      </c>
      <c r="E4252" s="6" t="str">
        <f>IF(C4252=1,0,IF(D4251=1,E4251+1,0))</f>
      </c>
      <c r="F4252" s="6" t="str">
        <f>IF(AND(C4252=1,D4251=1),MIN(E4251,3),"")</f>
      </c>
    </row>
    <row r="4253">
      <c r="A4253" s="5">
        <v>1215</v>
      </c>
      <c r="B4253" s="5" t="str">
        <f>'Lineal Mixto'!$C$1219</f>
      </c>
      <c r="C4253" s="5" t="str">
        <f>IF(AND(B4253&gt;=$B$3034,B4253&lt;=$B$3035),1,0)</f>
      </c>
      <c r="D4253" s="5" t="str">
        <f>IF(OR(D4252=1,C4253=1),1,0)</f>
      </c>
      <c r="E4253" s="5" t="str">
        <f>IF(C4253=1,0,IF(D4252=1,E4252+1,0))</f>
      </c>
      <c r="F4253" s="5" t="str">
        <f>IF(AND(C4253=1,D4252=1),MIN(E4252,3),"")</f>
      </c>
    </row>
    <row r="4254">
      <c r="A4254" s="6">
        <v>1216</v>
      </c>
      <c r="B4254" s="6" t="str">
        <f>'Lineal Mixto'!$C$1220</f>
      </c>
      <c r="C4254" s="6" t="str">
        <f>IF(AND(B4254&gt;=$B$3034,B4254&lt;=$B$3035),1,0)</f>
      </c>
      <c r="D4254" s="6" t="str">
        <f>IF(OR(D4253=1,C4254=1),1,0)</f>
      </c>
      <c r="E4254" s="6" t="str">
        <f>IF(C4254=1,0,IF(D4253=1,E4253+1,0))</f>
      </c>
      <c r="F4254" s="6" t="str">
        <f>IF(AND(C4254=1,D4253=1),MIN(E4253,3),"")</f>
      </c>
    </row>
    <row r="4255">
      <c r="A4255" s="5">
        <v>1217</v>
      </c>
      <c r="B4255" s="5" t="str">
        <f>'Lineal Mixto'!$C$1221</f>
      </c>
      <c r="C4255" s="5" t="str">
        <f>IF(AND(B4255&gt;=$B$3034,B4255&lt;=$B$3035),1,0)</f>
      </c>
      <c r="D4255" s="5" t="str">
        <f>IF(OR(D4254=1,C4255=1),1,0)</f>
      </c>
      <c r="E4255" s="5" t="str">
        <f>IF(C4255=1,0,IF(D4254=1,E4254+1,0))</f>
      </c>
      <c r="F4255" s="5" t="str">
        <f>IF(AND(C4255=1,D4254=1),MIN(E4254,3),"")</f>
      </c>
    </row>
    <row r="4256">
      <c r="A4256" s="6">
        <v>1218</v>
      </c>
      <c r="B4256" s="6" t="str">
        <f>'Lineal Mixto'!$C$1222</f>
      </c>
      <c r="C4256" s="6" t="str">
        <f>IF(AND(B4256&gt;=$B$3034,B4256&lt;=$B$3035),1,0)</f>
      </c>
      <c r="D4256" s="6" t="str">
        <f>IF(OR(D4255=1,C4256=1),1,0)</f>
      </c>
      <c r="E4256" s="6" t="str">
        <f>IF(C4256=1,0,IF(D4255=1,E4255+1,0))</f>
      </c>
      <c r="F4256" s="6" t="str">
        <f>IF(AND(C4256=1,D4255=1),MIN(E4255,3),"")</f>
      </c>
    </row>
    <row r="4257">
      <c r="A4257" s="5">
        <v>1219</v>
      </c>
      <c r="B4257" s="5" t="str">
        <f>'Lineal Mixto'!$C$1223</f>
      </c>
      <c r="C4257" s="5" t="str">
        <f>IF(AND(B4257&gt;=$B$3034,B4257&lt;=$B$3035),1,0)</f>
      </c>
      <c r="D4257" s="5" t="str">
        <f>IF(OR(D4256=1,C4257=1),1,0)</f>
      </c>
      <c r="E4257" s="5" t="str">
        <f>IF(C4257=1,0,IF(D4256=1,E4256+1,0))</f>
      </c>
      <c r="F4257" s="5" t="str">
        <f>IF(AND(C4257=1,D4256=1),MIN(E4256,3),"")</f>
      </c>
    </row>
    <row r="4258">
      <c r="A4258" s="6">
        <v>1220</v>
      </c>
      <c r="B4258" s="6" t="str">
        <f>'Lineal Mixto'!$C$1224</f>
      </c>
      <c r="C4258" s="6" t="str">
        <f>IF(AND(B4258&gt;=$B$3034,B4258&lt;=$B$3035),1,0)</f>
      </c>
      <c r="D4258" s="6" t="str">
        <f>IF(OR(D4257=1,C4258=1),1,0)</f>
      </c>
      <c r="E4258" s="6" t="str">
        <f>IF(C4258=1,0,IF(D4257=1,E4257+1,0))</f>
      </c>
      <c r="F4258" s="6" t="str">
        <f>IF(AND(C4258=1,D4257=1),MIN(E4257,3),"")</f>
      </c>
    </row>
    <row r="4259">
      <c r="A4259" s="5">
        <v>1221</v>
      </c>
      <c r="B4259" s="5" t="str">
        <f>'Lineal Mixto'!$C$1225</f>
      </c>
      <c r="C4259" s="5" t="str">
        <f>IF(AND(B4259&gt;=$B$3034,B4259&lt;=$B$3035),1,0)</f>
      </c>
      <c r="D4259" s="5" t="str">
        <f>IF(OR(D4258=1,C4259=1),1,0)</f>
      </c>
      <c r="E4259" s="5" t="str">
        <f>IF(C4259=1,0,IF(D4258=1,E4258+1,0))</f>
      </c>
      <c r="F4259" s="5" t="str">
        <f>IF(AND(C4259=1,D4258=1),MIN(E4258,3),"")</f>
      </c>
    </row>
    <row r="4260">
      <c r="A4260" s="6">
        <v>1222</v>
      </c>
      <c r="B4260" s="6" t="str">
        <f>'Lineal Mixto'!$C$1226</f>
      </c>
      <c r="C4260" s="6" t="str">
        <f>IF(AND(B4260&gt;=$B$3034,B4260&lt;=$B$3035),1,0)</f>
      </c>
      <c r="D4260" s="6" t="str">
        <f>IF(OR(D4259=1,C4260=1),1,0)</f>
      </c>
      <c r="E4260" s="6" t="str">
        <f>IF(C4260=1,0,IF(D4259=1,E4259+1,0))</f>
      </c>
      <c r="F4260" s="6" t="str">
        <f>IF(AND(C4260=1,D4259=1),MIN(E4259,3),"")</f>
      </c>
    </row>
    <row r="4261">
      <c r="A4261" s="5">
        <v>1223</v>
      </c>
      <c r="B4261" s="5" t="str">
        <f>'Lineal Mixto'!$C$1227</f>
      </c>
      <c r="C4261" s="5" t="str">
        <f>IF(AND(B4261&gt;=$B$3034,B4261&lt;=$B$3035),1,0)</f>
      </c>
      <c r="D4261" s="5" t="str">
        <f>IF(OR(D4260=1,C4261=1),1,0)</f>
      </c>
      <c r="E4261" s="5" t="str">
        <f>IF(C4261=1,0,IF(D4260=1,E4260+1,0))</f>
      </c>
      <c r="F4261" s="5" t="str">
        <f>IF(AND(C4261=1,D4260=1),MIN(E4260,3),"")</f>
      </c>
    </row>
    <row r="4262">
      <c r="A4262" s="6">
        <v>1224</v>
      </c>
      <c r="B4262" s="6" t="str">
        <f>'Lineal Mixto'!$C$1228</f>
      </c>
      <c r="C4262" s="6" t="str">
        <f>IF(AND(B4262&gt;=$B$3034,B4262&lt;=$B$3035),1,0)</f>
      </c>
      <c r="D4262" s="6" t="str">
        <f>IF(OR(D4261=1,C4262=1),1,0)</f>
      </c>
      <c r="E4262" s="6" t="str">
        <f>IF(C4262=1,0,IF(D4261=1,E4261+1,0))</f>
      </c>
      <c r="F4262" s="6" t="str">
        <f>IF(AND(C4262=1,D4261=1),MIN(E4261,3),"")</f>
      </c>
    </row>
    <row r="4263">
      <c r="A4263" s="5">
        <v>1225</v>
      </c>
      <c r="B4263" s="5" t="str">
        <f>'Lineal Mixto'!$C$1229</f>
      </c>
      <c r="C4263" s="5" t="str">
        <f>IF(AND(B4263&gt;=$B$3034,B4263&lt;=$B$3035),1,0)</f>
      </c>
      <c r="D4263" s="5" t="str">
        <f>IF(OR(D4262=1,C4263=1),1,0)</f>
      </c>
      <c r="E4263" s="5" t="str">
        <f>IF(C4263=1,0,IF(D4262=1,E4262+1,0))</f>
      </c>
      <c r="F4263" s="5" t="str">
        <f>IF(AND(C4263=1,D4262=1),MIN(E4262,3),"")</f>
      </c>
    </row>
    <row r="4264">
      <c r="A4264" s="6">
        <v>1226</v>
      </c>
      <c r="B4264" s="6" t="str">
        <f>'Lineal Mixto'!$C$1230</f>
      </c>
      <c r="C4264" s="6" t="str">
        <f>IF(AND(B4264&gt;=$B$3034,B4264&lt;=$B$3035),1,0)</f>
      </c>
      <c r="D4264" s="6" t="str">
        <f>IF(OR(D4263=1,C4264=1),1,0)</f>
      </c>
      <c r="E4264" s="6" t="str">
        <f>IF(C4264=1,0,IF(D4263=1,E4263+1,0))</f>
      </c>
      <c r="F4264" s="6" t="str">
        <f>IF(AND(C4264=1,D4263=1),MIN(E4263,3),"")</f>
      </c>
    </row>
    <row r="4265">
      <c r="A4265" s="5">
        <v>1227</v>
      </c>
      <c r="B4265" s="5" t="str">
        <f>'Lineal Mixto'!$C$1231</f>
      </c>
      <c r="C4265" s="5" t="str">
        <f>IF(AND(B4265&gt;=$B$3034,B4265&lt;=$B$3035),1,0)</f>
      </c>
      <c r="D4265" s="5" t="str">
        <f>IF(OR(D4264=1,C4265=1),1,0)</f>
      </c>
      <c r="E4265" s="5" t="str">
        <f>IF(C4265=1,0,IF(D4264=1,E4264+1,0))</f>
      </c>
      <c r="F4265" s="5" t="str">
        <f>IF(AND(C4265=1,D4264=1),MIN(E4264,3),"")</f>
      </c>
    </row>
    <row r="4266">
      <c r="A4266" s="6">
        <v>1228</v>
      </c>
      <c r="B4266" s="6" t="str">
        <f>'Lineal Mixto'!$C$1232</f>
      </c>
      <c r="C4266" s="6" t="str">
        <f>IF(AND(B4266&gt;=$B$3034,B4266&lt;=$B$3035),1,0)</f>
      </c>
      <c r="D4266" s="6" t="str">
        <f>IF(OR(D4265=1,C4266=1),1,0)</f>
      </c>
      <c r="E4266" s="6" t="str">
        <f>IF(C4266=1,0,IF(D4265=1,E4265+1,0))</f>
      </c>
      <c r="F4266" s="6" t="str">
        <f>IF(AND(C4266=1,D4265=1),MIN(E4265,3),"")</f>
      </c>
    </row>
    <row r="4267">
      <c r="A4267" s="5">
        <v>1229</v>
      </c>
      <c r="B4267" s="5" t="str">
        <f>'Lineal Mixto'!$C$1233</f>
      </c>
      <c r="C4267" s="5" t="str">
        <f>IF(AND(B4267&gt;=$B$3034,B4267&lt;=$B$3035),1,0)</f>
      </c>
      <c r="D4267" s="5" t="str">
        <f>IF(OR(D4266=1,C4267=1),1,0)</f>
      </c>
      <c r="E4267" s="5" t="str">
        <f>IF(C4267=1,0,IF(D4266=1,E4266+1,0))</f>
      </c>
      <c r="F4267" s="5" t="str">
        <f>IF(AND(C4267=1,D4266=1),MIN(E4266,3),"")</f>
      </c>
    </row>
    <row r="4268">
      <c r="A4268" s="6">
        <v>1230</v>
      </c>
      <c r="B4268" s="6" t="str">
        <f>'Lineal Mixto'!$C$1234</f>
      </c>
      <c r="C4268" s="6" t="str">
        <f>IF(AND(B4268&gt;=$B$3034,B4268&lt;=$B$3035),1,0)</f>
      </c>
      <c r="D4268" s="6" t="str">
        <f>IF(OR(D4267=1,C4268=1),1,0)</f>
      </c>
      <c r="E4268" s="6" t="str">
        <f>IF(C4268=1,0,IF(D4267=1,E4267+1,0))</f>
      </c>
      <c r="F4268" s="6" t="str">
        <f>IF(AND(C4268=1,D4267=1),MIN(E4267,3),"")</f>
      </c>
    </row>
    <row r="4269">
      <c r="A4269" s="5">
        <v>1231</v>
      </c>
      <c r="B4269" s="5" t="str">
        <f>'Lineal Mixto'!$C$1235</f>
      </c>
      <c r="C4269" s="5" t="str">
        <f>IF(AND(B4269&gt;=$B$3034,B4269&lt;=$B$3035),1,0)</f>
      </c>
      <c r="D4269" s="5" t="str">
        <f>IF(OR(D4268=1,C4269=1),1,0)</f>
      </c>
      <c r="E4269" s="5" t="str">
        <f>IF(C4269=1,0,IF(D4268=1,E4268+1,0))</f>
      </c>
      <c r="F4269" s="5" t="str">
        <f>IF(AND(C4269=1,D4268=1),MIN(E4268,3),"")</f>
      </c>
    </row>
    <row r="4270">
      <c r="A4270" s="6">
        <v>1232</v>
      </c>
      <c r="B4270" s="6" t="str">
        <f>'Lineal Mixto'!$C$1236</f>
      </c>
      <c r="C4270" s="6" t="str">
        <f>IF(AND(B4270&gt;=$B$3034,B4270&lt;=$B$3035),1,0)</f>
      </c>
      <c r="D4270" s="6" t="str">
        <f>IF(OR(D4269=1,C4270=1),1,0)</f>
      </c>
      <c r="E4270" s="6" t="str">
        <f>IF(C4270=1,0,IF(D4269=1,E4269+1,0))</f>
      </c>
      <c r="F4270" s="6" t="str">
        <f>IF(AND(C4270=1,D4269=1),MIN(E4269,3),"")</f>
      </c>
    </row>
    <row r="4271">
      <c r="A4271" s="5">
        <v>1233</v>
      </c>
      <c r="B4271" s="5" t="str">
        <f>'Lineal Mixto'!$C$1237</f>
      </c>
      <c r="C4271" s="5" t="str">
        <f>IF(AND(B4271&gt;=$B$3034,B4271&lt;=$B$3035),1,0)</f>
      </c>
      <c r="D4271" s="5" t="str">
        <f>IF(OR(D4270=1,C4271=1),1,0)</f>
      </c>
      <c r="E4271" s="5" t="str">
        <f>IF(C4271=1,0,IF(D4270=1,E4270+1,0))</f>
      </c>
      <c r="F4271" s="5" t="str">
        <f>IF(AND(C4271=1,D4270=1),MIN(E4270,3),"")</f>
      </c>
    </row>
    <row r="4272">
      <c r="A4272" s="6">
        <v>1234</v>
      </c>
      <c r="B4272" s="6" t="str">
        <f>'Lineal Mixto'!$C$1238</f>
      </c>
      <c r="C4272" s="6" t="str">
        <f>IF(AND(B4272&gt;=$B$3034,B4272&lt;=$B$3035),1,0)</f>
      </c>
      <c r="D4272" s="6" t="str">
        <f>IF(OR(D4271=1,C4272=1),1,0)</f>
      </c>
      <c r="E4272" s="6" t="str">
        <f>IF(C4272=1,0,IF(D4271=1,E4271+1,0))</f>
      </c>
      <c r="F4272" s="6" t="str">
        <f>IF(AND(C4272=1,D4271=1),MIN(E4271,3),"")</f>
      </c>
    </row>
    <row r="4273">
      <c r="A4273" s="5">
        <v>1235</v>
      </c>
      <c r="B4273" s="5" t="str">
        <f>'Lineal Mixto'!$C$1239</f>
      </c>
      <c r="C4273" s="5" t="str">
        <f>IF(AND(B4273&gt;=$B$3034,B4273&lt;=$B$3035),1,0)</f>
      </c>
      <c r="D4273" s="5" t="str">
        <f>IF(OR(D4272=1,C4273=1),1,0)</f>
      </c>
      <c r="E4273" s="5" t="str">
        <f>IF(C4273=1,0,IF(D4272=1,E4272+1,0))</f>
      </c>
      <c r="F4273" s="5" t="str">
        <f>IF(AND(C4273=1,D4272=1),MIN(E4272,3),"")</f>
      </c>
    </row>
    <row r="4274">
      <c r="A4274" s="6">
        <v>1236</v>
      </c>
      <c r="B4274" s="6" t="str">
        <f>'Lineal Mixto'!$C$1240</f>
      </c>
      <c r="C4274" s="6" t="str">
        <f>IF(AND(B4274&gt;=$B$3034,B4274&lt;=$B$3035),1,0)</f>
      </c>
      <c r="D4274" s="6" t="str">
        <f>IF(OR(D4273=1,C4274=1),1,0)</f>
      </c>
      <c r="E4274" s="6" t="str">
        <f>IF(C4274=1,0,IF(D4273=1,E4273+1,0))</f>
      </c>
      <c r="F4274" s="6" t="str">
        <f>IF(AND(C4274=1,D4273=1),MIN(E4273,3),"")</f>
      </c>
    </row>
    <row r="4275">
      <c r="A4275" s="5">
        <v>1237</v>
      </c>
      <c r="B4275" s="5" t="str">
        <f>'Lineal Mixto'!$C$1241</f>
      </c>
      <c r="C4275" s="5" t="str">
        <f>IF(AND(B4275&gt;=$B$3034,B4275&lt;=$B$3035),1,0)</f>
      </c>
      <c r="D4275" s="5" t="str">
        <f>IF(OR(D4274=1,C4275=1),1,0)</f>
      </c>
      <c r="E4275" s="5" t="str">
        <f>IF(C4275=1,0,IF(D4274=1,E4274+1,0))</f>
      </c>
      <c r="F4275" s="5" t="str">
        <f>IF(AND(C4275=1,D4274=1),MIN(E4274,3),"")</f>
      </c>
    </row>
    <row r="4276">
      <c r="A4276" s="6">
        <v>1238</v>
      </c>
      <c r="B4276" s="6" t="str">
        <f>'Lineal Mixto'!$C$1242</f>
      </c>
      <c r="C4276" s="6" t="str">
        <f>IF(AND(B4276&gt;=$B$3034,B4276&lt;=$B$3035),1,0)</f>
      </c>
      <c r="D4276" s="6" t="str">
        <f>IF(OR(D4275=1,C4276=1),1,0)</f>
      </c>
      <c r="E4276" s="6" t="str">
        <f>IF(C4276=1,0,IF(D4275=1,E4275+1,0))</f>
      </c>
      <c r="F4276" s="6" t="str">
        <f>IF(AND(C4276=1,D4275=1),MIN(E4275,3),"")</f>
      </c>
    </row>
    <row r="4277">
      <c r="A4277" s="5">
        <v>1239</v>
      </c>
      <c r="B4277" s="5" t="str">
        <f>'Lineal Mixto'!$C$1243</f>
      </c>
      <c r="C4277" s="5" t="str">
        <f>IF(AND(B4277&gt;=$B$3034,B4277&lt;=$B$3035),1,0)</f>
      </c>
      <c r="D4277" s="5" t="str">
        <f>IF(OR(D4276=1,C4277=1),1,0)</f>
      </c>
      <c r="E4277" s="5" t="str">
        <f>IF(C4277=1,0,IF(D4276=1,E4276+1,0))</f>
      </c>
      <c r="F4277" s="5" t="str">
        <f>IF(AND(C4277=1,D4276=1),MIN(E4276,3),"")</f>
      </c>
    </row>
    <row r="4278">
      <c r="A4278" s="6">
        <v>1240</v>
      </c>
      <c r="B4278" s="6" t="str">
        <f>'Lineal Mixto'!$C$1244</f>
      </c>
      <c r="C4278" s="6" t="str">
        <f>IF(AND(B4278&gt;=$B$3034,B4278&lt;=$B$3035),1,0)</f>
      </c>
      <c r="D4278" s="6" t="str">
        <f>IF(OR(D4277=1,C4278=1),1,0)</f>
      </c>
      <c r="E4278" s="6" t="str">
        <f>IF(C4278=1,0,IF(D4277=1,E4277+1,0))</f>
      </c>
      <c r="F4278" s="6" t="str">
        <f>IF(AND(C4278=1,D4277=1),MIN(E4277,3),"")</f>
      </c>
    </row>
    <row r="4279">
      <c r="A4279" s="5">
        <v>1241</v>
      </c>
      <c r="B4279" s="5" t="str">
        <f>'Lineal Mixto'!$C$1245</f>
      </c>
      <c r="C4279" s="5" t="str">
        <f>IF(AND(B4279&gt;=$B$3034,B4279&lt;=$B$3035),1,0)</f>
      </c>
      <c r="D4279" s="5" t="str">
        <f>IF(OR(D4278=1,C4279=1),1,0)</f>
      </c>
      <c r="E4279" s="5" t="str">
        <f>IF(C4279=1,0,IF(D4278=1,E4278+1,0))</f>
      </c>
      <c r="F4279" s="5" t="str">
        <f>IF(AND(C4279=1,D4278=1),MIN(E4278,3),"")</f>
      </c>
    </row>
    <row r="4280">
      <c r="A4280" s="6">
        <v>1242</v>
      </c>
      <c r="B4280" s="6" t="str">
        <f>'Lineal Mixto'!$C$1246</f>
      </c>
      <c r="C4280" s="6" t="str">
        <f>IF(AND(B4280&gt;=$B$3034,B4280&lt;=$B$3035),1,0)</f>
      </c>
      <c r="D4280" s="6" t="str">
        <f>IF(OR(D4279=1,C4280=1),1,0)</f>
      </c>
      <c r="E4280" s="6" t="str">
        <f>IF(C4280=1,0,IF(D4279=1,E4279+1,0))</f>
      </c>
      <c r="F4280" s="6" t="str">
        <f>IF(AND(C4280=1,D4279=1),MIN(E4279,3),"")</f>
      </c>
    </row>
    <row r="4281">
      <c r="A4281" s="5">
        <v>1243</v>
      </c>
      <c r="B4281" s="5" t="str">
        <f>'Lineal Mixto'!$C$1247</f>
      </c>
      <c r="C4281" s="5" t="str">
        <f>IF(AND(B4281&gt;=$B$3034,B4281&lt;=$B$3035),1,0)</f>
      </c>
      <c r="D4281" s="5" t="str">
        <f>IF(OR(D4280=1,C4281=1),1,0)</f>
      </c>
      <c r="E4281" s="5" t="str">
        <f>IF(C4281=1,0,IF(D4280=1,E4280+1,0))</f>
      </c>
      <c r="F4281" s="5" t="str">
        <f>IF(AND(C4281=1,D4280=1),MIN(E4280,3),"")</f>
      </c>
    </row>
    <row r="4282">
      <c r="A4282" s="6">
        <v>1244</v>
      </c>
      <c r="B4282" s="6" t="str">
        <f>'Lineal Mixto'!$C$1248</f>
      </c>
      <c r="C4282" s="6" t="str">
        <f>IF(AND(B4282&gt;=$B$3034,B4282&lt;=$B$3035),1,0)</f>
      </c>
      <c r="D4282" s="6" t="str">
        <f>IF(OR(D4281=1,C4282=1),1,0)</f>
      </c>
      <c r="E4282" s="6" t="str">
        <f>IF(C4282=1,0,IF(D4281=1,E4281+1,0))</f>
      </c>
      <c r="F4282" s="6" t="str">
        <f>IF(AND(C4282=1,D4281=1),MIN(E4281,3),"")</f>
      </c>
    </row>
    <row r="4283">
      <c r="A4283" s="5">
        <v>1245</v>
      </c>
      <c r="B4283" s="5" t="str">
        <f>'Lineal Mixto'!$C$1249</f>
      </c>
      <c r="C4283" s="5" t="str">
        <f>IF(AND(B4283&gt;=$B$3034,B4283&lt;=$B$3035),1,0)</f>
      </c>
      <c r="D4283" s="5" t="str">
        <f>IF(OR(D4282=1,C4283=1),1,0)</f>
      </c>
      <c r="E4283" s="5" t="str">
        <f>IF(C4283=1,0,IF(D4282=1,E4282+1,0))</f>
      </c>
      <c r="F4283" s="5" t="str">
        <f>IF(AND(C4283=1,D4282=1),MIN(E4282,3),"")</f>
      </c>
    </row>
    <row r="4284">
      <c r="A4284" s="6">
        <v>1246</v>
      </c>
      <c r="B4284" s="6" t="str">
        <f>'Lineal Mixto'!$C$1250</f>
      </c>
      <c r="C4284" s="6" t="str">
        <f>IF(AND(B4284&gt;=$B$3034,B4284&lt;=$B$3035),1,0)</f>
      </c>
      <c r="D4284" s="6" t="str">
        <f>IF(OR(D4283=1,C4284=1),1,0)</f>
      </c>
      <c r="E4284" s="6" t="str">
        <f>IF(C4284=1,0,IF(D4283=1,E4283+1,0))</f>
      </c>
      <c r="F4284" s="6" t="str">
        <f>IF(AND(C4284=1,D4283=1),MIN(E4283,3),"")</f>
      </c>
    </row>
    <row r="4285">
      <c r="A4285" s="5">
        <v>1247</v>
      </c>
      <c r="B4285" s="5" t="str">
        <f>'Lineal Mixto'!$C$1251</f>
      </c>
      <c r="C4285" s="5" t="str">
        <f>IF(AND(B4285&gt;=$B$3034,B4285&lt;=$B$3035),1,0)</f>
      </c>
      <c r="D4285" s="5" t="str">
        <f>IF(OR(D4284=1,C4285=1),1,0)</f>
      </c>
      <c r="E4285" s="5" t="str">
        <f>IF(C4285=1,0,IF(D4284=1,E4284+1,0))</f>
      </c>
      <c r="F4285" s="5" t="str">
        <f>IF(AND(C4285=1,D4284=1),MIN(E4284,3),"")</f>
      </c>
    </row>
    <row r="4286">
      <c r="A4286" s="6">
        <v>1248</v>
      </c>
      <c r="B4286" s="6" t="str">
        <f>'Lineal Mixto'!$C$1252</f>
      </c>
      <c r="C4286" s="6" t="str">
        <f>IF(AND(B4286&gt;=$B$3034,B4286&lt;=$B$3035),1,0)</f>
      </c>
      <c r="D4286" s="6" t="str">
        <f>IF(OR(D4285=1,C4286=1),1,0)</f>
      </c>
      <c r="E4286" s="6" t="str">
        <f>IF(C4286=1,0,IF(D4285=1,E4285+1,0))</f>
      </c>
      <c r="F4286" s="6" t="str">
        <f>IF(AND(C4286=1,D4285=1),MIN(E4285,3),"")</f>
      </c>
    </row>
    <row r="4287">
      <c r="A4287" s="5">
        <v>1249</v>
      </c>
      <c r="B4287" s="5" t="str">
        <f>'Lineal Mixto'!$C$1253</f>
      </c>
      <c r="C4287" s="5" t="str">
        <f>IF(AND(B4287&gt;=$B$3034,B4287&lt;=$B$3035),1,0)</f>
      </c>
      <c r="D4287" s="5" t="str">
        <f>IF(OR(D4286=1,C4287=1),1,0)</f>
      </c>
      <c r="E4287" s="5" t="str">
        <f>IF(C4287=1,0,IF(D4286=1,E4286+1,0))</f>
      </c>
      <c r="F4287" s="5" t="str">
        <f>IF(AND(C4287=1,D4286=1),MIN(E4286,3),"")</f>
      </c>
    </row>
    <row r="4288">
      <c r="A4288" s="6">
        <v>1250</v>
      </c>
      <c r="B4288" s="6" t="str">
        <f>'Lineal Mixto'!$C$1254</f>
      </c>
      <c r="C4288" s="6" t="str">
        <f>IF(AND(B4288&gt;=$B$3034,B4288&lt;=$B$3035),1,0)</f>
      </c>
      <c r="D4288" s="6" t="str">
        <f>IF(OR(D4287=1,C4288=1),1,0)</f>
      </c>
      <c r="E4288" s="6" t="str">
        <f>IF(C4288=1,0,IF(D4287=1,E4287+1,0))</f>
      </c>
      <c r="F4288" s="6" t="str">
        <f>IF(AND(C4288=1,D4287=1),MIN(E4287,3),"")</f>
      </c>
    </row>
    <row r="4289">
      <c r="A4289" s="5">
        <v>1251</v>
      </c>
      <c r="B4289" s="5" t="str">
        <f>'Lineal Mixto'!$C$1255</f>
      </c>
      <c r="C4289" s="5" t="str">
        <f>IF(AND(B4289&gt;=$B$3034,B4289&lt;=$B$3035),1,0)</f>
      </c>
      <c r="D4289" s="5" t="str">
        <f>IF(OR(D4288=1,C4289=1),1,0)</f>
      </c>
      <c r="E4289" s="5" t="str">
        <f>IF(C4289=1,0,IF(D4288=1,E4288+1,0))</f>
      </c>
      <c r="F4289" s="5" t="str">
        <f>IF(AND(C4289=1,D4288=1),MIN(E4288,3),"")</f>
      </c>
    </row>
    <row r="4290">
      <c r="A4290" s="6">
        <v>1252</v>
      </c>
      <c r="B4290" s="6" t="str">
        <f>'Lineal Mixto'!$C$1256</f>
      </c>
      <c r="C4290" s="6" t="str">
        <f>IF(AND(B4290&gt;=$B$3034,B4290&lt;=$B$3035),1,0)</f>
      </c>
      <c r="D4290" s="6" t="str">
        <f>IF(OR(D4289=1,C4290=1),1,0)</f>
      </c>
      <c r="E4290" s="6" t="str">
        <f>IF(C4290=1,0,IF(D4289=1,E4289+1,0))</f>
      </c>
      <c r="F4290" s="6" t="str">
        <f>IF(AND(C4290=1,D4289=1),MIN(E4289,3),"")</f>
      </c>
    </row>
    <row r="4291">
      <c r="A4291" s="5">
        <v>1253</v>
      </c>
      <c r="B4291" s="5" t="str">
        <f>'Lineal Mixto'!$C$1257</f>
      </c>
      <c r="C4291" s="5" t="str">
        <f>IF(AND(B4291&gt;=$B$3034,B4291&lt;=$B$3035),1,0)</f>
      </c>
      <c r="D4291" s="5" t="str">
        <f>IF(OR(D4290=1,C4291=1),1,0)</f>
      </c>
      <c r="E4291" s="5" t="str">
        <f>IF(C4291=1,0,IF(D4290=1,E4290+1,0))</f>
      </c>
      <c r="F4291" s="5" t="str">
        <f>IF(AND(C4291=1,D4290=1),MIN(E4290,3),"")</f>
      </c>
    </row>
    <row r="4292">
      <c r="A4292" s="6">
        <v>1254</v>
      </c>
      <c r="B4292" s="6" t="str">
        <f>'Lineal Mixto'!$C$1258</f>
      </c>
      <c r="C4292" s="6" t="str">
        <f>IF(AND(B4292&gt;=$B$3034,B4292&lt;=$B$3035),1,0)</f>
      </c>
      <c r="D4292" s="6" t="str">
        <f>IF(OR(D4291=1,C4292=1),1,0)</f>
      </c>
      <c r="E4292" s="6" t="str">
        <f>IF(C4292=1,0,IF(D4291=1,E4291+1,0))</f>
      </c>
      <c r="F4292" s="6" t="str">
        <f>IF(AND(C4292=1,D4291=1),MIN(E4291,3),"")</f>
      </c>
    </row>
    <row r="4293">
      <c r="A4293" s="5">
        <v>1255</v>
      </c>
      <c r="B4293" s="5" t="str">
        <f>'Lineal Mixto'!$C$1259</f>
      </c>
      <c r="C4293" s="5" t="str">
        <f>IF(AND(B4293&gt;=$B$3034,B4293&lt;=$B$3035),1,0)</f>
      </c>
      <c r="D4293" s="5" t="str">
        <f>IF(OR(D4292=1,C4293=1),1,0)</f>
      </c>
      <c r="E4293" s="5" t="str">
        <f>IF(C4293=1,0,IF(D4292=1,E4292+1,0))</f>
      </c>
      <c r="F4293" s="5" t="str">
        <f>IF(AND(C4293=1,D4292=1),MIN(E4292,3),"")</f>
      </c>
    </row>
    <row r="4294">
      <c r="A4294" s="6">
        <v>1256</v>
      </c>
      <c r="B4294" s="6" t="str">
        <f>'Lineal Mixto'!$C$1260</f>
      </c>
      <c r="C4294" s="6" t="str">
        <f>IF(AND(B4294&gt;=$B$3034,B4294&lt;=$B$3035),1,0)</f>
      </c>
      <c r="D4294" s="6" t="str">
        <f>IF(OR(D4293=1,C4294=1),1,0)</f>
      </c>
      <c r="E4294" s="6" t="str">
        <f>IF(C4294=1,0,IF(D4293=1,E4293+1,0))</f>
      </c>
      <c r="F4294" s="6" t="str">
        <f>IF(AND(C4294=1,D4293=1),MIN(E4293,3),"")</f>
      </c>
    </row>
    <row r="4295">
      <c r="A4295" s="5">
        <v>1257</v>
      </c>
      <c r="B4295" s="5" t="str">
        <f>'Lineal Mixto'!$C$1261</f>
      </c>
      <c r="C4295" s="5" t="str">
        <f>IF(AND(B4295&gt;=$B$3034,B4295&lt;=$B$3035),1,0)</f>
      </c>
      <c r="D4295" s="5" t="str">
        <f>IF(OR(D4294=1,C4295=1),1,0)</f>
      </c>
      <c r="E4295" s="5" t="str">
        <f>IF(C4295=1,0,IF(D4294=1,E4294+1,0))</f>
      </c>
      <c r="F4295" s="5" t="str">
        <f>IF(AND(C4295=1,D4294=1),MIN(E4294,3),"")</f>
      </c>
    </row>
    <row r="4296">
      <c r="A4296" s="6">
        <v>1258</v>
      </c>
      <c r="B4296" s="6" t="str">
        <f>'Lineal Mixto'!$C$1262</f>
      </c>
      <c r="C4296" s="6" t="str">
        <f>IF(AND(B4296&gt;=$B$3034,B4296&lt;=$B$3035),1,0)</f>
      </c>
      <c r="D4296" s="6" t="str">
        <f>IF(OR(D4295=1,C4296=1),1,0)</f>
      </c>
      <c r="E4296" s="6" t="str">
        <f>IF(C4296=1,0,IF(D4295=1,E4295+1,0))</f>
      </c>
      <c r="F4296" s="6" t="str">
        <f>IF(AND(C4296=1,D4295=1),MIN(E4295,3),"")</f>
      </c>
    </row>
    <row r="4297">
      <c r="A4297" s="5">
        <v>1259</v>
      </c>
      <c r="B4297" s="5" t="str">
        <f>'Lineal Mixto'!$C$1263</f>
      </c>
      <c r="C4297" s="5" t="str">
        <f>IF(AND(B4297&gt;=$B$3034,B4297&lt;=$B$3035),1,0)</f>
      </c>
      <c r="D4297" s="5" t="str">
        <f>IF(OR(D4296=1,C4297=1),1,0)</f>
      </c>
      <c r="E4297" s="5" t="str">
        <f>IF(C4297=1,0,IF(D4296=1,E4296+1,0))</f>
      </c>
      <c r="F4297" s="5" t="str">
        <f>IF(AND(C4297=1,D4296=1),MIN(E4296,3),"")</f>
      </c>
    </row>
    <row r="4298">
      <c r="A4298" s="6">
        <v>1260</v>
      </c>
      <c r="B4298" s="6" t="str">
        <f>'Lineal Mixto'!$C$1264</f>
      </c>
      <c r="C4298" s="6" t="str">
        <f>IF(AND(B4298&gt;=$B$3034,B4298&lt;=$B$3035),1,0)</f>
      </c>
      <c r="D4298" s="6" t="str">
        <f>IF(OR(D4297=1,C4298=1),1,0)</f>
      </c>
      <c r="E4298" s="6" t="str">
        <f>IF(C4298=1,0,IF(D4297=1,E4297+1,0))</f>
      </c>
      <c r="F4298" s="6" t="str">
        <f>IF(AND(C4298=1,D4297=1),MIN(E4297,3),"")</f>
      </c>
    </row>
    <row r="4299">
      <c r="A4299" s="5">
        <v>1261</v>
      </c>
      <c r="B4299" s="5" t="str">
        <f>'Lineal Mixto'!$C$1265</f>
      </c>
      <c r="C4299" s="5" t="str">
        <f>IF(AND(B4299&gt;=$B$3034,B4299&lt;=$B$3035),1,0)</f>
      </c>
      <c r="D4299" s="5" t="str">
        <f>IF(OR(D4298=1,C4299=1),1,0)</f>
      </c>
      <c r="E4299" s="5" t="str">
        <f>IF(C4299=1,0,IF(D4298=1,E4298+1,0))</f>
      </c>
      <c r="F4299" s="5" t="str">
        <f>IF(AND(C4299=1,D4298=1),MIN(E4298,3),"")</f>
      </c>
    </row>
    <row r="4300">
      <c r="A4300" s="6">
        <v>1262</v>
      </c>
      <c r="B4300" s="6" t="str">
        <f>'Lineal Mixto'!$C$1266</f>
      </c>
      <c r="C4300" s="6" t="str">
        <f>IF(AND(B4300&gt;=$B$3034,B4300&lt;=$B$3035),1,0)</f>
      </c>
      <c r="D4300" s="6" t="str">
        <f>IF(OR(D4299=1,C4300=1),1,0)</f>
      </c>
      <c r="E4300" s="6" t="str">
        <f>IF(C4300=1,0,IF(D4299=1,E4299+1,0))</f>
      </c>
      <c r="F4300" s="6" t="str">
        <f>IF(AND(C4300=1,D4299=1),MIN(E4299,3),"")</f>
      </c>
    </row>
    <row r="4301">
      <c r="A4301" s="5">
        <v>1263</v>
      </c>
      <c r="B4301" s="5" t="str">
        <f>'Lineal Mixto'!$C$1267</f>
      </c>
      <c r="C4301" s="5" t="str">
        <f>IF(AND(B4301&gt;=$B$3034,B4301&lt;=$B$3035),1,0)</f>
      </c>
      <c r="D4301" s="5" t="str">
        <f>IF(OR(D4300=1,C4301=1),1,0)</f>
      </c>
      <c r="E4301" s="5" t="str">
        <f>IF(C4301=1,0,IF(D4300=1,E4300+1,0))</f>
      </c>
      <c r="F4301" s="5" t="str">
        <f>IF(AND(C4301=1,D4300=1),MIN(E4300,3),"")</f>
      </c>
    </row>
    <row r="4302">
      <c r="A4302" s="6">
        <v>1264</v>
      </c>
      <c r="B4302" s="6" t="str">
        <f>'Lineal Mixto'!$C$1268</f>
      </c>
      <c r="C4302" s="6" t="str">
        <f>IF(AND(B4302&gt;=$B$3034,B4302&lt;=$B$3035),1,0)</f>
      </c>
      <c r="D4302" s="6" t="str">
        <f>IF(OR(D4301=1,C4302=1),1,0)</f>
      </c>
      <c r="E4302" s="6" t="str">
        <f>IF(C4302=1,0,IF(D4301=1,E4301+1,0))</f>
      </c>
      <c r="F4302" s="6" t="str">
        <f>IF(AND(C4302=1,D4301=1),MIN(E4301,3),"")</f>
      </c>
    </row>
    <row r="4303">
      <c r="A4303" s="5">
        <v>1265</v>
      </c>
      <c r="B4303" s="5" t="str">
        <f>'Lineal Mixto'!$C$1269</f>
      </c>
      <c r="C4303" s="5" t="str">
        <f>IF(AND(B4303&gt;=$B$3034,B4303&lt;=$B$3035),1,0)</f>
      </c>
      <c r="D4303" s="5" t="str">
        <f>IF(OR(D4302=1,C4303=1),1,0)</f>
      </c>
      <c r="E4303" s="5" t="str">
        <f>IF(C4303=1,0,IF(D4302=1,E4302+1,0))</f>
      </c>
      <c r="F4303" s="5" t="str">
        <f>IF(AND(C4303=1,D4302=1),MIN(E4302,3),"")</f>
      </c>
    </row>
    <row r="4304">
      <c r="A4304" s="6">
        <v>1266</v>
      </c>
      <c r="B4304" s="6" t="str">
        <f>'Lineal Mixto'!$C$1270</f>
      </c>
      <c r="C4304" s="6" t="str">
        <f>IF(AND(B4304&gt;=$B$3034,B4304&lt;=$B$3035),1,0)</f>
      </c>
      <c r="D4304" s="6" t="str">
        <f>IF(OR(D4303=1,C4304=1),1,0)</f>
      </c>
      <c r="E4304" s="6" t="str">
        <f>IF(C4304=1,0,IF(D4303=1,E4303+1,0))</f>
      </c>
      <c r="F4304" s="6" t="str">
        <f>IF(AND(C4304=1,D4303=1),MIN(E4303,3),"")</f>
      </c>
    </row>
    <row r="4305">
      <c r="A4305" s="5">
        <v>1267</v>
      </c>
      <c r="B4305" s="5" t="str">
        <f>'Lineal Mixto'!$C$1271</f>
      </c>
      <c r="C4305" s="5" t="str">
        <f>IF(AND(B4305&gt;=$B$3034,B4305&lt;=$B$3035),1,0)</f>
      </c>
      <c r="D4305" s="5" t="str">
        <f>IF(OR(D4304=1,C4305=1),1,0)</f>
      </c>
      <c r="E4305" s="5" t="str">
        <f>IF(C4305=1,0,IF(D4304=1,E4304+1,0))</f>
      </c>
      <c r="F4305" s="5" t="str">
        <f>IF(AND(C4305=1,D4304=1),MIN(E4304,3),"")</f>
      </c>
    </row>
    <row r="4306">
      <c r="A4306" s="6">
        <v>1268</v>
      </c>
      <c r="B4306" s="6" t="str">
        <f>'Lineal Mixto'!$C$1272</f>
      </c>
      <c r="C4306" s="6" t="str">
        <f>IF(AND(B4306&gt;=$B$3034,B4306&lt;=$B$3035),1,0)</f>
      </c>
      <c r="D4306" s="6" t="str">
        <f>IF(OR(D4305=1,C4306=1),1,0)</f>
      </c>
      <c r="E4306" s="6" t="str">
        <f>IF(C4306=1,0,IF(D4305=1,E4305+1,0))</f>
      </c>
      <c r="F4306" s="6" t="str">
        <f>IF(AND(C4306=1,D4305=1),MIN(E4305,3),"")</f>
      </c>
    </row>
    <row r="4307">
      <c r="A4307" s="5">
        <v>1269</v>
      </c>
      <c r="B4307" s="5" t="str">
        <f>'Lineal Mixto'!$C$1273</f>
      </c>
      <c r="C4307" s="5" t="str">
        <f>IF(AND(B4307&gt;=$B$3034,B4307&lt;=$B$3035),1,0)</f>
      </c>
      <c r="D4307" s="5" t="str">
        <f>IF(OR(D4306=1,C4307=1),1,0)</f>
      </c>
      <c r="E4307" s="5" t="str">
        <f>IF(C4307=1,0,IF(D4306=1,E4306+1,0))</f>
      </c>
      <c r="F4307" s="5" t="str">
        <f>IF(AND(C4307=1,D4306=1),MIN(E4306,3),"")</f>
      </c>
    </row>
    <row r="4308">
      <c r="A4308" s="6">
        <v>1270</v>
      </c>
      <c r="B4308" s="6" t="str">
        <f>'Lineal Mixto'!$C$1274</f>
      </c>
      <c r="C4308" s="6" t="str">
        <f>IF(AND(B4308&gt;=$B$3034,B4308&lt;=$B$3035),1,0)</f>
      </c>
      <c r="D4308" s="6" t="str">
        <f>IF(OR(D4307=1,C4308=1),1,0)</f>
      </c>
      <c r="E4308" s="6" t="str">
        <f>IF(C4308=1,0,IF(D4307=1,E4307+1,0))</f>
      </c>
      <c r="F4308" s="6" t="str">
        <f>IF(AND(C4308=1,D4307=1),MIN(E4307,3),"")</f>
      </c>
    </row>
    <row r="4309">
      <c r="A4309" s="5">
        <v>1271</v>
      </c>
      <c r="B4309" s="5" t="str">
        <f>'Lineal Mixto'!$C$1275</f>
      </c>
      <c r="C4309" s="5" t="str">
        <f>IF(AND(B4309&gt;=$B$3034,B4309&lt;=$B$3035),1,0)</f>
      </c>
      <c r="D4309" s="5" t="str">
        <f>IF(OR(D4308=1,C4309=1),1,0)</f>
      </c>
      <c r="E4309" s="5" t="str">
        <f>IF(C4309=1,0,IF(D4308=1,E4308+1,0))</f>
      </c>
      <c r="F4309" s="5" t="str">
        <f>IF(AND(C4309=1,D4308=1),MIN(E4308,3),"")</f>
      </c>
    </row>
    <row r="4310">
      <c r="A4310" s="6">
        <v>1272</v>
      </c>
      <c r="B4310" s="6" t="str">
        <f>'Lineal Mixto'!$C$1276</f>
      </c>
      <c r="C4310" s="6" t="str">
        <f>IF(AND(B4310&gt;=$B$3034,B4310&lt;=$B$3035),1,0)</f>
      </c>
      <c r="D4310" s="6" t="str">
        <f>IF(OR(D4309=1,C4310=1),1,0)</f>
      </c>
      <c r="E4310" s="6" t="str">
        <f>IF(C4310=1,0,IF(D4309=1,E4309+1,0))</f>
      </c>
      <c r="F4310" s="6" t="str">
        <f>IF(AND(C4310=1,D4309=1),MIN(E4309,3),"")</f>
      </c>
    </row>
    <row r="4311">
      <c r="A4311" s="5">
        <v>1273</v>
      </c>
      <c r="B4311" s="5" t="str">
        <f>'Lineal Mixto'!$C$1277</f>
      </c>
      <c r="C4311" s="5" t="str">
        <f>IF(AND(B4311&gt;=$B$3034,B4311&lt;=$B$3035),1,0)</f>
      </c>
      <c r="D4311" s="5" t="str">
        <f>IF(OR(D4310=1,C4311=1),1,0)</f>
      </c>
      <c r="E4311" s="5" t="str">
        <f>IF(C4311=1,0,IF(D4310=1,E4310+1,0))</f>
      </c>
      <c r="F4311" s="5" t="str">
        <f>IF(AND(C4311=1,D4310=1),MIN(E4310,3),"")</f>
      </c>
    </row>
    <row r="4312">
      <c r="A4312" s="6">
        <v>1274</v>
      </c>
      <c r="B4312" s="6" t="str">
        <f>'Lineal Mixto'!$C$1278</f>
      </c>
      <c r="C4312" s="6" t="str">
        <f>IF(AND(B4312&gt;=$B$3034,B4312&lt;=$B$3035),1,0)</f>
      </c>
      <c r="D4312" s="6" t="str">
        <f>IF(OR(D4311=1,C4312=1),1,0)</f>
      </c>
      <c r="E4312" s="6" t="str">
        <f>IF(C4312=1,0,IF(D4311=1,E4311+1,0))</f>
      </c>
      <c r="F4312" s="6" t="str">
        <f>IF(AND(C4312=1,D4311=1),MIN(E4311,3),"")</f>
      </c>
    </row>
    <row r="4313">
      <c r="A4313" s="5">
        <v>1275</v>
      </c>
      <c r="B4313" s="5" t="str">
        <f>'Lineal Mixto'!$C$1279</f>
      </c>
      <c r="C4313" s="5" t="str">
        <f>IF(AND(B4313&gt;=$B$3034,B4313&lt;=$B$3035),1,0)</f>
      </c>
      <c r="D4313" s="5" t="str">
        <f>IF(OR(D4312=1,C4313=1),1,0)</f>
      </c>
      <c r="E4313" s="5" t="str">
        <f>IF(C4313=1,0,IF(D4312=1,E4312+1,0))</f>
      </c>
      <c r="F4313" s="5" t="str">
        <f>IF(AND(C4313=1,D4312=1),MIN(E4312,3),"")</f>
      </c>
    </row>
    <row r="4314">
      <c r="A4314" s="6">
        <v>1276</v>
      </c>
      <c r="B4314" s="6" t="str">
        <f>'Lineal Mixto'!$C$1280</f>
      </c>
      <c r="C4314" s="6" t="str">
        <f>IF(AND(B4314&gt;=$B$3034,B4314&lt;=$B$3035),1,0)</f>
      </c>
      <c r="D4314" s="6" t="str">
        <f>IF(OR(D4313=1,C4314=1),1,0)</f>
      </c>
      <c r="E4314" s="6" t="str">
        <f>IF(C4314=1,0,IF(D4313=1,E4313+1,0))</f>
      </c>
      <c r="F4314" s="6" t="str">
        <f>IF(AND(C4314=1,D4313=1),MIN(E4313,3),"")</f>
      </c>
    </row>
    <row r="4315">
      <c r="A4315" s="5">
        <v>1277</v>
      </c>
      <c r="B4315" s="5" t="str">
        <f>'Lineal Mixto'!$C$1281</f>
      </c>
      <c r="C4315" s="5" t="str">
        <f>IF(AND(B4315&gt;=$B$3034,B4315&lt;=$B$3035),1,0)</f>
      </c>
      <c r="D4315" s="5" t="str">
        <f>IF(OR(D4314=1,C4315=1),1,0)</f>
      </c>
      <c r="E4315" s="5" t="str">
        <f>IF(C4315=1,0,IF(D4314=1,E4314+1,0))</f>
      </c>
      <c r="F4315" s="5" t="str">
        <f>IF(AND(C4315=1,D4314=1),MIN(E4314,3),"")</f>
      </c>
    </row>
    <row r="4316">
      <c r="A4316" s="6">
        <v>1278</v>
      </c>
      <c r="B4316" s="6" t="str">
        <f>'Lineal Mixto'!$C$1282</f>
      </c>
      <c r="C4316" s="6" t="str">
        <f>IF(AND(B4316&gt;=$B$3034,B4316&lt;=$B$3035),1,0)</f>
      </c>
      <c r="D4316" s="6" t="str">
        <f>IF(OR(D4315=1,C4316=1),1,0)</f>
      </c>
      <c r="E4316" s="6" t="str">
        <f>IF(C4316=1,0,IF(D4315=1,E4315+1,0))</f>
      </c>
      <c r="F4316" s="6" t="str">
        <f>IF(AND(C4316=1,D4315=1),MIN(E4315,3),"")</f>
      </c>
    </row>
    <row r="4317">
      <c r="A4317" s="5">
        <v>1279</v>
      </c>
      <c r="B4317" s="5" t="str">
        <f>'Lineal Mixto'!$C$1283</f>
      </c>
      <c r="C4317" s="5" t="str">
        <f>IF(AND(B4317&gt;=$B$3034,B4317&lt;=$B$3035),1,0)</f>
      </c>
      <c r="D4317" s="5" t="str">
        <f>IF(OR(D4316=1,C4317=1),1,0)</f>
      </c>
      <c r="E4317" s="5" t="str">
        <f>IF(C4317=1,0,IF(D4316=1,E4316+1,0))</f>
      </c>
      <c r="F4317" s="5" t="str">
        <f>IF(AND(C4317=1,D4316=1),MIN(E4316,3),"")</f>
      </c>
    </row>
    <row r="4318">
      <c r="A4318" s="6">
        <v>1280</v>
      </c>
      <c r="B4318" s="6" t="str">
        <f>'Lineal Mixto'!$C$1284</f>
      </c>
      <c r="C4318" s="6" t="str">
        <f>IF(AND(B4318&gt;=$B$3034,B4318&lt;=$B$3035),1,0)</f>
      </c>
      <c r="D4318" s="6" t="str">
        <f>IF(OR(D4317=1,C4318=1),1,0)</f>
      </c>
      <c r="E4318" s="6" t="str">
        <f>IF(C4318=1,0,IF(D4317=1,E4317+1,0))</f>
      </c>
      <c r="F4318" s="6" t="str">
        <f>IF(AND(C4318=1,D4317=1),MIN(E4317,3),"")</f>
      </c>
    </row>
    <row r="4319">
      <c r="A4319" s="5">
        <v>1281</v>
      </c>
      <c r="B4319" s="5" t="str">
        <f>'Lineal Mixto'!$C$1285</f>
      </c>
      <c r="C4319" s="5" t="str">
        <f>IF(AND(B4319&gt;=$B$3034,B4319&lt;=$B$3035),1,0)</f>
      </c>
      <c r="D4319" s="5" t="str">
        <f>IF(OR(D4318=1,C4319=1),1,0)</f>
      </c>
      <c r="E4319" s="5" t="str">
        <f>IF(C4319=1,0,IF(D4318=1,E4318+1,0))</f>
      </c>
      <c r="F4319" s="5" t="str">
        <f>IF(AND(C4319=1,D4318=1),MIN(E4318,3),"")</f>
      </c>
    </row>
    <row r="4320">
      <c r="A4320" s="6">
        <v>1282</v>
      </c>
      <c r="B4320" s="6" t="str">
        <f>'Lineal Mixto'!$C$1286</f>
      </c>
      <c r="C4320" s="6" t="str">
        <f>IF(AND(B4320&gt;=$B$3034,B4320&lt;=$B$3035),1,0)</f>
      </c>
      <c r="D4320" s="6" t="str">
        <f>IF(OR(D4319=1,C4320=1),1,0)</f>
      </c>
      <c r="E4320" s="6" t="str">
        <f>IF(C4320=1,0,IF(D4319=1,E4319+1,0))</f>
      </c>
      <c r="F4320" s="6" t="str">
        <f>IF(AND(C4320=1,D4319=1),MIN(E4319,3),"")</f>
      </c>
    </row>
    <row r="4321">
      <c r="A4321" s="5">
        <v>1283</v>
      </c>
      <c r="B4321" s="5" t="str">
        <f>'Lineal Mixto'!$C$1287</f>
      </c>
      <c r="C4321" s="5" t="str">
        <f>IF(AND(B4321&gt;=$B$3034,B4321&lt;=$B$3035),1,0)</f>
      </c>
      <c r="D4321" s="5" t="str">
        <f>IF(OR(D4320=1,C4321=1),1,0)</f>
      </c>
      <c r="E4321" s="5" t="str">
        <f>IF(C4321=1,0,IF(D4320=1,E4320+1,0))</f>
      </c>
      <c r="F4321" s="5" t="str">
        <f>IF(AND(C4321=1,D4320=1),MIN(E4320,3),"")</f>
      </c>
    </row>
    <row r="4322">
      <c r="A4322" s="6">
        <v>1284</v>
      </c>
      <c r="B4322" s="6" t="str">
        <f>'Lineal Mixto'!$C$1288</f>
      </c>
      <c r="C4322" s="6" t="str">
        <f>IF(AND(B4322&gt;=$B$3034,B4322&lt;=$B$3035),1,0)</f>
      </c>
      <c r="D4322" s="6" t="str">
        <f>IF(OR(D4321=1,C4322=1),1,0)</f>
      </c>
      <c r="E4322" s="6" t="str">
        <f>IF(C4322=1,0,IF(D4321=1,E4321+1,0))</f>
      </c>
      <c r="F4322" s="6" t="str">
        <f>IF(AND(C4322=1,D4321=1),MIN(E4321,3),"")</f>
      </c>
    </row>
    <row r="4323">
      <c r="A4323" s="5">
        <v>1285</v>
      </c>
      <c r="B4323" s="5" t="str">
        <f>'Lineal Mixto'!$C$1289</f>
      </c>
      <c r="C4323" s="5" t="str">
        <f>IF(AND(B4323&gt;=$B$3034,B4323&lt;=$B$3035),1,0)</f>
      </c>
      <c r="D4323" s="5" t="str">
        <f>IF(OR(D4322=1,C4323=1),1,0)</f>
      </c>
      <c r="E4323" s="5" t="str">
        <f>IF(C4323=1,0,IF(D4322=1,E4322+1,0))</f>
      </c>
      <c r="F4323" s="5" t="str">
        <f>IF(AND(C4323=1,D4322=1),MIN(E4322,3),"")</f>
      </c>
    </row>
    <row r="4324">
      <c r="A4324" s="6">
        <v>1286</v>
      </c>
      <c r="B4324" s="6" t="str">
        <f>'Lineal Mixto'!$C$1290</f>
      </c>
      <c r="C4324" s="6" t="str">
        <f>IF(AND(B4324&gt;=$B$3034,B4324&lt;=$B$3035),1,0)</f>
      </c>
      <c r="D4324" s="6" t="str">
        <f>IF(OR(D4323=1,C4324=1),1,0)</f>
      </c>
      <c r="E4324" s="6" t="str">
        <f>IF(C4324=1,0,IF(D4323=1,E4323+1,0))</f>
      </c>
      <c r="F4324" s="6" t="str">
        <f>IF(AND(C4324=1,D4323=1),MIN(E4323,3),"")</f>
      </c>
    </row>
    <row r="4325">
      <c r="A4325" s="5">
        <v>1287</v>
      </c>
      <c r="B4325" s="5" t="str">
        <f>'Lineal Mixto'!$C$1291</f>
      </c>
      <c r="C4325" s="5" t="str">
        <f>IF(AND(B4325&gt;=$B$3034,B4325&lt;=$B$3035),1,0)</f>
      </c>
      <c r="D4325" s="5" t="str">
        <f>IF(OR(D4324=1,C4325=1),1,0)</f>
      </c>
      <c r="E4325" s="5" t="str">
        <f>IF(C4325=1,0,IF(D4324=1,E4324+1,0))</f>
      </c>
      <c r="F4325" s="5" t="str">
        <f>IF(AND(C4325=1,D4324=1),MIN(E4324,3),"")</f>
      </c>
    </row>
    <row r="4326">
      <c r="A4326" s="6">
        <v>1288</v>
      </c>
      <c r="B4326" s="6" t="str">
        <f>'Lineal Mixto'!$C$1292</f>
      </c>
      <c r="C4326" s="6" t="str">
        <f>IF(AND(B4326&gt;=$B$3034,B4326&lt;=$B$3035),1,0)</f>
      </c>
      <c r="D4326" s="6" t="str">
        <f>IF(OR(D4325=1,C4326=1),1,0)</f>
      </c>
      <c r="E4326" s="6" t="str">
        <f>IF(C4326=1,0,IF(D4325=1,E4325+1,0))</f>
      </c>
      <c r="F4326" s="6" t="str">
        <f>IF(AND(C4326=1,D4325=1),MIN(E4325,3),"")</f>
      </c>
    </row>
    <row r="4327">
      <c r="A4327" s="5">
        <v>1289</v>
      </c>
      <c r="B4327" s="5" t="str">
        <f>'Lineal Mixto'!$C$1293</f>
      </c>
      <c r="C4327" s="5" t="str">
        <f>IF(AND(B4327&gt;=$B$3034,B4327&lt;=$B$3035),1,0)</f>
      </c>
      <c r="D4327" s="5" t="str">
        <f>IF(OR(D4326=1,C4327=1),1,0)</f>
      </c>
      <c r="E4327" s="5" t="str">
        <f>IF(C4327=1,0,IF(D4326=1,E4326+1,0))</f>
      </c>
      <c r="F4327" s="5" t="str">
        <f>IF(AND(C4327=1,D4326=1),MIN(E4326,3),"")</f>
      </c>
    </row>
    <row r="4328">
      <c r="A4328" s="6">
        <v>1290</v>
      </c>
      <c r="B4328" s="6" t="str">
        <f>'Lineal Mixto'!$C$1294</f>
      </c>
      <c r="C4328" s="6" t="str">
        <f>IF(AND(B4328&gt;=$B$3034,B4328&lt;=$B$3035),1,0)</f>
      </c>
      <c r="D4328" s="6" t="str">
        <f>IF(OR(D4327=1,C4328=1),1,0)</f>
      </c>
      <c r="E4328" s="6" t="str">
        <f>IF(C4328=1,0,IF(D4327=1,E4327+1,0))</f>
      </c>
      <c r="F4328" s="6" t="str">
        <f>IF(AND(C4328=1,D4327=1),MIN(E4327,3),"")</f>
      </c>
    </row>
    <row r="4329">
      <c r="A4329" s="5">
        <v>1291</v>
      </c>
      <c r="B4329" s="5" t="str">
        <f>'Lineal Mixto'!$C$1295</f>
      </c>
      <c r="C4329" s="5" t="str">
        <f>IF(AND(B4329&gt;=$B$3034,B4329&lt;=$B$3035),1,0)</f>
      </c>
      <c r="D4329" s="5" t="str">
        <f>IF(OR(D4328=1,C4329=1),1,0)</f>
      </c>
      <c r="E4329" s="5" t="str">
        <f>IF(C4329=1,0,IF(D4328=1,E4328+1,0))</f>
      </c>
      <c r="F4329" s="5" t="str">
        <f>IF(AND(C4329=1,D4328=1),MIN(E4328,3),"")</f>
      </c>
    </row>
    <row r="4330">
      <c r="A4330" s="6">
        <v>1292</v>
      </c>
      <c r="B4330" s="6" t="str">
        <f>'Lineal Mixto'!$C$1296</f>
      </c>
      <c r="C4330" s="6" t="str">
        <f>IF(AND(B4330&gt;=$B$3034,B4330&lt;=$B$3035),1,0)</f>
      </c>
      <c r="D4330" s="6" t="str">
        <f>IF(OR(D4329=1,C4330=1),1,0)</f>
      </c>
      <c r="E4330" s="6" t="str">
        <f>IF(C4330=1,0,IF(D4329=1,E4329+1,0))</f>
      </c>
      <c r="F4330" s="6" t="str">
        <f>IF(AND(C4330=1,D4329=1),MIN(E4329,3),"")</f>
      </c>
    </row>
    <row r="4331">
      <c r="A4331" s="5">
        <v>1293</v>
      </c>
      <c r="B4331" s="5" t="str">
        <f>'Lineal Mixto'!$C$1297</f>
      </c>
      <c r="C4331" s="5" t="str">
        <f>IF(AND(B4331&gt;=$B$3034,B4331&lt;=$B$3035),1,0)</f>
      </c>
      <c r="D4331" s="5" t="str">
        <f>IF(OR(D4330=1,C4331=1),1,0)</f>
      </c>
      <c r="E4331" s="5" t="str">
        <f>IF(C4331=1,0,IF(D4330=1,E4330+1,0))</f>
      </c>
      <c r="F4331" s="5" t="str">
        <f>IF(AND(C4331=1,D4330=1),MIN(E4330,3),"")</f>
      </c>
    </row>
    <row r="4332">
      <c r="A4332" s="6">
        <v>1294</v>
      </c>
      <c r="B4332" s="6" t="str">
        <f>'Lineal Mixto'!$C$1298</f>
      </c>
      <c r="C4332" s="6" t="str">
        <f>IF(AND(B4332&gt;=$B$3034,B4332&lt;=$B$3035),1,0)</f>
      </c>
      <c r="D4332" s="6" t="str">
        <f>IF(OR(D4331=1,C4332=1),1,0)</f>
      </c>
      <c r="E4332" s="6" t="str">
        <f>IF(C4332=1,0,IF(D4331=1,E4331+1,0))</f>
      </c>
      <c r="F4332" s="6" t="str">
        <f>IF(AND(C4332=1,D4331=1),MIN(E4331,3),"")</f>
      </c>
    </row>
    <row r="4333">
      <c r="A4333" s="5">
        <v>1295</v>
      </c>
      <c r="B4333" s="5" t="str">
        <f>'Lineal Mixto'!$C$1299</f>
      </c>
      <c r="C4333" s="5" t="str">
        <f>IF(AND(B4333&gt;=$B$3034,B4333&lt;=$B$3035),1,0)</f>
      </c>
      <c r="D4333" s="5" t="str">
        <f>IF(OR(D4332=1,C4333=1),1,0)</f>
      </c>
      <c r="E4333" s="5" t="str">
        <f>IF(C4333=1,0,IF(D4332=1,E4332+1,0))</f>
      </c>
      <c r="F4333" s="5" t="str">
        <f>IF(AND(C4333=1,D4332=1),MIN(E4332,3),"")</f>
      </c>
    </row>
    <row r="4334">
      <c r="A4334" s="6">
        <v>1296</v>
      </c>
      <c r="B4334" s="6" t="str">
        <f>'Lineal Mixto'!$C$1300</f>
      </c>
      <c r="C4334" s="6" t="str">
        <f>IF(AND(B4334&gt;=$B$3034,B4334&lt;=$B$3035),1,0)</f>
      </c>
      <c r="D4334" s="6" t="str">
        <f>IF(OR(D4333=1,C4334=1),1,0)</f>
      </c>
      <c r="E4334" s="6" t="str">
        <f>IF(C4334=1,0,IF(D4333=1,E4333+1,0))</f>
      </c>
      <c r="F4334" s="6" t="str">
        <f>IF(AND(C4334=1,D4333=1),MIN(E4333,3),"")</f>
      </c>
    </row>
    <row r="4335">
      <c r="A4335" s="5">
        <v>1297</v>
      </c>
      <c r="B4335" s="5" t="str">
        <f>'Lineal Mixto'!$C$1301</f>
      </c>
      <c r="C4335" s="5" t="str">
        <f>IF(AND(B4335&gt;=$B$3034,B4335&lt;=$B$3035),1,0)</f>
      </c>
      <c r="D4335" s="5" t="str">
        <f>IF(OR(D4334=1,C4335=1),1,0)</f>
      </c>
      <c r="E4335" s="5" t="str">
        <f>IF(C4335=1,0,IF(D4334=1,E4334+1,0))</f>
      </c>
      <c r="F4335" s="5" t="str">
        <f>IF(AND(C4335=1,D4334=1),MIN(E4334,3),"")</f>
      </c>
    </row>
    <row r="4336">
      <c r="A4336" s="6">
        <v>1298</v>
      </c>
      <c r="B4336" s="6" t="str">
        <f>'Lineal Mixto'!$C$1302</f>
      </c>
      <c r="C4336" s="6" t="str">
        <f>IF(AND(B4336&gt;=$B$3034,B4336&lt;=$B$3035),1,0)</f>
      </c>
      <c r="D4336" s="6" t="str">
        <f>IF(OR(D4335=1,C4336=1),1,0)</f>
      </c>
      <c r="E4336" s="6" t="str">
        <f>IF(C4336=1,0,IF(D4335=1,E4335+1,0))</f>
      </c>
      <c r="F4336" s="6" t="str">
        <f>IF(AND(C4336=1,D4335=1),MIN(E4335,3),"")</f>
      </c>
    </row>
    <row r="4337">
      <c r="A4337" s="5">
        <v>1299</v>
      </c>
      <c r="B4337" s="5" t="str">
        <f>'Lineal Mixto'!$C$1303</f>
      </c>
      <c r="C4337" s="5" t="str">
        <f>IF(AND(B4337&gt;=$B$3034,B4337&lt;=$B$3035),1,0)</f>
      </c>
      <c r="D4337" s="5" t="str">
        <f>IF(OR(D4336=1,C4337=1),1,0)</f>
      </c>
      <c r="E4337" s="5" t="str">
        <f>IF(C4337=1,0,IF(D4336=1,E4336+1,0))</f>
      </c>
      <c r="F4337" s="5" t="str">
        <f>IF(AND(C4337=1,D4336=1),MIN(E4336,3),"")</f>
      </c>
    </row>
    <row r="4338">
      <c r="A4338" s="6">
        <v>1300</v>
      </c>
      <c r="B4338" s="6" t="str">
        <f>'Lineal Mixto'!$C$1304</f>
      </c>
      <c r="C4338" s="6" t="str">
        <f>IF(AND(B4338&gt;=$B$3034,B4338&lt;=$B$3035),1,0)</f>
      </c>
      <c r="D4338" s="6" t="str">
        <f>IF(OR(D4337=1,C4338=1),1,0)</f>
      </c>
      <c r="E4338" s="6" t="str">
        <f>IF(C4338=1,0,IF(D4337=1,E4337+1,0))</f>
      </c>
      <c r="F4338" s="6" t="str">
        <f>IF(AND(C4338=1,D4337=1),MIN(E4337,3),"")</f>
      </c>
    </row>
    <row r="4339">
      <c r="A4339" s="5">
        <v>1301</v>
      </c>
      <c r="B4339" s="5" t="str">
        <f>'Lineal Mixto'!$C$1305</f>
      </c>
      <c r="C4339" s="5" t="str">
        <f>IF(AND(B4339&gt;=$B$3034,B4339&lt;=$B$3035),1,0)</f>
      </c>
      <c r="D4339" s="5" t="str">
        <f>IF(OR(D4338=1,C4339=1),1,0)</f>
      </c>
      <c r="E4339" s="5" t="str">
        <f>IF(C4339=1,0,IF(D4338=1,E4338+1,0))</f>
      </c>
      <c r="F4339" s="5" t="str">
        <f>IF(AND(C4339=1,D4338=1),MIN(E4338,3),"")</f>
      </c>
    </row>
    <row r="4340">
      <c r="A4340" s="6">
        <v>1302</v>
      </c>
      <c r="B4340" s="6" t="str">
        <f>'Lineal Mixto'!$C$1306</f>
      </c>
      <c r="C4340" s="6" t="str">
        <f>IF(AND(B4340&gt;=$B$3034,B4340&lt;=$B$3035),1,0)</f>
      </c>
      <c r="D4340" s="6" t="str">
        <f>IF(OR(D4339=1,C4340=1),1,0)</f>
      </c>
      <c r="E4340" s="6" t="str">
        <f>IF(C4340=1,0,IF(D4339=1,E4339+1,0))</f>
      </c>
      <c r="F4340" s="6" t="str">
        <f>IF(AND(C4340=1,D4339=1),MIN(E4339,3),"")</f>
      </c>
    </row>
    <row r="4341">
      <c r="A4341" s="5">
        <v>1303</v>
      </c>
      <c r="B4341" s="5" t="str">
        <f>'Lineal Mixto'!$C$1307</f>
      </c>
      <c r="C4341" s="5" t="str">
        <f>IF(AND(B4341&gt;=$B$3034,B4341&lt;=$B$3035),1,0)</f>
      </c>
      <c r="D4341" s="5" t="str">
        <f>IF(OR(D4340=1,C4341=1),1,0)</f>
      </c>
      <c r="E4341" s="5" t="str">
        <f>IF(C4341=1,0,IF(D4340=1,E4340+1,0))</f>
      </c>
      <c r="F4341" s="5" t="str">
        <f>IF(AND(C4341=1,D4340=1),MIN(E4340,3),"")</f>
      </c>
    </row>
    <row r="4342">
      <c r="A4342" s="6">
        <v>1304</v>
      </c>
      <c r="B4342" s="6" t="str">
        <f>'Lineal Mixto'!$C$1308</f>
      </c>
      <c r="C4342" s="6" t="str">
        <f>IF(AND(B4342&gt;=$B$3034,B4342&lt;=$B$3035),1,0)</f>
      </c>
      <c r="D4342" s="6" t="str">
        <f>IF(OR(D4341=1,C4342=1),1,0)</f>
      </c>
      <c r="E4342" s="6" t="str">
        <f>IF(C4342=1,0,IF(D4341=1,E4341+1,0))</f>
      </c>
      <c r="F4342" s="6" t="str">
        <f>IF(AND(C4342=1,D4341=1),MIN(E4341,3),"")</f>
      </c>
    </row>
    <row r="4343">
      <c r="A4343" s="5">
        <v>1305</v>
      </c>
      <c r="B4343" s="5" t="str">
        <f>'Lineal Mixto'!$C$1309</f>
      </c>
      <c r="C4343" s="5" t="str">
        <f>IF(AND(B4343&gt;=$B$3034,B4343&lt;=$B$3035),1,0)</f>
      </c>
      <c r="D4343" s="5" t="str">
        <f>IF(OR(D4342=1,C4343=1),1,0)</f>
      </c>
      <c r="E4343" s="5" t="str">
        <f>IF(C4343=1,0,IF(D4342=1,E4342+1,0))</f>
      </c>
      <c r="F4343" s="5" t="str">
        <f>IF(AND(C4343=1,D4342=1),MIN(E4342,3),"")</f>
      </c>
    </row>
    <row r="4344">
      <c r="A4344" s="6">
        <v>1306</v>
      </c>
      <c r="B4344" s="6" t="str">
        <f>'Lineal Mixto'!$C$1310</f>
      </c>
      <c r="C4344" s="6" t="str">
        <f>IF(AND(B4344&gt;=$B$3034,B4344&lt;=$B$3035),1,0)</f>
      </c>
      <c r="D4344" s="6" t="str">
        <f>IF(OR(D4343=1,C4344=1),1,0)</f>
      </c>
      <c r="E4344" s="6" t="str">
        <f>IF(C4344=1,0,IF(D4343=1,E4343+1,0))</f>
      </c>
      <c r="F4344" s="6" t="str">
        <f>IF(AND(C4344=1,D4343=1),MIN(E4343,3),"")</f>
      </c>
    </row>
    <row r="4345">
      <c r="A4345" s="5">
        <v>1307</v>
      </c>
      <c r="B4345" s="5" t="str">
        <f>'Lineal Mixto'!$C$1311</f>
      </c>
      <c r="C4345" s="5" t="str">
        <f>IF(AND(B4345&gt;=$B$3034,B4345&lt;=$B$3035),1,0)</f>
      </c>
      <c r="D4345" s="5" t="str">
        <f>IF(OR(D4344=1,C4345=1),1,0)</f>
      </c>
      <c r="E4345" s="5" t="str">
        <f>IF(C4345=1,0,IF(D4344=1,E4344+1,0))</f>
      </c>
      <c r="F4345" s="5" t="str">
        <f>IF(AND(C4345=1,D4344=1),MIN(E4344,3),"")</f>
      </c>
    </row>
    <row r="4346">
      <c r="A4346" s="6">
        <v>1308</v>
      </c>
      <c r="B4346" s="6" t="str">
        <f>'Lineal Mixto'!$C$1312</f>
      </c>
      <c r="C4346" s="6" t="str">
        <f>IF(AND(B4346&gt;=$B$3034,B4346&lt;=$B$3035),1,0)</f>
      </c>
      <c r="D4346" s="6" t="str">
        <f>IF(OR(D4345=1,C4346=1),1,0)</f>
      </c>
      <c r="E4346" s="6" t="str">
        <f>IF(C4346=1,0,IF(D4345=1,E4345+1,0))</f>
      </c>
      <c r="F4346" s="6" t="str">
        <f>IF(AND(C4346=1,D4345=1),MIN(E4345,3),"")</f>
      </c>
    </row>
    <row r="4347">
      <c r="A4347" s="5">
        <v>1309</v>
      </c>
      <c r="B4347" s="5" t="str">
        <f>'Lineal Mixto'!$C$1313</f>
      </c>
      <c r="C4347" s="5" t="str">
        <f>IF(AND(B4347&gt;=$B$3034,B4347&lt;=$B$3035),1,0)</f>
      </c>
      <c r="D4347" s="5" t="str">
        <f>IF(OR(D4346=1,C4347=1),1,0)</f>
      </c>
      <c r="E4347" s="5" t="str">
        <f>IF(C4347=1,0,IF(D4346=1,E4346+1,0))</f>
      </c>
      <c r="F4347" s="5" t="str">
        <f>IF(AND(C4347=1,D4346=1),MIN(E4346,3),"")</f>
      </c>
    </row>
    <row r="4348">
      <c r="A4348" s="6">
        <v>1310</v>
      </c>
      <c r="B4348" s="6" t="str">
        <f>'Lineal Mixto'!$C$1314</f>
      </c>
      <c r="C4348" s="6" t="str">
        <f>IF(AND(B4348&gt;=$B$3034,B4348&lt;=$B$3035),1,0)</f>
      </c>
      <c r="D4348" s="6" t="str">
        <f>IF(OR(D4347=1,C4348=1),1,0)</f>
      </c>
      <c r="E4348" s="6" t="str">
        <f>IF(C4348=1,0,IF(D4347=1,E4347+1,0))</f>
      </c>
      <c r="F4348" s="6" t="str">
        <f>IF(AND(C4348=1,D4347=1),MIN(E4347,3),"")</f>
      </c>
    </row>
    <row r="4349">
      <c r="A4349" s="5">
        <v>1311</v>
      </c>
      <c r="B4349" s="5" t="str">
        <f>'Lineal Mixto'!$C$1315</f>
      </c>
      <c r="C4349" s="5" t="str">
        <f>IF(AND(B4349&gt;=$B$3034,B4349&lt;=$B$3035),1,0)</f>
      </c>
      <c r="D4349" s="5" t="str">
        <f>IF(OR(D4348=1,C4349=1),1,0)</f>
      </c>
      <c r="E4349" s="5" t="str">
        <f>IF(C4349=1,0,IF(D4348=1,E4348+1,0))</f>
      </c>
      <c r="F4349" s="5" t="str">
        <f>IF(AND(C4349=1,D4348=1),MIN(E4348,3),"")</f>
      </c>
    </row>
    <row r="4350">
      <c r="A4350" s="6">
        <v>1312</v>
      </c>
      <c r="B4350" s="6" t="str">
        <f>'Lineal Mixto'!$C$1316</f>
      </c>
      <c r="C4350" s="6" t="str">
        <f>IF(AND(B4350&gt;=$B$3034,B4350&lt;=$B$3035),1,0)</f>
      </c>
      <c r="D4350" s="6" t="str">
        <f>IF(OR(D4349=1,C4350=1),1,0)</f>
      </c>
      <c r="E4350" s="6" t="str">
        <f>IF(C4350=1,0,IF(D4349=1,E4349+1,0))</f>
      </c>
      <c r="F4350" s="6" t="str">
        <f>IF(AND(C4350=1,D4349=1),MIN(E4349,3),"")</f>
      </c>
    </row>
    <row r="4351">
      <c r="A4351" s="5">
        <v>1313</v>
      </c>
      <c r="B4351" s="5" t="str">
        <f>'Lineal Mixto'!$C$1317</f>
      </c>
      <c r="C4351" s="5" t="str">
        <f>IF(AND(B4351&gt;=$B$3034,B4351&lt;=$B$3035),1,0)</f>
      </c>
      <c r="D4351" s="5" t="str">
        <f>IF(OR(D4350=1,C4351=1),1,0)</f>
      </c>
      <c r="E4351" s="5" t="str">
        <f>IF(C4351=1,0,IF(D4350=1,E4350+1,0))</f>
      </c>
      <c r="F4351" s="5" t="str">
        <f>IF(AND(C4351=1,D4350=1),MIN(E4350,3),"")</f>
      </c>
    </row>
    <row r="4352">
      <c r="A4352" s="6">
        <v>1314</v>
      </c>
      <c r="B4352" s="6" t="str">
        <f>'Lineal Mixto'!$C$1318</f>
      </c>
      <c r="C4352" s="6" t="str">
        <f>IF(AND(B4352&gt;=$B$3034,B4352&lt;=$B$3035),1,0)</f>
      </c>
      <c r="D4352" s="6" t="str">
        <f>IF(OR(D4351=1,C4352=1),1,0)</f>
      </c>
      <c r="E4352" s="6" t="str">
        <f>IF(C4352=1,0,IF(D4351=1,E4351+1,0))</f>
      </c>
      <c r="F4352" s="6" t="str">
        <f>IF(AND(C4352=1,D4351=1),MIN(E4351,3),"")</f>
      </c>
    </row>
    <row r="4353">
      <c r="A4353" s="5">
        <v>1315</v>
      </c>
      <c r="B4353" s="5" t="str">
        <f>'Lineal Mixto'!$C$1319</f>
      </c>
      <c r="C4353" s="5" t="str">
        <f>IF(AND(B4353&gt;=$B$3034,B4353&lt;=$B$3035),1,0)</f>
      </c>
      <c r="D4353" s="5" t="str">
        <f>IF(OR(D4352=1,C4353=1),1,0)</f>
      </c>
      <c r="E4353" s="5" t="str">
        <f>IF(C4353=1,0,IF(D4352=1,E4352+1,0))</f>
      </c>
      <c r="F4353" s="5" t="str">
        <f>IF(AND(C4353=1,D4352=1),MIN(E4352,3),"")</f>
      </c>
    </row>
    <row r="4354">
      <c r="A4354" s="6">
        <v>1316</v>
      </c>
      <c r="B4354" s="6" t="str">
        <f>'Lineal Mixto'!$C$1320</f>
      </c>
      <c r="C4354" s="6" t="str">
        <f>IF(AND(B4354&gt;=$B$3034,B4354&lt;=$B$3035),1,0)</f>
      </c>
      <c r="D4354" s="6" t="str">
        <f>IF(OR(D4353=1,C4354=1),1,0)</f>
      </c>
      <c r="E4354" s="6" t="str">
        <f>IF(C4354=1,0,IF(D4353=1,E4353+1,0))</f>
      </c>
      <c r="F4354" s="6" t="str">
        <f>IF(AND(C4354=1,D4353=1),MIN(E4353,3),"")</f>
      </c>
    </row>
    <row r="4355">
      <c r="A4355" s="5">
        <v>1317</v>
      </c>
      <c r="B4355" s="5" t="str">
        <f>'Lineal Mixto'!$C$1321</f>
      </c>
      <c r="C4355" s="5" t="str">
        <f>IF(AND(B4355&gt;=$B$3034,B4355&lt;=$B$3035),1,0)</f>
      </c>
      <c r="D4355" s="5" t="str">
        <f>IF(OR(D4354=1,C4355=1),1,0)</f>
      </c>
      <c r="E4355" s="5" t="str">
        <f>IF(C4355=1,0,IF(D4354=1,E4354+1,0))</f>
      </c>
      <c r="F4355" s="5" t="str">
        <f>IF(AND(C4355=1,D4354=1),MIN(E4354,3),"")</f>
      </c>
    </row>
    <row r="4356">
      <c r="A4356" s="6">
        <v>1318</v>
      </c>
      <c r="B4356" s="6" t="str">
        <f>'Lineal Mixto'!$C$1322</f>
      </c>
      <c r="C4356" s="6" t="str">
        <f>IF(AND(B4356&gt;=$B$3034,B4356&lt;=$B$3035),1,0)</f>
      </c>
      <c r="D4356" s="6" t="str">
        <f>IF(OR(D4355=1,C4356=1),1,0)</f>
      </c>
      <c r="E4356" s="6" t="str">
        <f>IF(C4356=1,0,IF(D4355=1,E4355+1,0))</f>
      </c>
      <c r="F4356" s="6" t="str">
        <f>IF(AND(C4356=1,D4355=1),MIN(E4355,3),"")</f>
      </c>
    </row>
    <row r="4357">
      <c r="A4357" s="5">
        <v>1319</v>
      </c>
      <c r="B4357" s="5" t="str">
        <f>'Lineal Mixto'!$C$1323</f>
      </c>
      <c r="C4357" s="5" t="str">
        <f>IF(AND(B4357&gt;=$B$3034,B4357&lt;=$B$3035),1,0)</f>
      </c>
      <c r="D4357" s="5" t="str">
        <f>IF(OR(D4356=1,C4357=1),1,0)</f>
      </c>
      <c r="E4357" s="5" t="str">
        <f>IF(C4357=1,0,IF(D4356=1,E4356+1,0))</f>
      </c>
      <c r="F4357" s="5" t="str">
        <f>IF(AND(C4357=1,D4356=1),MIN(E4356,3),"")</f>
      </c>
    </row>
    <row r="4358">
      <c r="A4358" s="6">
        <v>1320</v>
      </c>
      <c r="B4358" s="6" t="str">
        <f>'Lineal Mixto'!$C$1324</f>
      </c>
      <c r="C4358" s="6" t="str">
        <f>IF(AND(B4358&gt;=$B$3034,B4358&lt;=$B$3035),1,0)</f>
      </c>
      <c r="D4358" s="6" t="str">
        <f>IF(OR(D4357=1,C4358=1),1,0)</f>
      </c>
      <c r="E4358" s="6" t="str">
        <f>IF(C4358=1,0,IF(D4357=1,E4357+1,0))</f>
      </c>
      <c r="F4358" s="6" t="str">
        <f>IF(AND(C4358=1,D4357=1),MIN(E4357,3),"")</f>
      </c>
    </row>
    <row r="4359">
      <c r="A4359" s="5">
        <v>1321</v>
      </c>
      <c r="B4359" s="5" t="str">
        <f>'Lineal Mixto'!$C$1325</f>
      </c>
      <c r="C4359" s="5" t="str">
        <f>IF(AND(B4359&gt;=$B$3034,B4359&lt;=$B$3035),1,0)</f>
      </c>
      <c r="D4359" s="5" t="str">
        <f>IF(OR(D4358=1,C4359=1),1,0)</f>
      </c>
      <c r="E4359" s="5" t="str">
        <f>IF(C4359=1,0,IF(D4358=1,E4358+1,0))</f>
      </c>
      <c r="F4359" s="5" t="str">
        <f>IF(AND(C4359=1,D4358=1),MIN(E4358,3),"")</f>
      </c>
    </row>
    <row r="4360">
      <c r="A4360" s="6">
        <v>1322</v>
      </c>
      <c r="B4360" s="6" t="str">
        <f>'Lineal Mixto'!$C$1326</f>
      </c>
      <c r="C4360" s="6" t="str">
        <f>IF(AND(B4360&gt;=$B$3034,B4360&lt;=$B$3035),1,0)</f>
      </c>
      <c r="D4360" s="6" t="str">
        <f>IF(OR(D4359=1,C4360=1),1,0)</f>
      </c>
      <c r="E4360" s="6" t="str">
        <f>IF(C4360=1,0,IF(D4359=1,E4359+1,0))</f>
      </c>
      <c r="F4360" s="6" t="str">
        <f>IF(AND(C4360=1,D4359=1),MIN(E4359,3),"")</f>
      </c>
    </row>
    <row r="4361">
      <c r="A4361" s="5">
        <v>1323</v>
      </c>
      <c r="B4361" s="5" t="str">
        <f>'Lineal Mixto'!$C$1327</f>
      </c>
      <c r="C4361" s="5" t="str">
        <f>IF(AND(B4361&gt;=$B$3034,B4361&lt;=$B$3035),1,0)</f>
      </c>
      <c r="D4361" s="5" t="str">
        <f>IF(OR(D4360=1,C4361=1),1,0)</f>
      </c>
      <c r="E4361" s="5" t="str">
        <f>IF(C4361=1,0,IF(D4360=1,E4360+1,0))</f>
      </c>
      <c r="F4361" s="5" t="str">
        <f>IF(AND(C4361=1,D4360=1),MIN(E4360,3),"")</f>
      </c>
    </row>
    <row r="4362">
      <c r="A4362" s="6">
        <v>1324</v>
      </c>
      <c r="B4362" s="6" t="str">
        <f>'Lineal Mixto'!$C$1328</f>
      </c>
      <c r="C4362" s="6" t="str">
        <f>IF(AND(B4362&gt;=$B$3034,B4362&lt;=$B$3035),1,0)</f>
      </c>
      <c r="D4362" s="6" t="str">
        <f>IF(OR(D4361=1,C4362=1),1,0)</f>
      </c>
      <c r="E4362" s="6" t="str">
        <f>IF(C4362=1,0,IF(D4361=1,E4361+1,0))</f>
      </c>
      <c r="F4362" s="6" t="str">
        <f>IF(AND(C4362=1,D4361=1),MIN(E4361,3),"")</f>
      </c>
    </row>
    <row r="4363">
      <c r="A4363" s="5">
        <v>1325</v>
      </c>
      <c r="B4363" s="5" t="str">
        <f>'Lineal Mixto'!$C$1329</f>
      </c>
      <c r="C4363" s="5" t="str">
        <f>IF(AND(B4363&gt;=$B$3034,B4363&lt;=$B$3035),1,0)</f>
      </c>
      <c r="D4363" s="5" t="str">
        <f>IF(OR(D4362=1,C4363=1),1,0)</f>
      </c>
      <c r="E4363" s="5" t="str">
        <f>IF(C4363=1,0,IF(D4362=1,E4362+1,0))</f>
      </c>
      <c r="F4363" s="5" t="str">
        <f>IF(AND(C4363=1,D4362=1),MIN(E4362,3),"")</f>
      </c>
    </row>
    <row r="4364">
      <c r="A4364" s="6">
        <v>1326</v>
      </c>
      <c r="B4364" s="6" t="str">
        <f>'Lineal Mixto'!$C$1330</f>
      </c>
      <c r="C4364" s="6" t="str">
        <f>IF(AND(B4364&gt;=$B$3034,B4364&lt;=$B$3035),1,0)</f>
      </c>
      <c r="D4364" s="6" t="str">
        <f>IF(OR(D4363=1,C4364=1),1,0)</f>
      </c>
      <c r="E4364" s="6" t="str">
        <f>IF(C4364=1,0,IF(D4363=1,E4363+1,0))</f>
      </c>
      <c r="F4364" s="6" t="str">
        <f>IF(AND(C4364=1,D4363=1),MIN(E4363,3),"")</f>
      </c>
    </row>
    <row r="4365">
      <c r="A4365" s="5">
        <v>1327</v>
      </c>
      <c r="B4365" s="5" t="str">
        <f>'Lineal Mixto'!$C$1331</f>
      </c>
      <c r="C4365" s="5" t="str">
        <f>IF(AND(B4365&gt;=$B$3034,B4365&lt;=$B$3035),1,0)</f>
      </c>
      <c r="D4365" s="5" t="str">
        <f>IF(OR(D4364=1,C4365=1),1,0)</f>
      </c>
      <c r="E4365" s="5" t="str">
        <f>IF(C4365=1,0,IF(D4364=1,E4364+1,0))</f>
      </c>
      <c r="F4365" s="5" t="str">
        <f>IF(AND(C4365=1,D4364=1),MIN(E4364,3),"")</f>
      </c>
    </row>
    <row r="4366">
      <c r="A4366" s="6">
        <v>1328</v>
      </c>
      <c r="B4366" s="6" t="str">
        <f>'Lineal Mixto'!$C$1332</f>
      </c>
      <c r="C4366" s="6" t="str">
        <f>IF(AND(B4366&gt;=$B$3034,B4366&lt;=$B$3035),1,0)</f>
      </c>
      <c r="D4366" s="6" t="str">
        <f>IF(OR(D4365=1,C4366=1),1,0)</f>
      </c>
      <c r="E4366" s="6" t="str">
        <f>IF(C4366=1,0,IF(D4365=1,E4365+1,0))</f>
      </c>
      <c r="F4366" s="6" t="str">
        <f>IF(AND(C4366=1,D4365=1),MIN(E4365,3),"")</f>
      </c>
    </row>
    <row r="4367">
      <c r="A4367" s="5">
        <v>1329</v>
      </c>
      <c r="B4367" s="5" t="str">
        <f>'Lineal Mixto'!$C$1333</f>
      </c>
      <c r="C4367" s="5" t="str">
        <f>IF(AND(B4367&gt;=$B$3034,B4367&lt;=$B$3035),1,0)</f>
      </c>
      <c r="D4367" s="5" t="str">
        <f>IF(OR(D4366=1,C4367=1),1,0)</f>
      </c>
      <c r="E4367" s="5" t="str">
        <f>IF(C4367=1,0,IF(D4366=1,E4366+1,0))</f>
      </c>
      <c r="F4367" s="5" t="str">
        <f>IF(AND(C4367=1,D4366=1),MIN(E4366,3),"")</f>
      </c>
    </row>
    <row r="4368">
      <c r="A4368" s="6">
        <v>1330</v>
      </c>
      <c r="B4368" s="6" t="str">
        <f>'Lineal Mixto'!$C$1334</f>
      </c>
      <c r="C4368" s="6" t="str">
        <f>IF(AND(B4368&gt;=$B$3034,B4368&lt;=$B$3035),1,0)</f>
      </c>
      <c r="D4368" s="6" t="str">
        <f>IF(OR(D4367=1,C4368=1),1,0)</f>
      </c>
      <c r="E4368" s="6" t="str">
        <f>IF(C4368=1,0,IF(D4367=1,E4367+1,0))</f>
      </c>
      <c r="F4368" s="6" t="str">
        <f>IF(AND(C4368=1,D4367=1),MIN(E4367,3),"")</f>
      </c>
    </row>
    <row r="4369">
      <c r="A4369" s="5">
        <v>1331</v>
      </c>
      <c r="B4369" s="5" t="str">
        <f>'Lineal Mixto'!$C$1335</f>
      </c>
      <c r="C4369" s="5" t="str">
        <f>IF(AND(B4369&gt;=$B$3034,B4369&lt;=$B$3035),1,0)</f>
      </c>
      <c r="D4369" s="5" t="str">
        <f>IF(OR(D4368=1,C4369=1),1,0)</f>
      </c>
      <c r="E4369" s="5" t="str">
        <f>IF(C4369=1,0,IF(D4368=1,E4368+1,0))</f>
      </c>
      <c r="F4369" s="5" t="str">
        <f>IF(AND(C4369=1,D4368=1),MIN(E4368,3),"")</f>
      </c>
    </row>
    <row r="4370">
      <c r="A4370" s="6">
        <v>1332</v>
      </c>
      <c r="B4370" s="6" t="str">
        <f>'Lineal Mixto'!$C$1336</f>
      </c>
      <c r="C4370" s="6" t="str">
        <f>IF(AND(B4370&gt;=$B$3034,B4370&lt;=$B$3035),1,0)</f>
      </c>
      <c r="D4370" s="6" t="str">
        <f>IF(OR(D4369=1,C4370=1),1,0)</f>
      </c>
      <c r="E4370" s="6" t="str">
        <f>IF(C4370=1,0,IF(D4369=1,E4369+1,0))</f>
      </c>
      <c r="F4370" s="6" t="str">
        <f>IF(AND(C4370=1,D4369=1),MIN(E4369,3),"")</f>
      </c>
    </row>
    <row r="4371">
      <c r="A4371" s="5">
        <v>1333</v>
      </c>
      <c r="B4371" s="5" t="str">
        <f>'Lineal Mixto'!$C$1337</f>
      </c>
      <c r="C4371" s="5" t="str">
        <f>IF(AND(B4371&gt;=$B$3034,B4371&lt;=$B$3035),1,0)</f>
      </c>
      <c r="D4371" s="5" t="str">
        <f>IF(OR(D4370=1,C4371=1),1,0)</f>
      </c>
      <c r="E4371" s="5" t="str">
        <f>IF(C4371=1,0,IF(D4370=1,E4370+1,0))</f>
      </c>
      <c r="F4371" s="5" t="str">
        <f>IF(AND(C4371=1,D4370=1),MIN(E4370,3),"")</f>
      </c>
    </row>
    <row r="4372">
      <c r="A4372" s="6">
        <v>1334</v>
      </c>
      <c r="B4372" s="6" t="str">
        <f>'Lineal Mixto'!$C$1338</f>
      </c>
      <c r="C4372" s="6" t="str">
        <f>IF(AND(B4372&gt;=$B$3034,B4372&lt;=$B$3035),1,0)</f>
      </c>
      <c r="D4372" s="6" t="str">
        <f>IF(OR(D4371=1,C4372=1),1,0)</f>
      </c>
      <c r="E4372" s="6" t="str">
        <f>IF(C4372=1,0,IF(D4371=1,E4371+1,0))</f>
      </c>
      <c r="F4372" s="6" t="str">
        <f>IF(AND(C4372=1,D4371=1),MIN(E4371,3),"")</f>
      </c>
    </row>
    <row r="4373">
      <c r="A4373" s="5">
        <v>1335</v>
      </c>
      <c r="B4373" s="5" t="str">
        <f>'Lineal Mixto'!$C$1339</f>
      </c>
      <c r="C4373" s="5" t="str">
        <f>IF(AND(B4373&gt;=$B$3034,B4373&lt;=$B$3035),1,0)</f>
      </c>
      <c r="D4373" s="5" t="str">
        <f>IF(OR(D4372=1,C4373=1),1,0)</f>
      </c>
      <c r="E4373" s="5" t="str">
        <f>IF(C4373=1,0,IF(D4372=1,E4372+1,0))</f>
      </c>
      <c r="F4373" s="5" t="str">
        <f>IF(AND(C4373=1,D4372=1),MIN(E4372,3),"")</f>
      </c>
    </row>
    <row r="4374">
      <c r="A4374" s="6">
        <v>1336</v>
      </c>
      <c r="B4374" s="6" t="str">
        <f>'Lineal Mixto'!$C$1340</f>
      </c>
      <c r="C4374" s="6" t="str">
        <f>IF(AND(B4374&gt;=$B$3034,B4374&lt;=$B$3035),1,0)</f>
      </c>
      <c r="D4374" s="6" t="str">
        <f>IF(OR(D4373=1,C4374=1),1,0)</f>
      </c>
      <c r="E4374" s="6" t="str">
        <f>IF(C4374=1,0,IF(D4373=1,E4373+1,0))</f>
      </c>
      <c r="F4374" s="6" t="str">
        <f>IF(AND(C4374=1,D4373=1),MIN(E4373,3),"")</f>
      </c>
    </row>
    <row r="4375">
      <c r="A4375" s="5">
        <v>1337</v>
      </c>
      <c r="B4375" s="5" t="str">
        <f>'Lineal Mixto'!$C$1341</f>
      </c>
      <c r="C4375" s="5" t="str">
        <f>IF(AND(B4375&gt;=$B$3034,B4375&lt;=$B$3035),1,0)</f>
      </c>
      <c r="D4375" s="5" t="str">
        <f>IF(OR(D4374=1,C4375=1),1,0)</f>
      </c>
      <c r="E4375" s="5" t="str">
        <f>IF(C4375=1,0,IF(D4374=1,E4374+1,0))</f>
      </c>
      <c r="F4375" s="5" t="str">
        <f>IF(AND(C4375=1,D4374=1),MIN(E4374,3),"")</f>
      </c>
    </row>
    <row r="4376">
      <c r="A4376" s="6">
        <v>1338</v>
      </c>
      <c r="B4376" s="6" t="str">
        <f>'Lineal Mixto'!$C$1342</f>
      </c>
      <c r="C4376" s="6" t="str">
        <f>IF(AND(B4376&gt;=$B$3034,B4376&lt;=$B$3035),1,0)</f>
      </c>
      <c r="D4376" s="6" t="str">
        <f>IF(OR(D4375=1,C4376=1),1,0)</f>
      </c>
      <c r="E4376" s="6" t="str">
        <f>IF(C4376=1,0,IF(D4375=1,E4375+1,0))</f>
      </c>
      <c r="F4376" s="6" t="str">
        <f>IF(AND(C4376=1,D4375=1),MIN(E4375,3),"")</f>
      </c>
    </row>
    <row r="4377">
      <c r="A4377" s="5">
        <v>1339</v>
      </c>
      <c r="B4377" s="5" t="str">
        <f>'Lineal Mixto'!$C$1343</f>
      </c>
      <c r="C4377" s="5" t="str">
        <f>IF(AND(B4377&gt;=$B$3034,B4377&lt;=$B$3035),1,0)</f>
      </c>
      <c r="D4377" s="5" t="str">
        <f>IF(OR(D4376=1,C4377=1),1,0)</f>
      </c>
      <c r="E4377" s="5" t="str">
        <f>IF(C4377=1,0,IF(D4376=1,E4376+1,0))</f>
      </c>
      <c r="F4377" s="5" t="str">
        <f>IF(AND(C4377=1,D4376=1),MIN(E4376,3),"")</f>
      </c>
    </row>
    <row r="4378">
      <c r="A4378" s="6">
        <v>1340</v>
      </c>
      <c r="B4378" s="6" t="str">
        <f>'Lineal Mixto'!$C$1344</f>
      </c>
      <c r="C4378" s="6" t="str">
        <f>IF(AND(B4378&gt;=$B$3034,B4378&lt;=$B$3035),1,0)</f>
      </c>
      <c r="D4378" s="6" t="str">
        <f>IF(OR(D4377=1,C4378=1),1,0)</f>
      </c>
      <c r="E4378" s="6" t="str">
        <f>IF(C4378=1,0,IF(D4377=1,E4377+1,0))</f>
      </c>
      <c r="F4378" s="6" t="str">
        <f>IF(AND(C4378=1,D4377=1),MIN(E4377,3),"")</f>
      </c>
    </row>
    <row r="4379">
      <c r="A4379" s="5">
        <v>1341</v>
      </c>
      <c r="B4379" s="5" t="str">
        <f>'Lineal Mixto'!$C$1345</f>
      </c>
      <c r="C4379" s="5" t="str">
        <f>IF(AND(B4379&gt;=$B$3034,B4379&lt;=$B$3035),1,0)</f>
      </c>
      <c r="D4379" s="5" t="str">
        <f>IF(OR(D4378=1,C4379=1),1,0)</f>
      </c>
      <c r="E4379" s="5" t="str">
        <f>IF(C4379=1,0,IF(D4378=1,E4378+1,0))</f>
      </c>
      <c r="F4379" s="5" t="str">
        <f>IF(AND(C4379=1,D4378=1),MIN(E4378,3),"")</f>
      </c>
    </row>
    <row r="4380">
      <c r="A4380" s="6">
        <v>1342</v>
      </c>
      <c r="B4380" s="6" t="str">
        <f>'Lineal Mixto'!$C$1346</f>
      </c>
      <c r="C4380" s="6" t="str">
        <f>IF(AND(B4380&gt;=$B$3034,B4380&lt;=$B$3035),1,0)</f>
      </c>
      <c r="D4380" s="6" t="str">
        <f>IF(OR(D4379=1,C4380=1),1,0)</f>
      </c>
      <c r="E4380" s="6" t="str">
        <f>IF(C4380=1,0,IF(D4379=1,E4379+1,0))</f>
      </c>
      <c r="F4380" s="6" t="str">
        <f>IF(AND(C4380=1,D4379=1),MIN(E4379,3),"")</f>
      </c>
    </row>
    <row r="4381">
      <c r="A4381" s="5">
        <v>1343</v>
      </c>
      <c r="B4381" s="5" t="str">
        <f>'Lineal Mixto'!$C$1347</f>
      </c>
      <c r="C4381" s="5" t="str">
        <f>IF(AND(B4381&gt;=$B$3034,B4381&lt;=$B$3035),1,0)</f>
      </c>
      <c r="D4381" s="5" t="str">
        <f>IF(OR(D4380=1,C4381=1),1,0)</f>
      </c>
      <c r="E4381" s="5" t="str">
        <f>IF(C4381=1,0,IF(D4380=1,E4380+1,0))</f>
      </c>
      <c r="F4381" s="5" t="str">
        <f>IF(AND(C4381=1,D4380=1),MIN(E4380,3),"")</f>
      </c>
    </row>
    <row r="4382">
      <c r="A4382" s="6">
        <v>1344</v>
      </c>
      <c r="B4382" s="6" t="str">
        <f>'Lineal Mixto'!$C$1348</f>
      </c>
      <c r="C4382" s="6" t="str">
        <f>IF(AND(B4382&gt;=$B$3034,B4382&lt;=$B$3035),1,0)</f>
      </c>
      <c r="D4382" s="6" t="str">
        <f>IF(OR(D4381=1,C4382=1),1,0)</f>
      </c>
      <c r="E4382" s="6" t="str">
        <f>IF(C4382=1,0,IF(D4381=1,E4381+1,0))</f>
      </c>
      <c r="F4382" s="6" t="str">
        <f>IF(AND(C4382=1,D4381=1),MIN(E4381,3),"")</f>
      </c>
    </row>
    <row r="4383">
      <c r="A4383" s="5">
        <v>1345</v>
      </c>
      <c r="B4383" s="5" t="str">
        <f>'Lineal Mixto'!$C$1349</f>
      </c>
      <c r="C4383" s="5" t="str">
        <f>IF(AND(B4383&gt;=$B$3034,B4383&lt;=$B$3035),1,0)</f>
      </c>
      <c r="D4383" s="5" t="str">
        <f>IF(OR(D4382=1,C4383=1),1,0)</f>
      </c>
      <c r="E4383" s="5" t="str">
        <f>IF(C4383=1,0,IF(D4382=1,E4382+1,0))</f>
      </c>
      <c r="F4383" s="5" t="str">
        <f>IF(AND(C4383=1,D4382=1),MIN(E4382,3),"")</f>
      </c>
    </row>
    <row r="4384">
      <c r="A4384" s="6">
        <v>1346</v>
      </c>
      <c r="B4384" s="6" t="str">
        <f>'Lineal Mixto'!$C$1350</f>
      </c>
      <c r="C4384" s="6" t="str">
        <f>IF(AND(B4384&gt;=$B$3034,B4384&lt;=$B$3035),1,0)</f>
      </c>
      <c r="D4384" s="6" t="str">
        <f>IF(OR(D4383=1,C4384=1),1,0)</f>
      </c>
      <c r="E4384" s="6" t="str">
        <f>IF(C4384=1,0,IF(D4383=1,E4383+1,0))</f>
      </c>
      <c r="F4384" s="6" t="str">
        <f>IF(AND(C4384=1,D4383=1),MIN(E4383,3),"")</f>
      </c>
    </row>
    <row r="4385">
      <c r="A4385" s="5">
        <v>1347</v>
      </c>
      <c r="B4385" s="5" t="str">
        <f>'Lineal Mixto'!$C$1351</f>
      </c>
      <c r="C4385" s="5" t="str">
        <f>IF(AND(B4385&gt;=$B$3034,B4385&lt;=$B$3035),1,0)</f>
      </c>
      <c r="D4385" s="5" t="str">
        <f>IF(OR(D4384=1,C4385=1),1,0)</f>
      </c>
      <c r="E4385" s="5" t="str">
        <f>IF(C4385=1,0,IF(D4384=1,E4384+1,0))</f>
      </c>
      <c r="F4385" s="5" t="str">
        <f>IF(AND(C4385=1,D4384=1),MIN(E4384,3),"")</f>
      </c>
    </row>
    <row r="4386">
      <c r="A4386" s="6">
        <v>1348</v>
      </c>
      <c r="B4386" s="6" t="str">
        <f>'Lineal Mixto'!$C$1352</f>
      </c>
      <c r="C4386" s="6" t="str">
        <f>IF(AND(B4386&gt;=$B$3034,B4386&lt;=$B$3035),1,0)</f>
      </c>
      <c r="D4386" s="6" t="str">
        <f>IF(OR(D4385=1,C4386=1),1,0)</f>
      </c>
      <c r="E4386" s="6" t="str">
        <f>IF(C4386=1,0,IF(D4385=1,E4385+1,0))</f>
      </c>
      <c r="F4386" s="6" t="str">
        <f>IF(AND(C4386=1,D4385=1),MIN(E4385,3),"")</f>
      </c>
    </row>
    <row r="4387">
      <c r="A4387" s="5">
        <v>1349</v>
      </c>
      <c r="B4387" s="5" t="str">
        <f>'Lineal Mixto'!$C$1353</f>
      </c>
      <c r="C4387" s="5" t="str">
        <f>IF(AND(B4387&gt;=$B$3034,B4387&lt;=$B$3035),1,0)</f>
      </c>
      <c r="D4387" s="5" t="str">
        <f>IF(OR(D4386=1,C4387=1),1,0)</f>
      </c>
      <c r="E4387" s="5" t="str">
        <f>IF(C4387=1,0,IF(D4386=1,E4386+1,0))</f>
      </c>
      <c r="F4387" s="5" t="str">
        <f>IF(AND(C4387=1,D4386=1),MIN(E4386,3),"")</f>
      </c>
    </row>
    <row r="4388">
      <c r="A4388" s="6">
        <v>1350</v>
      </c>
      <c r="B4388" s="6" t="str">
        <f>'Lineal Mixto'!$C$1354</f>
      </c>
      <c r="C4388" s="6" t="str">
        <f>IF(AND(B4388&gt;=$B$3034,B4388&lt;=$B$3035),1,0)</f>
      </c>
      <c r="D4388" s="6" t="str">
        <f>IF(OR(D4387=1,C4388=1),1,0)</f>
      </c>
      <c r="E4388" s="6" t="str">
        <f>IF(C4388=1,0,IF(D4387=1,E4387+1,0))</f>
      </c>
      <c r="F4388" s="6" t="str">
        <f>IF(AND(C4388=1,D4387=1),MIN(E4387,3),"")</f>
      </c>
    </row>
    <row r="4389">
      <c r="A4389" s="5">
        <v>1351</v>
      </c>
      <c r="B4389" s="5" t="str">
        <f>'Lineal Mixto'!$C$1355</f>
      </c>
      <c r="C4389" s="5" t="str">
        <f>IF(AND(B4389&gt;=$B$3034,B4389&lt;=$B$3035),1,0)</f>
      </c>
      <c r="D4389" s="5" t="str">
        <f>IF(OR(D4388=1,C4389=1),1,0)</f>
      </c>
      <c r="E4389" s="5" t="str">
        <f>IF(C4389=1,0,IF(D4388=1,E4388+1,0))</f>
      </c>
      <c r="F4389" s="5" t="str">
        <f>IF(AND(C4389=1,D4388=1),MIN(E4388,3),"")</f>
      </c>
    </row>
    <row r="4390">
      <c r="A4390" s="6">
        <v>1352</v>
      </c>
      <c r="B4390" s="6" t="str">
        <f>'Lineal Mixto'!$C$1356</f>
      </c>
      <c r="C4390" s="6" t="str">
        <f>IF(AND(B4390&gt;=$B$3034,B4390&lt;=$B$3035),1,0)</f>
      </c>
      <c r="D4390" s="6" t="str">
        <f>IF(OR(D4389=1,C4390=1),1,0)</f>
      </c>
      <c r="E4390" s="6" t="str">
        <f>IF(C4390=1,0,IF(D4389=1,E4389+1,0))</f>
      </c>
      <c r="F4390" s="6" t="str">
        <f>IF(AND(C4390=1,D4389=1),MIN(E4389,3),"")</f>
      </c>
    </row>
    <row r="4391">
      <c r="A4391" s="5">
        <v>1353</v>
      </c>
      <c r="B4391" s="5" t="str">
        <f>'Lineal Mixto'!$C$1357</f>
      </c>
      <c r="C4391" s="5" t="str">
        <f>IF(AND(B4391&gt;=$B$3034,B4391&lt;=$B$3035),1,0)</f>
      </c>
      <c r="D4391" s="5" t="str">
        <f>IF(OR(D4390=1,C4391=1),1,0)</f>
      </c>
      <c r="E4391" s="5" t="str">
        <f>IF(C4391=1,0,IF(D4390=1,E4390+1,0))</f>
      </c>
      <c r="F4391" s="5" t="str">
        <f>IF(AND(C4391=1,D4390=1),MIN(E4390,3),"")</f>
      </c>
    </row>
    <row r="4392">
      <c r="A4392" s="6">
        <v>1354</v>
      </c>
      <c r="B4392" s="6" t="str">
        <f>'Lineal Mixto'!$C$1358</f>
      </c>
      <c r="C4392" s="6" t="str">
        <f>IF(AND(B4392&gt;=$B$3034,B4392&lt;=$B$3035),1,0)</f>
      </c>
      <c r="D4392" s="6" t="str">
        <f>IF(OR(D4391=1,C4392=1),1,0)</f>
      </c>
      <c r="E4392" s="6" t="str">
        <f>IF(C4392=1,0,IF(D4391=1,E4391+1,0))</f>
      </c>
      <c r="F4392" s="6" t="str">
        <f>IF(AND(C4392=1,D4391=1),MIN(E4391,3),"")</f>
      </c>
    </row>
    <row r="4393">
      <c r="A4393" s="5">
        <v>1355</v>
      </c>
      <c r="B4393" s="5" t="str">
        <f>'Lineal Mixto'!$C$1359</f>
      </c>
      <c r="C4393" s="5" t="str">
        <f>IF(AND(B4393&gt;=$B$3034,B4393&lt;=$B$3035),1,0)</f>
      </c>
      <c r="D4393" s="5" t="str">
        <f>IF(OR(D4392=1,C4393=1),1,0)</f>
      </c>
      <c r="E4393" s="5" t="str">
        <f>IF(C4393=1,0,IF(D4392=1,E4392+1,0))</f>
      </c>
      <c r="F4393" s="5" t="str">
        <f>IF(AND(C4393=1,D4392=1),MIN(E4392,3),"")</f>
      </c>
    </row>
    <row r="4394">
      <c r="A4394" s="6">
        <v>1356</v>
      </c>
      <c r="B4394" s="6" t="str">
        <f>'Lineal Mixto'!$C$1360</f>
      </c>
      <c r="C4394" s="6" t="str">
        <f>IF(AND(B4394&gt;=$B$3034,B4394&lt;=$B$3035),1,0)</f>
      </c>
      <c r="D4394" s="6" t="str">
        <f>IF(OR(D4393=1,C4394=1),1,0)</f>
      </c>
      <c r="E4394" s="6" t="str">
        <f>IF(C4394=1,0,IF(D4393=1,E4393+1,0))</f>
      </c>
      <c r="F4394" s="6" t="str">
        <f>IF(AND(C4394=1,D4393=1),MIN(E4393,3),"")</f>
      </c>
    </row>
    <row r="4395">
      <c r="A4395" s="5">
        <v>1357</v>
      </c>
      <c r="B4395" s="5" t="str">
        <f>'Lineal Mixto'!$C$1361</f>
      </c>
      <c r="C4395" s="5" t="str">
        <f>IF(AND(B4395&gt;=$B$3034,B4395&lt;=$B$3035),1,0)</f>
      </c>
      <c r="D4395" s="5" t="str">
        <f>IF(OR(D4394=1,C4395=1),1,0)</f>
      </c>
      <c r="E4395" s="5" t="str">
        <f>IF(C4395=1,0,IF(D4394=1,E4394+1,0))</f>
      </c>
      <c r="F4395" s="5" t="str">
        <f>IF(AND(C4395=1,D4394=1),MIN(E4394,3),"")</f>
      </c>
    </row>
    <row r="4396">
      <c r="A4396" s="6">
        <v>1358</v>
      </c>
      <c r="B4396" s="6" t="str">
        <f>'Lineal Mixto'!$C$1362</f>
      </c>
      <c r="C4396" s="6" t="str">
        <f>IF(AND(B4396&gt;=$B$3034,B4396&lt;=$B$3035),1,0)</f>
      </c>
      <c r="D4396" s="6" t="str">
        <f>IF(OR(D4395=1,C4396=1),1,0)</f>
      </c>
      <c r="E4396" s="6" t="str">
        <f>IF(C4396=1,0,IF(D4395=1,E4395+1,0))</f>
      </c>
      <c r="F4396" s="6" t="str">
        <f>IF(AND(C4396=1,D4395=1),MIN(E4395,3),"")</f>
      </c>
    </row>
    <row r="4397">
      <c r="A4397" s="5">
        <v>1359</v>
      </c>
      <c r="B4397" s="5" t="str">
        <f>'Lineal Mixto'!$C$1363</f>
      </c>
      <c r="C4397" s="5" t="str">
        <f>IF(AND(B4397&gt;=$B$3034,B4397&lt;=$B$3035),1,0)</f>
      </c>
      <c r="D4397" s="5" t="str">
        <f>IF(OR(D4396=1,C4397=1),1,0)</f>
      </c>
      <c r="E4397" s="5" t="str">
        <f>IF(C4397=1,0,IF(D4396=1,E4396+1,0))</f>
      </c>
      <c r="F4397" s="5" t="str">
        <f>IF(AND(C4397=1,D4396=1),MIN(E4396,3),"")</f>
      </c>
    </row>
    <row r="4398">
      <c r="A4398" s="6">
        <v>1360</v>
      </c>
      <c r="B4398" s="6" t="str">
        <f>'Lineal Mixto'!$C$1364</f>
      </c>
      <c r="C4398" s="6" t="str">
        <f>IF(AND(B4398&gt;=$B$3034,B4398&lt;=$B$3035),1,0)</f>
      </c>
      <c r="D4398" s="6" t="str">
        <f>IF(OR(D4397=1,C4398=1),1,0)</f>
      </c>
      <c r="E4398" s="6" t="str">
        <f>IF(C4398=1,0,IF(D4397=1,E4397+1,0))</f>
      </c>
      <c r="F4398" s="6" t="str">
        <f>IF(AND(C4398=1,D4397=1),MIN(E4397,3),"")</f>
      </c>
    </row>
    <row r="4399">
      <c r="A4399" s="5">
        <v>1361</v>
      </c>
      <c r="B4399" s="5" t="str">
        <f>'Lineal Mixto'!$C$1365</f>
      </c>
      <c r="C4399" s="5" t="str">
        <f>IF(AND(B4399&gt;=$B$3034,B4399&lt;=$B$3035),1,0)</f>
      </c>
      <c r="D4399" s="5" t="str">
        <f>IF(OR(D4398=1,C4399=1),1,0)</f>
      </c>
      <c r="E4399" s="5" t="str">
        <f>IF(C4399=1,0,IF(D4398=1,E4398+1,0))</f>
      </c>
      <c r="F4399" s="5" t="str">
        <f>IF(AND(C4399=1,D4398=1),MIN(E4398,3),"")</f>
      </c>
    </row>
    <row r="4400">
      <c r="A4400" s="6">
        <v>1362</v>
      </c>
      <c r="B4400" s="6" t="str">
        <f>'Lineal Mixto'!$C$1366</f>
      </c>
      <c r="C4400" s="6" t="str">
        <f>IF(AND(B4400&gt;=$B$3034,B4400&lt;=$B$3035),1,0)</f>
      </c>
      <c r="D4400" s="6" t="str">
        <f>IF(OR(D4399=1,C4400=1),1,0)</f>
      </c>
      <c r="E4400" s="6" t="str">
        <f>IF(C4400=1,0,IF(D4399=1,E4399+1,0))</f>
      </c>
      <c r="F4400" s="6" t="str">
        <f>IF(AND(C4400=1,D4399=1),MIN(E4399,3),"")</f>
      </c>
    </row>
    <row r="4401">
      <c r="A4401" s="5">
        <v>1363</v>
      </c>
      <c r="B4401" s="5" t="str">
        <f>'Lineal Mixto'!$C$1367</f>
      </c>
      <c r="C4401" s="5" t="str">
        <f>IF(AND(B4401&gt;=$B$3034,B4401&lt;=$B$3035),1,0)</f>
      </c>
      <c r="D4401" s="5" t="str">
        <f>IF(OR(D4400=1,C4401=1),1,0)</f>
      </c>
      <c r="E4401" s="5" t="str">
        <f>IF(C4401=1,0,IF(D4400=1,E4400+1,0))</f>
      </c>
      <c r="F4401" s="5" t="str">
        <f>IF(AND(C4401=1,D4400=1),MIN(E4400,3),"")</f>
      </c>
    </row>
    <row r="4402">
      <c r="A4402" s="6">
        <v>1364</v>
      </c>
      <c r="B4402" s="6" t="str">
        <f>'Lineal Mixto'!$C$1368</f>
      </c>
      <c r="C4402" s="6" t="str">
        <f>IF(AND(B4402&gt;=$B$3034,B4402&lt;=$B$3035),1,0)</f>
      </c>
      <c r="D4402" s="6" t="str">
        <f>IF(OR(D4401=1,C4402=1),1,0)</f>
      </c>
      <c r="E4402" s="6" t="str">
        <f>IF(C4402=1,0,IF(D4401=1,E4401+1,0))</f>
      </c>
      <c r="F4402" s="6" t="str">
        <f>IF(AND(C4402=1,D4401=1),MIN(E4401,3),"")</f>
      </c>
    </row>
    <row r="4403">
      <c r="A4403" s="5">
        <v>1365</v>
      </c>
      <c r="B4403" s="5" t="str">
        <f>'Lineal Mixto'!$C$1369</f>
      </c>
      <c r="C4403" s="5" t="str">
        <f>IF(AND(B4403&gt;=$B$3034,B4403&lt;=$B$3035),1,0)</f>
      </c>
      <c r="D4403" s="5" t="str">
        <f>IF(OR(D4402=1,C4403=1),1,0)</f>
      </c>
      <c r="E4403" s="5" t="str">
        <f>IF(C4403=1,0,IF(D4402=1,E4402+1,0))</f>
      </c>
      <c r="F4403" s="5" t="str">
        <f>IF(AND(C4403=1,D4402=1),MIN(E4402,3),"")</f>
      </c>
    </row>
    <row r="4404">
      <c r="A4404" s="6">
        <v>1366</v>
      </c>
      <c r="B4404" s="6" t="str">
        <f>'Lineal Mixto'!$C$1370</f>
      </c>
      <c r="C4404" s="6" t="str">
        <f>IF(AND(B4404&gt;=$B$3034,B4404&lt;=$B$3035),1,0)</f>
      </c>
      <c r="D4404" s="6" t="str">
        <f>IF(OR(D4403=1,C4404=1),1,0)</f>
      </c>
      <c r="E4404" s="6" t="str">
        <f>IF(C4404=1,0,IF(D4403=1,E4403+1,0))</f>
      </c>
      <c r="F4404" s="6" t="str">
        <f>IF(AND(C4404=1,D4403=1),MIN(E4403,3),"")</f>
      </c>
    </row>
    <row r="4405">
      <c r="A4405" s="5">
        <v>1367</v>
      </c>
      <c r="B4405" s="5" t="str">
        <f>'Lineal Mixto'!$C$1371</f>
      </c>
      <c r="C4405" s="5" t="str">
        <f>IF(AND(B4405&gt;=$B$3034,B4405&lt;=$B$3035),1,0)</f>
      </c>
      <c r="D4405" s="5" t="str">
        <f>IF(OR(D4404=1,C4405=1),1,0)</f>
      </c>
      <c r="E4405" s="5" t="str">
        <f>IF(C4405=1,0,IF(D4404=1,E4404+1,0))</f>
      </c>
      <c r="F4405" s="5" t="str">
        <f>IF(AND(C4405=1,D4404=1),MIN(E4404,3),"")</f>
      </c>
    </row>
    <row r="4406">
      <c r="A4406" s="6">
        <v>1368</v>
      </c>
      <c r="B4406" s="6" t="str">
        <f>'Lineal Mixto'!$C$1372</f>
      </c>
      <c r="C4406" s="6" t="str">
        <f>IF(AND(B4406&gt;=$B$3034,B4406&lt;=$B$3035),1,0)</f>
      </c>
      <c r="D4406" s="6" t="str">
        <f>IF(OR(D4405=1,C4406=1),1,0)</f>
      </c>
      <c r="E4406" s="6" t="str">
        <f>IF(C4406=1,0,IF(D4405=1,E4405+1,0))</f>
      </c>
      <c r="F4406" s="6" t="str">
        <f>IF(AND(C4406=1,D4405=1),MIN(E4405,3),"")</f>
      </c>
    </row>
    <row r="4407">
      <c r="A4407" s="5">
        <v>1369</v>
      </c>
      <c r="B4407" s="5" t="str">
        <f>'Lineal Mixto'!$C$1373</f>
      </c>
      <c r="C4407" s="5" t="str">
        <f>IF(AND(B4407&gt;=$B$3034,B4407&lt;=$B$3035),1,0)</f>
      </c>
      <c r="D4407" s="5" t="str">
        <f>IF(OR(D4406=1,C4407=1),1,0)</f>
      </c>
      <c r="E4407" s="5" t="str">
        <f>IF(C4407=1,0,IF(D4406=1,E4406+1,0))</f>
      </c>
      <c r="F4407" s="5" t="str">
        <f>IF(AND(C4407=1,D4406=1),MIN(E4406,3),"")</f>
      </c>
    </row>
    <row r="4408">
      <c r="A4408" s="6">
        <v>1370</v>
      </c>
      <c r="B4408" s="6" t="str">
        <f>'Lineal Mixto'!$C$1374</f>
      </c>
      <c r="C4408" s="6" t="str">
        <f>IF(AND(B4408&gt;=$B$3034,B4408&lt;=$B$3035),1,0)</f>
      </c>
      <c r="D4408" s="6" t="str">
        <f>IF(OR(D4407=1,C4408=1),1,0)</f>
      </c>
      <c r="E4408" s="6" t="str">
        <f>IF(C4408=1,0,IF(D4407=1,E4407+1,0))</f>
      </c>
      <c r="F4408" s="6" t="str">
        <f>IF(AND(C4408=1,D4407=1),MIN(E4407,3),"")</f>
      </c>
    </row>
    <row r="4409">
      <c r="A4409" s="5">
        <v>1371</v>
      </c>
      <c r="B4409" s="5" t="str">
        <f>'Lineal Mixto'!$C$1375</f>
      </c>
      <c r="C4409" s="5" t="str">
        <f>IF(AND(B4409&gt;=$B$3034,B4409&lt;=$B$3035),1,0)</f>
      </c>
      <c r="D4409" s="5" t="str">
        <f>IF(OR(D4408=1,C4409=1),1,0)</f>
      </c>
      <c r="E4409" s="5" t="str">
        <f>IF(C4409=1,0,IF(D4408=1,E4408+1,0))</f>
      </c>
      <c r="F4409" s="5" t="str">
        <f>IF(AND(C4409=1,D4408=1),MIN(E4408,3),"")</f>
      </c>
    </row>
    <row r="4410">
      <c r="A4410" s="6">
        <v>1372</v>
      </c>
      <c r="B4410" s="6" t="str">
        <f>'Lineal Mixto'!$C$1376</f>
      </c>
      <c r="C4410" s="6" t="str">
        <f>IF(AND(B4410&gt;=$B$3034,B4410&lt;=$B$3035),1,0)</f>
      </c>
      <c r="D4410" s="6" t="str">
        <f>IF(OR(D4409=1,C4410=1),1,0)</f>
      </c>
      <c r="E4410" s="6" t="str">
        <f>IF(C4410=1,0,IF(D4409=1,E4409+1,0))</f>
      </c>
      <c r="F4410" s="6" t="str">
        <f>IF(AND(C4410=1,D4409=1),MIN(E4409,3),"")</f>
      </c>
    </row>
    <row r="4411">
      <c r="A4411" s="5">
        <v>1373</v>
      </c>
      <c r="B4411" s="5" t="str">
        <f>'Lineal Mixto'!$C$1377</f>
      </c>
      <c r="C4411" s="5" t="str">
        <f>IF(AND(B4411&gt;=$B$3034,B4411&lt;=$B$3035),1,0)</f>
      </c>
      <c r="D4411" s="5" t="str">
        <f>IF(OR(D4410=1,C4411=1),1,0)</f>
      </c>
      <c r="E4411" s="5" t="str">
        <f>IF(C4411=1,0,IF(D4410=1,E4410+1,0))</f>
      </c>
      <c r="F4411" s="5" t="str">
        <f>IF(AND(C4411=1,D4410=1),MIN(E4410,3),"")</f>
      </c>
    </row>
    <row r="4412">
      <c r="A4412" s="6">
        <v>1374</v>
      </c>
      <c r="B4412" s="6" t="str">
        <f>'Lineal Mixto'!$C$1378</f>
      </c>
      <c r="C4412" s="6" t="str">
        <f>IF(AND(B4412&gt;=$B$3034,B4412&lt;=$B$3035),1,0)</f>
      </c>
      <c r="D4412" s="6" t="str">
        <f>IF(OR(D4411=1,C4412=1),1,0)</f>
      </c>
      <c r="E4412" s="6" t="str">
        <f>IF(C4412=1,0,IF(D4411=1,E4411+1,0))</f>
      </c>
      <c r="F4412" s="6" t="str">
        <f>IF(AND(C4412=1,D4411=1),MIN(E4411,3),"")</f>
      </c>
    </row>
    <row r="4413">
      <c r="A4413" s="5">
        <v>1375</v>
      </c>
      <c r="B4413" s="5" t="str">
        <f>'Lineal Mixto'!$C$1379</f>
      </c>
      <c r="C4413" s="5" t="str">
        <f>IF(AND(B4413&gt;=$B$3034,B4413&lt;=$B$3035),1,0)</f>
      </c>
      <c r="D4413" s="5" t="str">
        <f>IF(OR(D4412=1,C4413=1),1,0)</f>
      </c>
      <c r="E4413" s="5" t="str">
        <f>IF(C4413=1,0,IF(D4412=1,E4412+1,0))</f>
      </c>
      <c r="F4413" s="5" t="str">
        <f>IF(AND(C4413=1,D4412=1),MIN(E4412,3),"")</f>
      </c>
    </row>
    <row r="4414">
      <c r="A4414" s="6">
        <v>1376</v>
      </c>
      <c r="B4414" s="6" t="str">
        <f>'Lineal Mixto'!$C$1380</f>
      </c>
      <c r="C4414" s="6" t="str">
        <f>IF(AND(B4414&gt;=$B$3034,B4414&lt;=$B$3035),1,0)</f>
      </c>
      <c r="D4414" s="6" t="str">
        <f>IF(OR(D4413=1,C4414=1),1,0)</f>
      </c>
      <c r="E4414" s="6" t="str">
        <f>IF(C4414=1,0,IF(D4413=1,E4413+1,0))</f>
      </c>
      <c r="F4414" s="6" t="str">
        <f>IF(AND(C4414=1,D4413=1),MIN(E4413,3),"")</f>
      </c>
    </row>
    <row r="4415">
      <c r="A4415" s="5">
        <v>1377</v>
      </c>
      <c r="B4415" s="5" t="str">
        <f>'Lineal Mixto'!$C$1381</f>
      </c>
      <c r="C4415" s="5" t="str">
        <f>IF(AND(B4415&gt;=$B$3034,B4415&lt;=$B$3035),1,0)</f>
      </c>
      <c r="D4415" s="5" t="str">
        <f>IF(OR(D4414=1,C4415=1),1,0)</f>
      </c>
      <c r="E4415" s="5" t="str">
        <f>IF(C4415=1,0,IF(D4414=1,E4414+1,0))</f>
      </c>
      <c r="F4415" s="5" t="str">
        <f>IF(AND(C4415=1,D4414=1),MIN(E4414,3),"")</f>
      </c>
    </row>
    <row r="4416">
      <c r="A4416" s="6">
        <v>1378</v>
      </c>
      <c r="B4416" s="6" t="str">
        <f>'Lineal Mixto'!$C$1382</f>
      </c>
      <c r="C4416" s="6" t="str">
        <f>IF(AND(B4416&gt;=$B$3034,B4416&lt;=$B$3035),1,0)</f>
      </c>
      <c r="D4416" s="6" t="str">
        <f>IF(OR(D4415=1,C4416=1),1,0)</f>
      </c>
      <c r="E4416" s="6" t="str">
        <f>IF(C4416=1,0,IF(D4415=1,E4415+1,0))</f>
      </c>
      <c r="F4416" s="6" t="str">
        <f>IF(AND(C4416=1,D4415=1),MIN(E4415,3),"")</f>
      </c>
    </row>
    <row r="4417">
      <c r="A4417" s="5">
        <v>1379</v>
      </c>
      <c r="B4417" s="5" t="str">
        <f>'Lineal Mixto'!$C$1383</f>
      </c>
      <c r="C4417" s="5" t="str">
        <f>IF(AND(B4417&gt;=$B$3034,B4417&lt;=$B$3035),1,0)</f>
      </c>
      <c r="D4417" s="5" t="str">
        <f>IF(OR(D4416=1,C4417=1),1,0)</f>
      </c>
      <c r="E4417" s="5" t="str">
        <f>IF(C4417=1,0,IF(D4416=1,E4416+1,0))</f>
      </c>
      <c r="F4417" s="5" t="str">
        <f>IF(AND(C4417=1,D4416=1),MIN(E4416,3),"")</f>
      </c>
    </row>
    <row r="4418">
      <c r="A4418" s="6">
        <v>1380</v>
      </c>
      <c r="B4418" s="6" t="str">
        <f>'Lineal Mixto'!$C$1384</f>
      </c>
      <c r="C4418" s="6" t="str">
        <f>IF(AND(B4418&gt;=$B$3034,B4418&lt;=$B$3035),1,0)</f>
      </c>
      <c r="D4418" s="6" t="str">
        <f>IF(OR(D4417=1,C4418=1),1,0)</f>
      </c>
      <c r="E4418" s="6" t="str">
        <f>IF(C4418=1,0,IF(D4417=1,E4417+1,0))</f>
      </c>
      <c r="F4418" s="6" t="str">
        <f>IF(AND(C4418=1,D4417=1),MIN(E4417,3),"")</f>
      </c>
    </row>
    <row r="4419">
      <c r="A4419" s="5">
        <v>1381</v>
      </c>
      <c r="B4419" s="5" t="str">
        <f>'Lineal Mixto'!$C$1385</f>
      </c>
      <c r="C4419" s="5" t="str">
        <f>IF(AND(B4419&gt;=$B$3034,B4419&lt;=$B$3035),1,0)</f>
      </c>
      <c r="D4419" s="5" t="str">
        <f>IF(OR(D4418=1,C4419=1),1,0)</f>
      </c>
      <c r="E4419" s="5" t="str">
        <f>IF(C4419=1,0,IF(D4418=1,E4418+1,0))</f>
      </c>
      <c r="F4419" s="5" t="str">
        <f>IF(AND(C4419=1,D4418=1),MIN(E4418,3),"")</f>
      </c>
    </row>
    <row r="4420">
      <c r="A4420" s="6">
        <v>1382</v>
      </c>
      <c r="B4420" s="6" t="str">
        <f>'Lineal Mixto'!$C$1386</f>
      </c>
      <c r="C4420" s="6" t="str">
        <f>IF(AND(B4420&gt;=$B$3034,B4420&lt;=$B$3035),1,0)</f>
      </c>
      <c r="D4420" s="6" t="str">
        <f>IF(OR(D4419=1,C4420=1),1,0)</f>
      </c>
      <c r="E4420" s="6" t="str">
        <f>IF(C4420=1,0,IF(D4419=1,E4419+1,0))</f>
      </c>
      <c r="F4420" s="6" t="str">
        <f>IF(AND(C4420=1,D4419=1),MIN(E4419,3),"")</f>
      </c>
    </row>
    <row r="4421">
      <c r="A4421" s="5">
        <v>1383</v>
      </c>
      <c r="B4421" s="5" t="str">
        <f>'Lineal Mixto'!$C$1387</f>
      </c>
      <c r="C4421" s="5" t="str">
        <f>IF(AND(B4421&gt;=$B$3034,B4421&lt;=$B$3035),1,0)</f>
      </c>
      <c r="D4421" s="5" t="str">
        <f>IF(OR(D4420=1,C4421=1),1,0)</f>
      </c>
      <c r="E4421" s="5" t="str">
        <f>IF(C4421=1,0,IF(D4420=1,E4420+1,0))</f>
      </c>
      <c r="F4421" s="5" t="str">
        <f>IF(AND(C4421=1,D4420=1),MIN(E4420,3),"")</f>
      </c>
    </row>
    <row r="4422">
      <c r="A4422" s="6">
        <v>1384</v>
      </c>
      <c r="B4422" s="6" t="str">
        <f>'Lineal Mixto'!$C$1388</f>
      </c>
      <c r="C4422" s="6" t="str">
        <f>IF(AND(B4422&gt;=$B$3034,B4422&lt;=$B$3035),1,0)</f>
      </c>
      <c r="D4422" s="6" t="str">
        <f>IF(OR(D4421=1,C4422=1),1,0)</f>
      </c>
      <c r="E4422" s="6" t="str">
        <f>IF(C4422=1,0,IF(D4421=1,E4421+1,0))</f>
      </c>
      <c r="F4422" s="6" t="str">
        <f>IF(AND(C4422=1,D4421=1),MIN(E4421,3),"")</f>
      </c>
    </row>
    <row r="4423">
      <c r="A4423" s="5">
        <v>1385</v>
      </c>
      <c r="B4423" s="5" t="str">
        <f>'Lineal Mixto'!$C$1389</f>
      </c>
      <c r="C4423" s="5" t="str">
        <f>IF(AND(B4423&gt;=$B$3034,B4423&lt;=$B$3035),1,0)</f>
      </c>
      <c r="D4423" s="5" t="str">
        <f>IF(OR(D4422=1,C4423=1),1,0)</f>
      </c>
      <c r="E4423" s="5" t="str">
        <f>IF(C4423=1,0,IF(D4422=1,E4422+1,0))</f>
      </c>
      <c r="F4423" s="5" t="str">
        <f>IF(AND(C4423=1,D4422=1),MIN(E4422,3),"")</f>
      </c>
    </row>
    <row r="4424">
      <c r="A4424" s="6">
        <v>1386</v>
      </c>
      <c r="B4424" s="6" t="str">
        <f>'Lineal Mixto'!$C$1390</f>
      </c>
      <c r="C4424" s="6" t="str">
        <f>IF(AND(B4424&gt;=$B$3034,B4424&lt;=$B$3035),1,0)</f>
      </c>
      <c r="D4424" s="6" t="str">
        <f>IF(OR(D4423=1,C4424=1),1,0)</f>
      </c>
      <c r="E4424" s="6" t="str">
        <f>IF(C4424=1,0,IF(D4423=1,E4423+1,0))</f>
      </c>
      <c r="F4424" s="6" t="str">
        <f>IF(AND(C4424=1,D4423=1),MIN(E4423,3),"")</f>
      </c>
    </row>
    <row r="4425">
      <c r="A4425" s="5">
        <v>1387</v>
      </c>
      <c r="B4425" s="5" t="str">
        <f>'Lineal Mixto'!$C$1391</f>
      </c>
      <c r="C4425" s="5" t="str">
        <f>IF(AND(B4425&gt;=$B$3034,B4425&lt;=$B$3035),1,0)</f>
      </c>
      <c r="D4425" s="5" t="str">
        <f>IF(OR(D4424=1,C4425=1),1,0)</f>
      </c>
      <c r="E4425" s="5" t="str">
        <f>IF(C4425=1,0,IF(D4424=1,E4424+1,0))</f>
      </c>
      <c r="F4425" s="5" t="str">
        <f>IF(AND(C4425=1,D4424=1),MIN(E4424,3),"")</f>
      </c>
    </row>
    <row r="4426">
      <c r="A4426" s="6">
        <v>1388</v>
      </c>
      <c r="B4426" s="6" t="str">
        <f>'Lineal Mixto'!$C$1392</f>
      </c>
      <c r="C4426" s="6" t="str">
        <f>IF(AND(B4426&gt;=$B$3034,B4426&lt;=$B$3035),1,0)</f>
      </c>
      <c r="D4426" s="6" t="str">
        <f>IF(OR(D4425=1,C4426=1),1,0)</f>
      </c>
      <c r="E4426" s="6" t="str">
        <f>IF(C4426=1,0,IF(D4425=1,E4425+1,0))</f>
      </c>
      <c r="F4426" s="6" t="str">
        <f>IF(AND(C4426=1,D4425=1),MIN(E4425,3),"")</f>
      </c>
    </row>
    <row r="4427">
      <c r="A4427" s="5">
        <v>1389</v>
      </c>
      <c r="B4427" s="5" t="str">
        <f>'Lineal Mixto'!$C$1393</f>
      </c>
      <c r="C4427" s="5" t="str">
        <f>IF(AND(B4427&gt;=$B$3034,B4427&lt;=$B$3035),1,0)</f>
      </c>
      <c r="D4427" s="5" t="str">
        <f>IF(OR(D4426=1,C4427=1),1,0)</f>
      </c>
      <c r="E4427" s="5" t="str">
        <f>IF(C4427=1,0,IF(D4426=1,E4426+1,0))</f>
      </c>
      <c r="F4427" s="5" t="str">
        <f>IF(AND(C4427=1,D4426=1),MIN(E4426,3),"")</f>
      </c>
    </row>
    <row r="4428">
      <c r="A4428" s="6">
        <v>1390</v>
      </c>
      <c r="B4428" s="6" t="str">
        <f>'Lineal Mixto'!$C$1394</f>
      </c>
      <c r="C4428" s="6" t="str">
        <f>IF(AND(B4428&gt;=$B$3034,B4428&lt;=$B$3035),1,0)</f>
      </c>
      <c r="D4428" s="6" t="str">
        <f>IF(OR(D4427=1,C4428=1),1,0)</f>
      </c>
      <c r="E4428" s="6" t="str">
        <f>IF(C4428=1,0,IF(D4427=1,E4427+1,0))</f>
      </c>
      <c r="F4428" s="6" t="str">
        <f>IF(AND(C4428=1,D4427=1),MIN(E4427,3),"")</f>
      </c>
    </row>
    <row r="4429">
      <c r="A4429" s="5">
        <v>1391</v>
      </c>
      <c r="B4429" s="5" t="str">
        <f>'Lineal Mixto'!$C$1395</f>
      </c>
      <c r="C4429" s="5" t="str">
        <f>IF(AND(B4429&gt;=$B$3034,B4429&lt;=$B$3035),1,0)</f>
      </c>
      <c r="D4429" s="5" t="str">
        <f>IF(OR(D4428=1,C4429=1),1,0)</f>
      </c>
      <c r="E4429" s="5" t="str">
        <f>IF(C4429=1,0,IF(D4428=1,E4428+1,0))</f>
      </c>
      <c r="F4429" s="5" t="str">
        <f>IF(AND(C4429=1,D4428=1),MIN(E4428,3),"")</f>
      </c>
    </row>
    <row r="4430">
      <c r="A4430" s="6">
        <v>1392</v>
      </c>
      <c r="B4430" s="6" t="str">
        <f>'Lineal Mixto'!$C$1396</f>
      </c>
      <c r="C4430" s="6" t="str">
        <f>IF(AND(B4430&gt;=$B$3034,B4430&lt;=$B$3035),1,0)</f>
      </c>
      <c r="D4430" s="6" t="str">
        <f>IF(OR(D4429=1,C4430=1),1,0)</f>
      </c>
      <c r="E4430" s="6" t="str">
        <f>IF(C4430=1,0,IF(D4429=1,E4429+1,0))</f>
      </c>
      <c r="F4430" s="6" t="str">
        <f>IF(AND(C4430=1,D4429=1),MIN(E4429,3),"")</f>
      </c>
    </row>
    <row r="4431">
      <c r="A4431" s="5">
        <v>1393</v>
      </c>
      <c r="B4431" s="5" t="str">
        <f>'Lineal Mixto'!$C$1397</f>
      </c>
      <c r="C4431" s="5" t="str">
        <f>IF(AND(B4431&gt;=$B$3034,B4431&lt;=$B$3035),1,0)</f>
      </c>
      <c r="D4431" s="5" t="str">
        <f>IF(OR(D4430=1,C4431=1),1,0)</f>
      </c>
      <c r="E4431" s="5" t="str">
        <f>IF(C4431=1,0,IF(D4430=1,E4430+1,0))</f>
      </c>
      <c r="F4431" s="5" t="str">
        <f>IF(AND(C4431=1,D4430=1),MIN(E4430,3),"")</f>
      </c>
    </row>
    <row r="4432">
      <c r="A4432" s="6">
        <v>1394</v>
      </c>
      <c r="B4432" s="6" t="str">
        <f>'Lineal Mixto'!$C$1398</f>
      </c>
      <c r="C4432" s="6" t="str">
        <f>IF(AND(B4432&gt;=$B$3034,B4432&lt;=$B$3035),1,0)</f>
      </c>
      <c r="D4432" s="6" t="str">
        <f>IF(OR(D4431=1,C4432=1),1,0)</f>
      </c>
      <c r="E4432" s="6" t="str">
        <f>IF(C4432=1,0,IF(D4431=1,E4431+1,0))</f>
      </c>
      <c r="F4432" s="6" t="str">
        <f>IF(AND(C4432=1,D4431=1),MIN(E4431,3),"")</f>
      </c>
    </row>
    <row r="4433">
      <c r="A4433" s="5">
        <v>1395</v>
      </c>
      <c r="B4433" s="5" t="str">
        <f>'Lineal Mixto'!$C$1399</f>
      </c>
      <c r="C4433" s="5" t="str">
        <f>IF(AND(B4433&gt;=$B$3034,B4433&lt;=$B$3035),1,0)</f>
      </c>
      <c r="D4433" s="5" t="str">
        <f>IF(OR(D4432=1,C4433=1),1,0)</f>
      </c>
      <c r="E4433" s="5" t="str">
        <f>IF(C4433=1,0,IF(D4432=1,E4432+1,0))</f>
      </c>
      <c r="F4433" s="5" t="str">
        <f>IF(AND(C4433=1,D4432=1),MIN(E4432,3),"")</f>
      </c>
    </row>
    <row r="4434">
      <c r="A4434" s="6">
        <v>1396</v>
      </c>
      <c r="B4434" s="6" t="str">
        <f>'Lineal Mixto'!$C$1400</f>
      </c>
      <c r="C4434" s="6" t="str">
        <f>IF(AND(B4434&gt;=$B$3034,B4434&lt;=$B$3035),1,0)</f>
      </c>
      <c r="D4434" s="6" t="str">
        <f>IF(OR(D4433=1,C4434=1),1,0)</f>
      </c>
      <c r="E4434" s="6" t="str">
        <f>IF(C4434=1,0,IF(D4433=1,E4433+1,0))</f>
      </c>
      <c r="F4434" s="6" t="str">
        <f>IF(AND(C4434=1,D4433=1),MIN(E4433,3),"")</f>
      </c>
    </row>
    <row r="4435">
      <c r="A4435" s="5">
        <v>1397</v>
      </c>
      <c r="B4435" s="5" t="str">
        <f>'Lineal Mixto'!$C$1401</f>
      </c>
      <c r="C4435" s="5" t="str">
        <f>IF(AND(B4435&gt;=$B$3034,B4435&lt;=$B$3035),1,0)</f>
      </c>
      <c r="D4435" s="5" t="str">
        <f>IF(OR(D4434=1,C4435=1),1,0)</f>
      </c>
      <c r="E4435" s="5" t="str">
        <f>IF(C4435=1,0,IF(D4434=1,E4434+1,0))</f>
      </c>
      <c r="F4435" s="5" t="str">
        <f>IF(AND(C4435=1,D4434=1),MIN(E4434,3),"")</f>
      </c>
    </row>
    <row r="4436">
      <c r="A4436" s="6">
        <v>1398</v>
      </c>
      <c r="B4436" s="6" t="str">
        <f>'Lineal Mixto'!$C$1402</f>
      </c>
      <c r="C4436" s="6" t="str">
        <f>IF(AND(B4436&gt;=$B$3034,B4436&lt;=$B$3035),1,0)</f>
      </c>
      <c r="D4436" s="6" t="str">
        <f>IF(OR(D4435=1,C4436=1),1,0)</f>
      </c>
      <c r="E4436" s="6" t="str">
        <f>IF(C4436=1,0,IF(D4435=1,E4435+1,0))</f>
      </c>
      <c r="F4436" s="6" t="str">
        <f>IF(AND(C4436=1,D4435=1),MIN(E4435,3),"")</f>
      </c>
    </row>
    <row r="4437">
      <c r="A4437" s="5">
        <v>1399</v>
      </c>
      <c r="B4437" s="5" t="str">
        <f>'Lineal Mixto'!$C$1403</f>
      </c>
      <c r="C4437" s="5" t="str">
        <f>IF(AND(B4437&gt;=$B$3034,B4437&lt;=$B$3035),1,0)</f>
      </c>
      <c r="D4437" s="5" t="str">
        <f>IF(OR(D4436=1,C4437=1),1,0)</f>
      </c>
      <c r="E4437" s="5" t="str">
        <f>IF(C4437=1,0,IF(D4436=1,E4436+1,0))</f>
      </c>
      <c r="F4437" s="5" t="str">
        <f>IF(AND(C4437=1,D4436=1),MIN(E4436,3),"")</f>
      </c>
    </row>
    <row r="4438">
      <c r="A4438" s="6">
        <v>1400</v>
      </c>
      <c r="B4438" s="6" t="str">
        <f>'Lineal Mixto'!$C$1404</f>
      </c>
      <c r="C4438" s="6" t="str">
        <f>IF(AND(B4438&gt;=$B$3034,B4438&lt;=$B$3035),1,0)</f>
      </c>
      <c r="D4438" s="6" t="str">
        <f>IF(OR(D4437=1,C4438=1),1,0)</f>
      </c>
      <c r="E4438" s="6" t="str">
        <f>IF(C4438=1,0,IF(D4437=1,E4437+1,0))</f>
      </c>
      <c r="F4438" s="6" t="str">
        <f>IF(AND(C4438=1,D4437=1),MIN(E4437,3),"")</f>
      </c>
    </row>
    <row r="4439">
      <c r="A4439" s="5">
        <v>1401</v>
      </c>
      <c r="B4439" s="5" t="str">
        <f>'Lineal Mixto'!$C$1405</f>
      </c>
      <c r="C4439" s="5" t="str">
        <f>IF(AND(B4439&gt;=$B$3034,B4439&lt;=$B$3035),1,0)</f>
      </c>
      <c r="D4439" s="5" t="str">
        <f>IF(OR(D4438=1,C4439=1),1,0)</f>
      </c>
      <c r="E4439" s="5" t="str">
        <f>IF(C4439=1,0,IF(D4438=1,E4438+1,0))</f>
      </c>
      <c r="F4439" s="5" t="str">
        <f>IF(AND(C4439=1,D4438=1),MIN(E4438,3),"")</f>
      </c>
    </row>
    <row r="4440">
      <c r="A4440" s="6">
        <v>1402</v>
      </c>
      <c r="B4440" s="6" t="str">
        <f>'Lineal Mixto'!$C$1406</f>
      </c>
      <c r="C4440" s="6" t="str">
        <f>IF(AND(B4440&gt;=$B$3034,B4440&lt;=$B$3035),1,0)</f>
      </c>
      <c r="D4440" s="6" t="str">
        <f>IF(OR(D4439=1,C4440=1),1,0)</f>
      </c>
      <c r="E4440" s="6" t="str">
        <f>IF(C4440=1,0,IF(D4439=1,E4439+1,0))</f>
      </c>
      <c r="F4440" s="6" t="str">
        <f>IF(AND(C4440=1,D4439=1),MIN(E4439,3),"")</f>
      </c>
    </row>
    <row r="4441">
      <c r="A4441" s="5">
        <v>1403</v>
      </c>
      <c r="B4441" s="5" t="str">
        <f>'Lineal Mixto'!$C$1407</f>
      </c>
      <c r="C4441" s="5" t="str">
        <f>IF(AND(B4441&gt;=$B$3034,B4441&lt;=$B$3035),1,0)</f>
      </c>
      <c r="D4441" s="5" t="str">
        <f>IF(OR(D4440=1,C4441=1),1,0)</f>
      </c>
      <c r="E4441" s="5" t="str">
        <f>IF(C4441=1,0,IF(D4440=1,E4440+1,0))</f>
      </c>
      <c r="F4441" s="5" t="str">
        <f>IF(AND(C4441=1,D4440=1),MIN(E4440,3),"")</f>
      </c>
    </row>
    <row r="4442">
      <c r="A4442" s="6">
        <v>1404</v>
      </c>
      <c r="B4442" s="6" t="str">
        <f>'Lineal Mixto'!$C$1408</f>
      </c>
      <c r="C4442" s="6" t="str">
        <f>IF(AND(B4442&gt;=$B$3034,B4442&lt;=$B$3035),1,0)</f>
      </c>
      <c r="D4442" s="6" t="str">
        <f>IF(OR(D4441=1,C4442=1),1,0)</f>
      </c>
      <c r="E4442" s="6" t="str">
        <f>IF(C4442=1,0,IF(D4441=1,E4441+1,0))</f>
      </c>
      <c r="F4442" s="6" t="str">
        <f>IF(AND(C4442=1,D4441=1),MIN(E4441,3),"")</f>
      </c>
    </row>
    <row r="4443">
      <c r="A4443" s="5">
        <v>1405</v>
      </c>
      <c r="B4443" s="5" t="str">
        <f>'Lineal Mixto'!$C$1409</f>
      </c>
      <c r="C4443" s="5" t="str">
        <f>IF(AND(B4443&gt;=$B$3034,B4443&lt;=$B$3035),1,0)</f>
      </c>
      <c r="D4443" s="5" t="str">
        <f>IF(OR(D4442=1,C4443=1),1,0)</f>
      </c>
      <c r="E4443" s="5" t="str">
        <f>IF(C4443=1,0,IF(D4442=1,E4442+1,0))</f>
      </c>
      <c r="F4443" s="5" t="str">
        <f>IF(AND(C4443=1,D4442=1),MIN(E4442,3),"")</f>
      </c>
    </row>
    <row r="4444">
      <c r="A4444" s="6">
        <v>1406</v>
      </c>
      <c r="B4444" s="6" t="str">
        <f>'Lineal Mixto'!$C$1410</f>
      </c>
      <c r="C4444" s="6" t="str">
        <f>IF(AND(B4444&gt;=$B$3034,B4444&lt;=$B$3035),1,0)</f>
      </c>
      <c r="D4444" s="6" t="str">
        <f>IF(OR(D4443=1,C4444=1),1,0)</f>
      </c>
      <c r="E4444" s="6" t="str">
        <f>IF(C4444=1,0,IF(D4443=1,E4443+1,0))</f>
      </c>
      <c r="F4444" s="6" t="str">
        <f>IF(AND(C4444=1,D4443=1),MIN(E4443,3),"")</f>
      </c>
    </row>
    <row r="4445">
      <c r="A4445" s="5">
        <v>1407</v>
      </c>
      <c r="B4445" s="5" t="str">
        <f>'Lineal Mixto'!$C$1411</f>
      </c>
      <c r="C4445" s="5" t="str">
        <f>IF(AND(B4445&gt;=$B$3034,B4445&lt;=$B$3035),1,0)</f>
      </c>
      <c r="D4445" s="5" t="str">
        <f>IF(OR(D4444=1,C4445=1),1,0)</f>
      </c>
      <c r="E4445" s="5" t="str">
        <f>IF(C4445=1,0,IF(D4444=1,E4444+1,0))</f>
      </c>
      <c r="F4445" s="5" t="str">
        <f>IF(AND(C4445=1,D4444=1),MIN(E4444,3),"")</f>
      </c>
    </row>
    <row r="4446">
      <c r="A4446" s="6">
        <v>1408</v>
      </c>
      <c r="B4446" s="6" t="str">
        <f>'Lineal Mixto'!$C$1412</f>
      </c>
      <c r="C4446" s="6" t="str">
        <f>IF(AND(B4446&gt;=$B$3034,B4446&lt;=$B$3035),1,0)</f>
      </c>
      <c r="D4446" s="6" t="str">
        <f>IF(OR(D4445=1,C4446=1),1,0)</f>
      </c>
      <c r="E4446" s="6" t="str">
        <f>IF(C4446=1,0,IF(D4445=1,E4445+1,0))</f>
      </c>
      <c r="F4446" s="6" t="str">
        <f>IF(AND(C4446=1,D4445=1),MIN(E4445,3),"")</f>
      </c>
    </row>
    <row r="4447">
      <c r="A4447" s="5">
        <v>1409</v>
      </c>
      <c r="B4447" s="5" t="str">
        <f>'Lineal Mixto'!$C$1413</f>
      </c>
      <c r="C4447" s="5" t="str">
        <f>IF(AND(B4447&gt;=$B$3034,B4447&lt;=$B$3035),1,0)</f>
      </c>
      <c r="D4447" s="5" t="str">
        <f>IF(OR(D4446=1,C4447=1),1,0)</f>
      </c>
      <c r="E4447" s="5" t="str">
        <f>IF(C4447=1,0,IF(D4446=1,E4446+1,0))</f>
      </c>
      <c r="F4447" s="5" t="str">
        <f>IF(AND(C4447=1,D4446=1),MIN(E4446,3),"")</f>
      </c>
    </row>
    <row r="4448">
      <c r="A4448" s="6">
        <v>1410</v>
      </c>
      <c r="B4448" s="6" t="str">
        <f>'Lineal Mixto'!$C$1414</f>
      </c>
      <c r="C4448" s="6" t="str">
        <f>IF(AND(B4448&gt;=$B$3034,B4448&lt;=$B$3035),1,0)</f>
      </c>
      <c r="D4448" s="6" t="str">
        <f>IF(OR(D4447=1,C4448=1),1,0)</f>
      </c>
      <c r="E4448" s="6" t="str">
        <f>IF(C4448=1,0,IF(D4447=1,E4447+1,0))</f>
      </c>
      <c r="F4448" s="6" t="str">
        <f>IF(AND(C4448=1,D4447=1),MIN(E4447,3),"")</f>
      </c>
    </row>
    <row r="4449">
      <c r="A4449" s="5">
        <v>1411</v>
      </c>
      <c r="B4449" s="5" t="str">
        <f>'Lineal Mixto'!$C$1415</f>
      </c>
      <c r="C4449" s="5" t="str">
        <f>IF(AND(B4449&gt;=$B$3034,B4449&lt;=$B$3035),1,0)</f>
      </c>
      <c r="D4449" s="5" t="str">
        <f>IF(OR(D4448=1,C4449=1),1,0)</f>
      </c>
      <c r="E4449" s="5" t="str">
        <f>IF(C4449=1,0,IF(D4448=1,E4448+1,0))</f>
      </c>
      <c r="F4449" s="5" t="str">
        <f>IF(AND(C4449=1,D4448=1),MIN(E4448,3),"")</f>
      </c>
    </row>
    <row r="4450">
      <c r="A4450" s="6">
        <v>1412</v>
      </c>
      <c r="B4450" s="6" t="str">
        <f>'Lineal Mixto'!$C$1416</f>
      </c>
      <c r="C4450" s="6" t="str">
        <f>IF(AND(B4450&gt;=$B$3034,B4450&lt;=$B$3035),1,0)</f>
      </c>
      <c r="D4450" s="6" t="str">
        <f>IF(OR(D4449=1,C4450=1),1,0)</f>
      </c>
      <c r="E4450" s="6" t="str">
        <f>IF(C4450=1,0,IF(D4449=1,E4449+1,0))</f>
      </c>
      <c r="F4450" s="6" t="str">
        <f>IF(AND(C4450=1,D4449=1),MIN(E4449,3),"")</f>
      </c>
    </row>
    <row r="4451">
      <c r="A4451" s="5">
        <v>1413</v>
      </c>
      <c r="B4451" s="5" t="str">
        <f>'Lineal Mixto'!$C$1417</f>
      </c>
      <c r="C4451" s="5" t="str">
        <f>IF(AND(B4451&gt;=$B$3034,B4451&lt;=$B$3035),1,0)</f>
      </c>
      <c r="D4451" s="5" t="str">
        <f>IF(OR(D4450=1,C4451=1),1,0)</f>
      </c>
      <c r="E4451" s="5" t="str">
        <f>IF(C4451=1,0,IF(D4450=1,E4450+1,0))</f>
      </c>
      <c r="F4451" s="5" t="str">
        <f>IF(AND(C4451=1,D4450=1),MIN(E4450,3),"")</f>
      </c>
    </row>
    <row r="4452">
      <c r="A4452" s="6">
        <v>1414</v>
      </c>
      <c r="B4452" s="6" t="str">
        <f>'Lineal Mixto'!$C$1418</f>
      </c>
      <c r="C4452" s="6" t="str">
        <f>IF(AND(B4452&gt;=$B$3034,B4452&lt;=$B$3035),1,0)</f>
      </c>
      <c r="D4452" s="6" t="str">
        <f>IF(OR(D4451=1,C4452=1),1,0)</f>
      </c>
      <c r="E4452" s="6" t="str">
        <f>IF(C4452=1,0,IF(D4451=1,E4451+1,0))</f>
      </c>
      <c r="F4452" s="6" t="str">
        <f>IF(AND(C4452=1,D4451=1),MIN(E4451,3),"")</f>
      </c>
    </row>
    <row r="4453">
      <c r="A4453" s="5">
        <v>1415</v>
      </c>
      <c r="B4453" s="5" t="str">
        <f>'Lineal Mixto'!$C$1419</f>
      </c>
      <c r="C4453" s="5" t="str">
        <f>IF(AND(B4453&gt;=$B$3034,B4453&lt;=$B$3035),1,0)</f>
      </c>
      <c r="D4453" s="5" t="str">
        <f>IF(OR(D4452=1,C4453=1),1,0)</f>
      </c>
      <c r="E4453" s="5" t="str">
        <f>IF(C4453=1,0,IF(D4452=1,E4452+1,0))</f>
      </c>
      <c r="F4453" s="5" t="str">
        <f>IF(AND(C4453=1,D4452=1),MIN(E4452,3),"")</f>
      </c>
    </row>
    <row r="4454">
      <c r="A4454" s="6">
        <v>1416</v>
      </c>
      <c r="B4454" s="6" t="str">
        <f>'Lineal Mixto'!$C$1420</f>
      </c>
      <c r="C4454" s="6" t="str">
        <f>IF(AND(B4454&gt;=$B$3034,B4454&lt;=$B$3035),1,0)</f>
      </c>
      <c r="D4454" s="6" t="str">
        <f>IF(OR(D4453=1,C4454=1),1,0)</f>
      </c>
      <c r="E4454" s="6" t="str">
        <f>IF(C4454=1,0,IF(D4453=1,E4453+1,0))</f>
      </c>
      <c r="F4454" s="6" t="str">
        <f>IF(AND(C4454=1,D4453=1),MIN(E4453,3),"")</f>
      </c>
    </row>
    <row r="4455">
      <c r="A4455" s="5">
        <v>1417</v>
      </c>
      <c r="B4455" s="5" t="str">
        <f>'Lineal Mixto'!$C$1421</f>
      </c>
      <c r="C4455" s="5" t="str">
        <f>IF(AND(B4455&gt;=$B$3034,B4455&lt;=$B$3035),1,0)</f>
      </c>
      <c r="D4455" s="5" t="str">
        <f>IF(OR(D4454=1,C4455=1),1,0)</f>
      </c>
      <c r="E4455" s="5" t="str">
        <f>IF(C4455=1,0,IF(D4454=1,E4454+1,0))</f>
      </c>
      <c r="F4455" s="5" t="str">
        <f>IF(AND(C4455=1,D4454=1),MIN(E4454,3),"")</f>
      </c>
    </row>
    <row r="4456">
      <c r="A4456" s="6">
        <v>1418</v>
      </c>
      <c r="B4456" s="6" t="str">
        <f>'Lineal Mixto'!$C$1422</f>
      </c>
      <c r="C4456" s="6" t="str">
        <f>IF(AND(B4456&gt;=$B$3034,B4456&lt;=$B$3035),1,0)</f>
      </c>
      <c r="D4456" s="6" t="str">
        <f>IF(OR(D4455=1,C4456=1),1,0)</f>
      </c>
      <c r="E4456" s="6" t="str">
        <f>IF(C4456=1,0,IF(D4455=1,E4455+1,0))</f>
      </c>
      <c r="F4456" s="6" t="str">
        <f>IF(AND(C4456=1,D4455=1),MIN(E4455,3),"")</f>
      </c>
    </row>
    <row r="4457">
      <c r="A4457" s="5">
        <v>1419</v>
      </c>
      <c r="B4457" s="5" t="str">
        <f>'Lineal Mixto'!$C$1423</f>
      </c>
      <c r="C4457" s="5" t="str">
        <f>IF(AND(B4457&gt;=$B$3034,B4457&lt;=$B$3035),1,0)</f>
      </c>
      <c r="D4457" s="5" t="str">
        <f>IF(OR(D4456=1,C4457=1),1,0)</f>
      </c>
      <c r="E4457" s="5" t="str">
        <f>IF(C4457=1,0,IF(D4456=1,E4456+1,0))</f>
      </c>
      <c r="F4457" s="5" t="str">
        <f>IF(AND(C4457=1,D4456=1),MIN(E4456,3),"")</f>
      </c>
    </row>
    <row r="4458">
      <c r="A4458" s="6">
        <v>1420</v>
      </c>
      <c r="B4458" s="6" t="str">
        <f>'Lineal Mixto'!$C$1424</f>
      </c>
      <c r="C4458" s="6" t="str">
        <f>IF(AND(B4458&gt;=$B$3034,B4458&lt;=$B$3035),1,0)</f>
      </c>
      <c r="D4458" s="6" t="str">
        <f>IF(OR(D4457=1,C4458=1),1,0)</f>
      </c>
      <c r="E4458" s="6" t="str">
        <f>IF(C4458=1,0,IF(D4457=1,E4457+1,0))</f>
      </c>
      <c r="F4458" s="6" t="str">
        <f>IF(AND(C4458=1,D4457=1),MIN(E4457,3),"")</f>
      </c>
    </row>
    <row r="4459">
      <c r="A4459" s="5">
        <v>1421</v>
      </c>
      <c r="B4459" s="5" t="str">
        <f>'Lineal Mixto'!$C$1425</f>
      </c>
      <c r="C4459" s="5" t="str">
        <f>IF(AND(B4459&gt;=$B$3034,B4459&lt;=$B$3035),1,0)</f>
      </c>
      <c r="D4459" s="5" t="str">
        <f>IF(OR(D4458=1,C4459=1),1,0)</f>
      </c>
      <c r="E4459" s="5" t="str">
        <f>IF(C4459=1,0,IF(D4458=1,E4458+1,0))</f>
      </c>
      <c r="F4459" s="5" t="str">
        <f>IF(AND(C4459=1,D4458=1),MIN(E4458,3),"")</f>
      </c>
    </row>
    <row r="4460">
      <c r="A4460" s="6">
        <v>1422</v>
      </c>
      <c r="B4460" s="6" t="str">
        <f>'Lineal Mixto'!$C$1426</f>
      </c>
      <c r="C4460" s="6" t="str">
        <f>IF(AND(B4460&gt;=$B$3034,B4460&lt;=$B$3035),1,0)</f>
      </c>
      <c r="D4460" s="6" t="str">
        <f>IF(OR(D4459=1,C4460=1),1,0)</f>
      </c>
      <c r="E4460" s="6" t="str">
        <f>IF(C4460=1,0,IF(D4459=1,E4459+1,0))</f>
      </c>
      <c r="F4460" s="6" t="str">
        <f>IF(AND(C4460=1,D4459=1),MIN(E4459,3),"")</f>
      </c>
    </row>
    <row r="4461">
      <c r="A4461" s="5">
        <v>1423</v>
      </c>
      <c r="B4461" s="5" t="str">
        <f>'Lineal Mixto'!$C$1427</f>
      </c>
      <c r="C4461" s="5" t="str">
        <f>IF(AND(B4461&gt;=$B$3034,B4461&lt;=$B$3035),1,0)</f>
      </c>
      <c r="D4461" s="5" t="str">
        <f>IF(OR(D4460=1,C4461=1),1,0)</f>
      </c>
      <c r="E4461" s="5" t="str">
        <f>IF(C4461=1,0,IF(D4460=1,E4460+1,0))</f>
      </c>
      <c r="F4461" s="5" t="str">
        <f>IF(AND(C4461=1,D4460=1),MIN(E4460,3),"")</f>
      </c>
    </row>
    <row r="4462">
      <c r="A4462" s="6">
        <v>1424</v>
      </c>
      <c r="B4462" s="6" t="str">
        <f>'Lineal Mixto'!$C$1428</f>
      </c>
      <c r="C4462" s="6" t="str">
        <f>IF(AND(B4462&gt;=$B$3034,B4462&lt;=$B$3035),1,0)</f>
      </c>
      <c r="D4462" s="6" t="str">
        <f>IF(OR(D4461=1,C4462=1),1,0)</f>
      </c>
      <c r="E4462" s="6" t="str">
        <f>IF(C4462=1,0,IF(D4461=1,E4461+1,0))</f>
      </c>
      <c r="F4462" s="6" t="str">
        <f>IF(AND(C4462=1,D4461=1),MIN(E4461,3),"")</f>
      </c>
    </row>
    <row r="4463">
      <c r="A4463" s="5">
        <v>1425</v>
      </c>
      <c r="B4463" s="5" t="str">
        <f>'Lineal Mixto'!$C$1429</f>
      </c>
      <c r="C4463" s="5" t="str">
        <f>IF(AND(B4463&gt;=$B$3034,B4463&lt;=$B$3035),1,0)</f>
      </c>
      <c r="D4463" s="5" t="str">
        <f>IF(OR(D4462=1,C4463=1),1,0)</f>
      </c>
      <c r="E4463" s="5" t="str">
        <f>IF(C4463=1,0,IF(D4462=1,E4462+1,0))</f>
      </c>
      <c r="F4463" s="5" t="str">
        <f>IF(AND(C4463=1,D4462=1),MIN(E4462,3),"")</f>
      </c>
    </row>
    <row r="4464">
      <c r="A4464" s="6">
        <v>1426</v>
      </c>
      <c r="B4464" s="6" t="str">
        <f>'Lineal Mixto'!$C$1430</f>
      </c>
      <c r="C4464" s="6" t="str">
        <f>IF(AND(B4464&gt;=$B$3034,B4464&lt;=$B$3035),1,0)</f>
      </c>
      <c r="D4464" s="6" t="str">
        <f>IF(OR(D4463=1,C4464=1),1,0)</f>
      </c>
      <c r="E4464" s="6" t="str">
        <f>IF(C4464=1,0,IF(D4463=1,E4463+1,0))</f>
      </c>
      <c r="F4464" s="6" t="str">
        <f>IF(AND(C4464=1,D4463=1),MIN(E4463,3),"")</f>
      </c>
    </row>
    <row r="4465">
      <c r="A4465" s="5">
        <v>1427</v>
      </c>
      <c r="B4465" s="5" t="str">
        <f>'Lineal Mixto'!$C$1431</f>
      </c>
      <c r="C4465" s="5" t="str">
        <f>IF(AND(B4465&gt;=$B$3034,B4465&lt;=$B$3035),1,0)</f>
      </c>
      <c r="D4465" s="5" t="str">
        <f>IF(OR(D4464=1,C4465=1),1,0)</f>
      </c>
      <c r="E4465" s="5" t="str">
        <f>IF(C4465=1,0,IF(D4464=1,E4464+1,0))</f>
      </c>
      <c r="F4465" s="5" t="str">
        <f>IF(AND(C4465=1,D4464=1),MIN(E4464,3),"")</f>
      </c>
    </row>
    <row r="4466">
      <c r="A4466" s="6">
        <v>1428</v>
      </c>
      <c r="B4466" s="6" t="str">
        <f>'Lineal Mixto'!$C$1432</f>
      </c>
      <c r="C4466" s="6" t="str">
        <f>IF(AND(B4466&gt;=$B$3034,B4466&lt;=$B$3035),1,0)</f>
      </c>
      <c r="D4466" s="6" t="str">
        <f>IF(OR(D4465=1,C4466=1),1,0)</f>
      </c>
      <c r="E4466" s="6" t="str">
        <f>IF(C4466=1,0,IF(D4465=1,E4465+1,0))</f>
      </c>
      <c r="F4466" s="6" t="str">
        <f>IF(AND(C4466=1,D4465=1),MIN(E4465,3),"")</f>
      </c>
    </row>
    <row r="4467">
      <c r="A4467" s="5">
        <v>1429</v>
      </c>
      <c r="B4467" s="5" t="str">
        <f>'Lineal Mixto'!$C$1433</f>
      </c>
      <c r="C4467" s="5" t="str">
        <f>IF(AND(B4467&gt;=$B$3034,B4467&lt;=$B$3035),1,0)</f>
      </c>
      <c r="D4467" s="5" t="str">
        <f>IF(OR(D4466=1,C4467=1),1,0)</f>
      </c>
      <c r="E4467" s="5" t="str">
        <f>IF(C4467=1,0,IF(D4466=1,E4466+1,0))</f>
      </c>
      <c r="F4467" s="5" t="str">
        <f>IF(AND(C4467=1,D4466=1),MIN(E4466,3),"")</f>
      </c>
    </row>
    <row r="4468">
      <c r="A4468" s="6">
        <v>1430</v>
      </c>
      <c r="B4468" s="6" t="str">
        <f>'Lineal Mixto'!$C$1434</f>
      </c>
      <c r="C4468" s="6" t="str">
        <f>IF(AND(B4468&gt;=$B$3034,B4468&lt;=$B$3035),1,0)</f>
      </c>
      <c r="D4468" s="6" t="str">
        <f>IF(OR(D4467=1,C4468=1),1,0)</f>
      </c>
      <c r="E4468" s="6" t="str">
        <f>IF(C4468=1,0,IF(D4467=1,E4467+1,0))</f>
      </c>
      <c r="F4468" s="6" t="str">
        <f>IF(AND(C4468=1,D4467=1),MIN(E4467,3),"")</f>
      </c>
    </row>
    <row r="4469">
      <c r="A4469" s="5">
        <v>1431</v>
      </c>
      <c r="B4469" s="5" t="str">
        <f>'Lineal Mixto'!$C$1435</f>
      </c>
      <c r="C4469" s="5" t="str">
        <f>IF(AND(B4469&gt;=$B$3034,B4469&lt;=$B$3035),1,0)</f>
      </c>
      <c r="D4469" s="5" t="str">
        <f>IF(OR(D4468=1,C4469=1),1,0)</f>
      </c>
      <c r="E4469" s="5" t="str">
        <f>IF(C4469=1,0,IF(D4468=1,E4468+1,0))</f>
      </c>
      <c r="F4469" s="5" t="str">
        <f>IF(AND(C4469=1,D4468=1),MIN(E4468,3),"")</f>
      </c>
    </row>
    <row r="4470">
      <c r="A4470" s="6">
        <v>1432</v>
      </c>
      <c r="B4470" s="6" t="str">
        <f>'Lineal Mixto'!$C$1436</f>
      </c>
      <c r="C4470" s="6" t="str">
        <f>IF(AND(B4470&gt;=$B$3034,B4470&lt;=$B$3035),1,0)</f>
      </c>
      <c r="D4470" s="6" t="str">
        <f>IF(OR(D4469=1,C4470=1),1,0)</f>
      </c>
      <c r="E4470" s="6" t="str">
        <f>IF(C4470=1,0,IF(D4469=1,E4469+1,0))</f>
      </c>
      <c r="F4470" s="6" t="str">
        <f>IF(AND(C4470=1,D4469=1),MIN(E4469,3),"")</f>
      </c>
    </row>
    <row r="4471">
      <c r="A4471" s="5">
        <v>1433</v>
      </c>
      <c r="B4471" s="5" t="str">
        <f>'Lineal Mixto'!$C$1437</f>
      </c>
      <c r="C4471" s="5" t="str">
        <f>IF(AND(B4471&gt;=$B$3034,B4471&lt;=$B$3035),1,0)</f>
      </c>
      <c r="D4471" s="5" t="str">
        <f>IF(OR(D4470=1,C4471=1),1,0)</f>
      </c>
      <c r="E4471" s="5" t="str">
        <f>IF(C4471=1,0,IF(D4470=1,E4470+1,0))</f>
      </c>
      <c r="F4471" s="5" t="str">
        <f>IF(AND(C4471=1,D4470=1),MIN(E4470,3),"")</f>
      </c>
    </row>
    <row r="4472">
      <c r="A4472" s="6">
        <v>1434</v>
      </c>
      <c r="B4472" s="6" t="str">
        <f>'Lineal Mixto'!$C$1438</f>
      </c>
      <c r="C4472" s="6" t="str">
        <f>IF(AND(B4472&gt;=$B$3034,B4472&lt;=$B$3035),1,0)</f>
      </c>
      <c r="D4472" s="6" t="str">
        <f>IF(OR(D4471=1,C4472=1),1,0)</f>
      </c>
      <c r="E4472" s="6" t="str">
        <f>IF(C4472=1,0,IF(D4471=1,E4471+1,0))</f>
      </c>
      <c r="F4472" s="6" t="str">
        <f>IF(AND(C4472=1,D4471=1),MIN(E4471,3),"")</f>
      </c>
    </row>
    <row r="4473">
      <c r="A4473" s="5">
        <v>1435</v>
      </c>
      <c r="B4473" s="5" t="str">
        <f>'Lineal Mixto'!$C$1439</f>
      </c>
      <c r="C4473" s="5" t="str">
        <f>IF(AND(B4473&gt;=$B$3034,B4473&lt;=$B$3035),1,0)</f>
      </c>
      <c r="D4473" s="5" t="str">
        <f>IF(OR(D4472=1,C4473=1),1,0)</f>
      </c>
      <c r="E4473" s="5" t="str">
        <f>IF(C4473=1,0,IF(D4472=1,E4472+1,0))</f>
      </c>
      <c r="F4473" s="5" t="str">
        <f>IF(AND(C4473=1,D4472=1),MIN(E4472,3),"")</f>
      </c>
    </row>
    <row r="4474">
      <c r="A4474" s="6">
        <v>1436</v>
      </c>
      <c r="B4474" s="6" t="str">
        <f>'Lineal Mixto'!$C$1440</f>
      </c>
      <c r="C4474" s="6" t="str">
        <f>IF(AND(B4474&gt;=$B$3034,B4474&lt;=$B$3035),1,0)</f>
      </c>
      <c r="D4474" s="6" t="str">
        <f>IF(OR(D4473=1,C4474=1),1,0)</f>
      </c>
      <c r="E4474" s="6" t="str">
        <f>IF(C4474=1,0,IF(D4473=1,E4473+1,0))</f>
      </c>
      <c r="F4474" s="6" t="str">
        <f>IF(AND(C4474=1,D4473=1),MIN(E4473,3),"")</f>
      </c>
    </row>
    <row r="4475">
      <c r="A4475" s="5">
        <v>1437</v>
      </c>
      <c r="B4475" s="5" t="str">
        <f>'Lineal Mixto'!$C$1441</f>
      </c>
      <c r="C4475" s="5" t="str">
        <f>IF(AND(B4475&gt;=$B$3034,B4475&lt;=$B$3035),1,0)</f>
      </c>
      <c r="D4475" s="5" t="str">
        <f>IF(OR(D4474=1,C4475=1),1,0)</f>
      </c>
      <c r="E4475" s="5" t="str">
        <f>IF(C4475=1,0,IF(D4474=1,E4474+1,0))</f>
      </c>
      <c r="F4475" s="5" t="str">
        <f>IF(AND(C4475=1,D4474=1),MIN(E4474,3),"")</f>
      </c>
    </row>
    <row r="4476">
      <c r="A4476" s="6">
        <v>1438</v>
      </c>
      <c r="B4476" s="6" t="str">
        <f>'Lineal Mixto'!$C$1442</f>
      </c>
      <c r="C4476" s="6" t="str">
        <f>IF(AND(B4476&gt;=$B$3034,B4476&lt;=$B$3035),1,0)</f>
      </c>
      <c r="D4476" s="6" t="str">
        <f>IF(OR(D4475=1,C4476=1),1,0)</f>
      </c>
      <c r="E4476" s="6" t="str">
        <f>IF(C4476=1,0,IF(D4475=1,E4475+1,0))</f>
      </c>
      <c r="F4476" s="6" t="str">
        <f>IF(AND(C4476=1,D4475=1),MIN(E4475,3),"")</f>
      </c>
    </row>
    <row r="4477">
      <c r="A4477" s="5">
        <v>1439</v>
      </c>
      <c r="B4477" s="5" t="str">
        <f>'Lineal Mixto'!$C$1443</f>
      </c>
      <c r="C4477" s="5" t="str">
        <f>IF(AND(B4477&gt;=$B$3034,B4477&lt;=$B$3035),1,0)</f>
      </c>
      <c r="D4477" s="5" t="str">
        <f>IF(OR(D4476=1,C4477=1),1,0)</f>
      </c>
      <c r="E4477" s="5" t="str">
        <f>IF(C4477=1,0,IF(D4476=1,E4476+1,0))</f>
      </c>
      <c r="F4477" s="5" t="str">
        <f>IF(AND(C4477=1,D4476=1),MIN(E4476,3),"")</f>
      </c>
    </row>
    <row r="4478">
      <c r="A4478" s="6">
        <v>1440</v>
      </c>
      <c r="B4478" s="6" t="str">
        <f>'Lineal Mixto'!$C$1444</f>
      </c>
      <c r="C4478" s="6" t="str">
        <f>IF(AND(B4478&gt;=$B$3034,B4478&lt;=$B$3035),1,0)</f>
      </c>
      <c r="D4478" s="6" t="str">
        <f>IF(OR(D4477=1,C4478=1),1,0)</f>
      </c>
      <c r="E4478" s="6" t="str">
        <f>IF(C4478=1,0,IF(D4477=1,E4477+1,0))</f>
      </c>
      <c r="F4478" s="6" t="str">
        <f>IF(AND(C4478=1,D4477=1),MIN(E4477,3),"")</f>
      </c>
    </row>
    <row r="4479">
      <c r="A4479" s="5">
        <v>1441</v>
      </c>
      <c r="B4479" s="5" t="str">
        <f>'Lineal Mixto'!$C$1445</f>
      </c>
      <c r="C4479" s="5" t="str">
        <f>IF(AND(B4479&gt;=$B$3034,B4479&lt;=$B$3035),1,0)</f>
      </c>
      <c r="D4479" s="5" t="str">
        <f>IF(OR(D4478=1,C4479=1),1,0)</f>
      </c>
      <c r="E4479" s="5" t="str">
        <f>IF(C4479=1,0,IF(D4478=1,E4478+1,0))</f>
      </c>
      <c r="F4479" s="5" t="str">
        <f>IF(AND(C4479=1,D4478=1),MIN(E4478,3),"")</f>
      </c>
    </row>
    <row r="4480">
      <c r="A4480" s="6">
        <v>1442</v>
      </c>
      <c r="B4480" s="6" t="str">
        <f>'Lineal Mixto'!$C$1446</f>
      </c>
      <c r="C4480" s="6" t="str">
        <f>IF(AND(B4480&gt;=$B$3034,B4480&lt;=$B$3035),1,0)</f>
      </c>
      <c r="D4480" s="6" t="str">
        <f>IF(OR(D4479=1,C4480=1),1,0)</f>
      </c>
      <c r="E4480" s="6" t="str">
        <f>IF(C4480=1,0,IF(D4479=1,E4479+1,0))</f>
      </c>
      <c r="F4480" s="6" t="str">
        <f>IF(AND(C4480=1,D4479=1),MIN(E4479,3),"")</f>
      </c>
    </row>
    <row r="4481">
      <c r="A4481" s="5">
        <v>1443</v>
      </c>
      <c r="B4481" s="5" t="str">
        <f>'Lineal Mixto'!$C$1447</f>
      </c>
      <c r="C4481" s="5" t="str">
        <f>IF(AND(B4481&gt;=$B$3034,B4481&lt;=$B$3035),1,0)</f>
      </c>
      <c r="D4481" s="5" t="str">
        <f>IF(OR(D4480=1,C4481=1),1,0)</f>
      </c>
      <c r="E4481" s="5" t="str">
        <f>IF(C4481=1,0,IF(D4480=1,E4480+1,0))</f>
      </c>
      <c r="F4481" s="5" t="str">
        <f>IF(AND(C4481=1,D4480=1),MIN(E4480,3),"")</f>
      </c>
    </row>
    <row r="4482">
      <c r="A4482" s="6">
        <v>1444</v>
      </c>
      <c r="B4482" s="6" t="str">
        <f>'Lineal Mixto'!$C$1448</f>
      </c>
      <c r="C4482" s="6" t="str">
        <f>IF(AND(B4482&gt;=$B$3034,B4482&lt;=$B$3035),1,0)</f>
      </c>
      <c r="D4482" s="6" t="str">
        <f>IF(OR(D4481=1,C4482=1),1,0)</f>
      </c>
      <c r="E4482" s="6" t="str">
        <f>IF(C4482=1,0,IF(D4481=1,E4481+1,0))</f>
      </c>
      <c r="F4482" s="6" t="str">
        <f>IF(AND(C4482=1,D4481=1),MIN(E4481,3),"")</f>
      </c>
    </row>
    <row r="4483">
      <c r="A4483" s="5">
        <v>1445</v>
      </c>
      <c r="B4483" s="5" t="str">
        <f>'Lineal Mixto'!$C$1449</f>
      </c>
      <c r="C4483" s="5" t="str">
        <f>IF(AND(B4483&gt;=$B$3034,B4483&lt;=$B$3035),1,0)</f>
      </c>
      <c r="D4483" s="5" t="str">
        <f>IF(OR(D4482=1,C4483=1),1,0)</f>
      </c>
      <c r="E4483" s="5" t="str">
        <f>IF(C4483=1,0,IF(D4482=1,E4482+1,0))</f>
      </c>
      <c r="F4483" s="5" t="str">
        <f>IF(AND(C4483=1,D4482=1),MIN(E4482,3),"")</f>
      </c>
    </row>
    <row r="4484">
      <c r="A4484" s="6">
        <v>1446</v>
      </c>
      <c r="B4484" s="6" t="str">
        <f>'Lineal Mixto'!$C$1450</f>
      </c>
      <c r="C4484" s="6" t="str">
        <f>IF(AND(B4484&gt;=$B$3034,B4484&lt;=$B$3035),1,0)</f>
      </c>
      <c r="D4484" s="6" t="str">
        <f>IF(OR(D4483=1,C4484=1),1,0)</f>
      </c>
      <c r="E4484" s="6" t="str">
        <f>IF(C4484=1,0,IF(D4483=1,E4483+1,0))</f>
      </c>
      <c r="F4484" s="6" t="str">
        <f>IF(AND(C4484=1,D4483=1),MIN(E4483,3),"")</f>
      </c>
    </row>
    <row r="4485">
      <c r="A4485" s="5">
        <v>1447</v>
      </c>
      <c r="B4485" s="5" t="str">
        <f>'Lineal Mixto'!$C$1451</f>
      </c>
      <c r="C4485" s="5" t="str">
        <f>IF(AND(B4485&gt;=$B$3034,B4485&lt;=$B$3035),1,0)</f>
      </c>
      <c r="D4485" s="5" t="str">
        <f>IF(OR(D4484=1,C4485=1),1,0)</f>
      </c>
      <c r="E4485" s="5" t="str">
        <f>IF(C4485=1,0,IF(D4484=1,E4484+1,0))</f>
      </c>
      <c r="F4485" s="5" t="str">
        <f>IF(AND(C4485=1,D4484=1),MIN(E4484,3),"")</f>
      </c>
    </row>
    <row r="4486">
      <c r="A4486" s="6">
        <v>1448</v>
      </c>
      <c r="B4486" s="6" t="str">
        <f>'Lineal Mixto'!$C$1452</f>
      </c>
      <c r="C4486" s="6" t="str">
        <f>IF(AND(B4486&gt;=$B$3034,B4486&lt;=$B$3035),1,0)</f>
      </c>
      <c r="D4486" s="6" t="str">
        <f>IF(OR(D4485=1,C4486=1),1,0)</f>
      </c>
      <c r="E4486" s="6" t="str">
        <f>IF(C4486=1,0,IF(D4485=1,E4485+1,0))</f>
      </c>
      <c r="F4486" s="6" t="str">
        <f>IF(AND(C4486=1,D4485=1),MIN(E4485,3),"")</f>
      </c>
    </row>
    <row r="4487">
      <c r="A4487" s="5">
        <v>1449</v>
      </c>
      <c r="B4487" s="5" t="str">
        <f>'Lineal Mixto'!$C$1453</f>
      </c>
      <c r="C4487" s="5" t="str">
        <f>IF(AND(B4487&gt;=$B$3034,B4487&lt;=$B$3035),1,0)</f>
      </c>
      <c r="D4487" s="5" t="str">
        <f>IF(OR(D4486=1,C4487=1),1,0)</f>
      </c>
      <c r="E4487" s="5" t="str">
        <f>IF(C4487=1,0,IF(D4486=1,E4486+1,0))</f>
      </c>
      <c r="F4487" s="5" t="str">
        <f>IF(AND(C4487=1,D4486=1),MIN(E4486,3),"")</f>
      </c>
    </row>
    <row r="4488">
      <c r="A4488" s="6">
        <v>1450</v>
      </c>
      <c r="B4488" s="6" t="str">
        <f>'Lineal Mixto'!$C$1454</f>
      </c>
      <c r="C4488" s="6" t="str">
        <f>IF(AND(B4488&gt;=$B$3034,B4488&lt;=$B$3035),1,0)</f>
      </c>
      <c r="D4488" s="6" t="str">
        <f>IF(OR(D4487=1,C4488=1),1,0)</f>
      </c>
      <c r="E4488" s="6" t="str">
        <f>IF(C4488=1,0,IF(D4487=1,E4487+1,0))</f>
      </c>
      <c r="F4488" s="6" t="str">
        <f>IF(AND(C4488=1,D4487=1),MIN(E4487,3),"")</f>
      </c>
    </row>
    <row r="4489">
      <c r="A4489" s="5">
        <v>1451</v>
      </c>
      <c r="B4489" s="5" t="str">
        <f>'Lineal Mixto'!$C$1455</f>
      </c>
      <c r="C4489" s="5" t="str">
        <f>IF(AND(B4489&gt;=$B$3034,B4489&lt;=$B$3035),1,0)</f>
      </c>
      <c r="D4489" s="5" t="str">
        <f>IF(OR(D4488=1,C4489=1),1,0)</f>
      </c>
      <c r="E4489" s="5" t="str">
        <f>IF(C4489=1,0,IF(D4488=1,E4488+1,0))</f>
      </c>
      <c r="F4489" s="5" t="str">
        <f>IF(AND(C4489=1,D4488=1),MIN(E4488,3),"")</f>
      </c>
    </row>
    <row r="4490">
      <c r="A4490" s="6">
        <v>1452</v>
      </c>
      <c r="B4490" s="6" t="str">
        <f>'Lineal Mixto'!$C$1456</f>
      </c>
      <c r="C4490" s="6" t="str">
        <f>IF(AND(B4490&gt;=$B$3034,B4490&lt;=$B$3035),1,0)</f>
      </c>
      <c r="D4490" s="6" t="str">
        <f>IF(OR(D4489=1,C4490=1),1,0)</f>
      </c>
      <c r="E4490" s="6" t="str">
        <f>IF(C4490=1,0,IF(D4489=1,E4489+1,0))</f>
      </c>
      <c r="F4490" s="6" t="str">
        <f>IF(AND(C4490=1,D4489=1),MIN(E4489,3),"")</f>
      </c>
    </row>
    <row r="4491">
      <c r="A4491" s="5">
        <v>1453</v>
      </c>
      <c r="B4491" s="5" t="str">
        <f>'Lineal Mixto'!$C$1457</f>
      </c>
      <c r="C4491" s="5" t="str">
        <f>IF(AND(B4491&gt;=$B$3034,B4491&lt;=$B$3035),1,0)</f>
      </c>
      <c r="D4491" s="5" t="str">
        <f>IF(OR(D4490=1,C4491=1),1,0)</f>
      </c>
      <c r="E4491" s="5" t="str">
        <f>IF(C4491=1,0,IF(D4490=1,E4490+1,0))</f>
      </c>
      <c r="F4491" s="5" t="str">
        <f>IF(AND(C4491=1,D4490=1),MIN(E4490,3),"")</f>
      </c>
    </row>
    <row r="4492">
      <c r="A4492" s="6">
        <v>1454</v>
      </c>
      <c r="B4492" s="6" t="str">
        <f>'Lineal Mixto'!$C$1458</f>
      </c>
      <c r="C4492" s="6" t="str">
        <f>IF(AND(B4492&gt;=$B$3034,B4492&lt;=$B$3035),1,0)</f>
      </c>
      <c r="D4492" s="6" t="str">
        <f>IF(OR(D4491=1,C4492=1),1,0)</f>
      </c>
      <c r="E4492" s="6" t="str">
        <f>IF(C4492=1,0,IF(D4491=1,E4491+1,0))</f>
      </c>
      <c r="F4492" s="6" t="str">
        <f>IF(AND(C4492=1,D4491=1),MIN(E4491,3),"")</f>
      </c>
    </row>
    <row r="4493">
      <c r="A4493" s="5">
        <v>1455</v>
      </c>
      <c r="B4493" s="5" t="str">
        <f>'Lineal Mixto'!$C$1459</f>
      </c>
      <c r="C4493" s="5" t="str">
        <f>IF(AND(B4493&gt;=$B$3034,B4493&lt;=$B$3035),1,0)</f>
      </c>
      <c r="D4493" s="5" t="str">
        <f>IF(OR(D4492=1,C4493=1),1,0)</f>
      </c>
      <c r="E4493" s="5" t="str">
        <f>IF(C4493=1,0,IF(D4492=1,E4492+1,0))</f>
      </c>
      <c r="F4493" s="5" t="str">
        <f>IF(AND(C4493=1,D4492=1),MIN(E4492,3),"")</f>
      </c>
    </row>
    <row r="4494">
      <c r="A4494" s="6">
        <v>1456</v>
      </c>
      <c r="B4494" s="6" t="str">
        <f>'Lineal Mixto'!$C$1460</f>
      </c>
      <c r="C4494" s="6" t="str">
        <f>IF(AND(B4494&gt;=$B$3034,B4494&lt;=$B$3035),1,0)</f>
      </c>
      <c r="D4494" s="6" t="str">
        <f>IF(OR(D4493=1,C4494=1),1,0)</f>
      </c>
      <c r="E4494" s="6" t="str">
        <f>IF(C4494=1,0,IF(D4493=1,E4493+1,0))</f>
      </c>
      <c r="F4494" s="6" t="str">
        <f>IF(AND(C4494=1,D4493=1),MIN(E4493,3),"")</f>
      </c>
    </row>
    <row r="4495">
      <c r="A4495" s="5">
        <v>1457</v>
      </c>
      <c r="B4495" s="5" t="str">
        <f>'Lineal Mixto'!$C$1461</f>
      </c>
      <c r="C4495" s="5" t="str">
        <f>IF(AND(B4495&gt;=$B$3034,B4495&lt;=$B$3035),1,0)</f>
      </c>
      <c r="D4495" s="5" t="str">
        <f>IF(OR(D4494=1,C4495=1),1,0)</f>
      </c>
      <c r="E4495" s="5" t="str">
        <f>IF(C4495=1,0,IF(D4494=1,E4494+1,0))</f>
      </c>
      <c r="F4495" s="5" t="str">
        <f>IF(AND(C4495=1,D4494=1),MIN(E4494,3),"")</f>
      </c>
    </row>
    <row r="4496">
      <c r="A4496" s="6">
        <v>1458</v>
      </c>
      <c r="B4496" s="6" t="str">
        <f>'Lineal Mixto'!$C$1462</f>
      </c>
      <c r="C4496" s="6" t="str">
        <f>IF(AND(B4496&gt;=$B$3034,B4496&lt;=$B$3035),1,0)</f>
      </c>
      <c r="D4496" s="6" t="str">
        <f>IF(OR(D4495=1,C4496=1),1,0)</f>
      </c>
      <c r="E4496" s="6" t="str">
        <f>IF(C4496=1,0,IF(D4495=1,E4495+1,0))</f>
      </c>
      <c r="F4496" s="6" t="str">
        <f>IF(AND(C4496=1,D4495=1),MIN(E4495,3),"")</f>
      </c>
    </row>
    <row r="4497">
      <c r="A4497" s="5">
        <v>1459</v>
      </c>
      <c r="B4497" s="5" t="str">
        <f>'Lineal Mixto'!$C$1463</f>
      </c>
      <c r="C4497" s="5" t="str">
        <f>IF(AND(B4497&gt;=$B$3034,B4497&lt;=$B$3035),1,0)</f>
      </c>
      <c r="D4497" s="5" t="str">
        <f>IF(OR(D4496=1,C4497=1),1,0)</f>
      </c>
      <c r="E4497" s="5" t="str">
        <f>IF(C4497=1,0,IF(D4496=1,E4496+1,0))</f>
      </c>
      <c r="F4497" s="5" t="str">
        <f>IF(AND(C4497=1,D4496=1),MIN(E4496,3),"")</f>
      </c>
    </row>
    <row r="4498">
      <c r="A4498" s="6">
        <v>1460</v>
      </c>
      <c r="B4498" s="6" t="str">
        <f>'Lineal Mixto'!$C$1464</f>
      </c>
      <c r="C4498" s="6" t="str">
        <f>IF(AND(B4498&gt;=$B$3034,B4498&lt;=$B$3035),1,0)</f>
      </c>
      <c r="D4498" s="6" t="str">
        <f>IF(OR(D4497=1,C4498=1),1,0)</f>
      </c>
      <c r="E4498" s="6" t="str">
        <f>IF(C4498=1,0,IF(D4497=1,E4497+1,0))</f>
      </c>
      <c r="F4498" s="6" t="str">
        <f>IF(AND(C4498=1,D4497=1),MIN(E4497,3),"")</f>
      </c>
    </row>
    <row r="4499">
      <c r="A4499" s="5">
        <v>1461</v>
      </c>
      <c r="B4499" s="5" t="str">
        <f>'Lineal Mixto'!$C$1465</f>
      </c>
      <c r="C4499" s="5" t="str">
        <f>IF(AND(B4499&gt;=$B$3034,B4499&lt;=$B$3035),1,0)</f>
      </c>
      <c r="D4499" s="5" t="str">
        <f>IF(OR(D4498=1,C4499=1),1,0)</f>
      </c>
      <c r="E4499" s="5" t="str">
        <f>IF(C4499=1,0,IF(D4498=1,E4498+1,0))</f>
      </c>
      <c r="F4499" s="5" t="str">
        <f>IF(AND(C4499=1,D4498=1),MIN(E4498,3),"")</f>
      </c>
    </row>
    <row r="4500">
      <c r="A4500" s="6">
        <v>1462</v>
      </c>
      <c r="B4500" s="6" t="str">
        <f>'Lineal Mixto'!$C$1466</f>
      </c>
      <c r="C4500" s="6" t="str">
        <f>IF(AND(B4500&gt;=$B$3034,B4500&lt;=$B$3035),1,0)</f>
      </c>
      <c r="D4500" s="6" t="str">
        <f>IF(OR(D4499=1,C4500=1),1,0)</f>
      </c>
      <c r="E4500" s="6" t="str">
        <f>IF(C4500=1,0,IF(D4499=1,E4499+1,0))</f>
      </c>
      <c r="F4500" s="6" t="str">
        <f>IF(AND(C4500=1,D4499=1),MIN(E4499,3),"")</f>
      </c>
    </row>
    <row r="4501">
      <c r="A4501" s="5">
        <v>1463</v>
      </c>
      <c r="B4501" s="5" t="str">
        <f>'Lineal Mixto'!$C$1467</f>
      </c>
      <c r="C4501" s="5" t="str">
        <f>IF(AND(B4501&gt;=$B$3034,B4501&lt;=$B$3035),1,0)</f>
      </c>
      <c r="D4501" s="5" t="str">
        <f>IF(OR(D4500=1,C4501=1),1,0)</f>
      </c>
      <c r="E4501" s="5" t="str">
        <f>IF(C4501=1,0,IF(D4500=1,E4500+1,0))</f>
      </c>
      <c r="F4501" s="5" t="str">
        <f>IF(AND(C4501=1,D4500=1),MIN(E4500,3),"")</f>
      </c>
    </row>
    <row r="4502">
      <c r="A4502" s="6">
        <v>1464</v>
      </c>
      <c r="B4502" s="6" t="str">
        <f>'Lineal Mixto'!$C$1468</f>
      </c>
      <c r="C4502" s="6" t="str">
        <f>IF(AND(B4502&gt;=$B$3034,B4502&lt;=$B$3035),1,0)</f>
      </c>
      <c r="D4502" s="6" t="str">
        <f>IF(OR(D4501=1,C4502=1),1,0)</f>
      </c>
      <c r="E4502" s="6" t="str">
        <f>IF(C4502=1,0,IF(D4501=1,E4501+1,0))</f>
      </c>
      <c r="F4502" s="6" t="str">
        <f>IF(AND(C4502=1,D4501=1),MIN(E4501,3),"")</f>
      </c>
    </row>
    <row r="4503">
      <c r="A4503" s="5">
        <v>1465</v>
      </c>
      <c r="B4503" s="5" t="str">
        <f>'Lineal Mixto'!$C$1469</f>
      </c>
      <c r="C4503" s="5" t="str">
        <f>IF(AND(B4503&gt;=$B$3034,B4503&lt;=$B$3035),1,0)</f>
      </c>
      <c r="D4503" s="5" t="str">
        <f>IF(OR(D4502=1,C4503=1),1,0)</f>
      </c>
      <c r="E4503" s="5" t="str">
        <f>IF(C4503=1,0,IF(D4502=1,E4502+1,0))</f>
      </c>
      <c r="F4503" s="5" t="str">
        <f>IF(AND(C4503=1,D4502=1),MIN(E4502,3),"")</f>
      </c>
    </row>
    <row r="4504">
      <c r="A4504" s="6">
        <v>1466</v>
      </c>
      <c r="B4504" s="6" t="str">
        <f>'Lineal Mixto'!$C$1470</f>
      </c>
      <c r="C4504" s="6" t="str">
        <f>IF(AND(B4504&gt;=$B$3034,B4504&lt;=$B$3035),1,0)</f>
      </c>
      <c r="D4504" s="6" t="str">
        <f>IF(OR(D4503=1,C4504=1),1,0)</f>
      </c>
      <c r="E4504" s="6" t="str">
        <f>IF(C4504=1,0,IF(D4503=1,E4503+1,0))</f>
      </c>
      <c r="F4504" s="6" t="str">
        <f>IF(AND(C4504=1,D4503=1),MIN(E4503,3),"")</f>
      </c>
    </row>
    <row r="4505">
      <c r="A4505" s="5">
        <v>1467</v>
      </c>
      <c r="B4505" s="5" t="str">
        <f>'Lineal Mixto'!$C$1471</f>
      </c>
      <c r="C4505" s="5" t="str">
        <f>IF(AND(B4505&gt;=$B$3034,B4505&lt;=$B$3035),1,0)</f>
      </c>
      <c r="D4505" s="5" t="str">
        <f>IF(OR(D4504=1,C4505=1),1,0)</f>
      </c>
      <c r="E4505" s="5" t="str">
        <f>IF(C4505=1,0,IF(D4504=1,E4504+1,0))</f>
      </c>
      <c r="F4505" s="5" t="str">
        <f>IF(AND(C4505=1,D4504=1),MIN(E4504,3),"")</f>
      </c>
    </row>
    <row r="4506">
      <c r="A4506" s="6">
        <v>1468</v>
      </c>
      <c r="B4506" s="6" t="str">
        <f>'Lineal Mixto'!$C$1472</f>
      </c>
      <c r="C4506" s="6" t="str">
        <f>IF(AND(B4506&gt;=$B$3034,B4506&lt;=$B$3035),1,0)</f>
      </c>
      <c r="D4506" s="6" t="str">
        <f>IF(OR(D4505=1,C4506=1),1,0)</f>
      </c>
      <c r="E4506" s="6" t="str">
        <f>IF(C4506=1,0,IF(D4505=1,E4505+1,0))</f>
      </c>
      <c r="F4506" s="6" t="str">
        <f>IF(AND(C4506=1,D4505=1),MIN(E4505,3),"")</f>
      </c>
    </row>
    <row r="4507">
      <c r="A4507" s="5">
        <v>1469</v>
      </c>
      <c r="B4507" s="5" t="str">
        <f>'Lineal Mixto'!$C$1473</f>
      </c>
      <c r="C4507" s="5" t="str">
        <f>IF(AND(B4507&gt;=$B$3034,B4507&lt;=$B$3035),1,0)</f>
      </c>
      <c r="D4507" s="5" t="str">
        <f>IF(OR(D4506=1,C4507=1),1,0)</f>
      </c>
      <c r="E4507" s="5" t="str">
        <f>IF(C4507=1,0,IF(D4506=1,E4506+1,0))</f>
      </c>
      <c r="F4507" s="5" t="str">
        <f>IF(AND(C4507=1,D4506=1),MIN(E4506,3),"")</f>
      </c>
    </row>
    <row r="4508">
      <c r="A4508" s="6">
        <v>1470</v>
      </c>
      <c r="B4508" s="6" t="str">
        <f>'Lineal Mixto'!$C$1474</f>
      </c>
      <c r="C4508" s="6" t="str">
        <f>IF(AND(B4508&gt;=$B$3034,B4508&lt;=$B$3035),1,0)</f>
      </c>
      <c r="D4508" s="6" t="str">
        <f>IF(OR(D4507=1,C4508=1),1,0)</f>
      </c>
      <c r="E4508" s="6" t="str">
        <f>IF(C4508=1,0,IF(D4507=1,E4507+1,0))</f>
      </c>
      <c r="F4508" s="6" t="str">
        <f>IF(AND(C4508=1,D4507=1),MIN(E4507,3),"")</f>
      </c>
    </row>
    <row r="4509">
      <c r="A4509" s="5">
        <v>1471</v>
      </c>
      <c r="B4509" s="5" t="str">
        <f>'Lineal Mixto'!$C$1475</f>
      </c>
      <c r="C4509" s="5" t="str">
        <f>IF(AND(B4509&gt;=$B$3034,B4509&lt;=$B$3035),1,0)</f>
      </c>
      <c r="D4509" s="5" t="str">
        <f>IF(OR(D4508=1,C4509=1),1,0)</f>
      </c>
      <c r="E4509" s="5" t="str">
        <f>IF(C4509=1,0,IF(D4508=1,E4508+1,0))</f>
      </c>
      <c r="F4509" s="5" t="str">
        <f>IF(AND(C4509=1,D4508=1),MIN(E4508,3),"")</f>
      </c>
    </row>
    <row r="4510">
      <c r="A4510" s="6">
        <v>1472</v>
      </c>
      <c r="B4510" s="6" t="str">
        <f>'Lineal Mixto'!$C$1476</f>
      </c>
      <c r="C4510" s="6" t="str">
        <f>IF(AND(B4510&gt;=$B$3034,B4510&lt;=$B$3035),1,0)</f>
      </c>
      <c r="D4510" s="6" t="str">
        <f>IF(OR(D4509=1,C4510=1),1,0)</f>
      </c>
      <c r="E4510" s="6" t="str">
        <f>IF(C4510=1,0,IF(D4509=1,E4509+1,0))</f>
      </c>
      <c r="F4510" s="6" t="str">
        <f>IF(AND(C4510=1,D4509=1),MIN(E4509,3),"")</f>
      </c>
    </row>
    <row r="4511">
      <c r="A4511" s="5">
        <v>1473</v>
      </c>
      <c r="B4511" s="5" t="str">
        <f>'Lineal Mixto'!$C$1477</f>
      </c>
      <c r="C4511" s="5" t="str">
        <f>IF(AND(B4511&gt;=$B$3034,B4511&lt;=$B$3035),1,0)</f>
      </c>
      <c r="D4511" s="5" t="str">
        <f>IF(OR(D4510=1,C4511=1),1,0)</f>
      </c>
      <c r="E4511" s="5" t="str">
        <f>IF(C4511=1,0,IF(D4510=1,E4510+1,0))</f>
      </c>
      <c r="F4511" s="5" t="str">
        <f>IF(AND(C4511=1,D4510=1),MIN(E4510,3),"")</f>
      </c>
    </row>
    <row r="4512">
      <c r="A4512" s="6">
        <v>1474</v>
      </c>
      <c r="B4512" s="6" t="str">
        <f>'Lineal Mixto'!$C$1478</f>
      </c>
      <c r="C4512" s="6" t="str">
        <f>IF(AND(B4512&gt;=$B$3034,B4512&lt;=$B$3035),1,0)</f>
      </c>
      <c r="D4512" s="6" t="str">
        <f>IF(OR(D4511=1,C4512=1),1,0)</f>
      </c>
      <c r="E4512" s="6" t="str">
        <f>IF(C4512=1,0,IF(D4511=1,E4511+1,0))</f>
      </c>
      <c r="F4512" s="6" t="str">
        <f>IF(AND(C4512=1,D4511=1),MIN(E4511,3),"")</f>
      </c>
    </row>
    <row r="4513">
      <c r="A4513" s="5">
        <v>1475</v>
      </c>
      <c r="B4513" s="5" t="str">
        <f>'Lineal Mixto'!$C$1479</f>
      </c>
      <c r="C4513" s="5" t="str">
        <f>IF(AND(B4513&gt;=$B$3034,B4513&lt;=$B$3035),1,0)</f>
      </c>
      <c r="D4513" s="5" t="str">
        <f>IF(OR(D4512=1,C4513=1),1,0)</f>
      </c>
      <c r="E4513" s="5" t="str">
        <f>IF(C4513=1,0,IF(D4512=1,E4512+1,0))</f>
      </c>
      <c r="F4513" s="5" t="str">
        <f>IF(AND(C4513=1,D4512=1),MIN(E4512,3),"")</f>
      </c>
    </row>
    <row r="4514">
      <c r="A4514" s="6">
        <v>1476</v>
      </c>
      <c r="B4514" s="6" t="str">
        <f>'Lineal Mixto'!$C$1480</f>
      </c>
      <c r="C4514" s="6" t="str">
        <f>IF(AND(B4514&gt;=$B$3034,B4514&lt;=$B$3035),1,0)</f>
      </c>
      <c r="D4514" s="6" t="str">
        <f>IF(OR(D4513=1,C4514=1),1,0)</f>
      </c>
      <c r="E4514" s="6" t="str">
        <f>IF(C4514=1,0,IF(D4513=1,E4513+1,0))</f>
      </c>
      <c r="F4514" s="6" t="str">
        <f>IF(AND(C4514=1,D4513=1),MIN(E4513,3),"")</f>
      </c>
    </row>
    <row r="4515">
      <c r="A4515" s="5">
        <v>1477</v>
      </c>
      <c r="B4515" s="5" t="str">
        <f>'Lineal Mixto'!$C$1481</f>
      </c>
      <c r="C4515" s="5" t="str">
        <f>IF(AND(B4515&gt;=$B$3034,B4515&lt;=$B$3035),1,0)</f>
      </c>
      <c r="D4515" s="5" t="str">
        <f>IF(OR(D4514=1,C4515=1),1,0)</f>
      </c>
      <c r="E4515" s="5" t="str">
        <f>IF(C4515=1,0,IF(D4514=1,E4514+1,0))</f>
      </c>
      <c r="F4515" s="5" t="str">
        <f>IF(AND(C4515=1,D4514=1),MIN(E4514,3),"")</f>
      </c>
    </row>
    <row r="4516">
      <c r="A4516" s="6">
        <v>1478</v>
      </c>
      <c r="B4516" s="6" t="str">
        <f>'Lineal Mixto'!$C$1482</f>
      </c>
      <c r="C4516" s="6" t="str">
        <f>IF(AND(B4516&gt;=$B$3034,B4516&lt;=$B$3035),1,0)</f>
      </c>
      <c r="D4516" s="6" t="str">
        <f>IF(OR(D4515=1,C4516=1),1,0)</f>
      </c>
      <c r="E4516" s="6" t="str">
        <f>IF(C4516=1,0,IF(D4515=1,E4515+1,0))</f>
      </c>
      <c r="F4516" s="6" t="str">
        <f>IF(AND(C4516=1,D4515=1),MIN(E4515,3),"")</f>
      </c>
    </row>
    <row r="4517">
      <c r="A4517" s="5">
        <v>1479</v>
      </c>
      <c r="B4517" s="5" t="str">
        <f>'Lineal Mixto'!$C$1483</f>
      </c>
      <c r="C4517" s="5" t="str">
        <f>IF(AND(B4517&gt;=$B$3034,B4517&lt;=$B$3035),1,0)</f>
      </c>
      <c r="D4517" s="5" t="str">
        <f>IF(OR(D4516=1,C4517=1),1,0)</f>
      </c>
      <c r="E4517" s="5" t="str">
        <f>IF(C4517=1,0,IF(D4516=1,E4516+1,0))</f>
      </c>
      <c r="F4517" s="5" t="str">
        <f>IF(AND(C4517=1,D4516=1),MIN(E4516,3),"")</f>
      </c>
    </row>
    <row r="4518">
      <c r="A4518" s="6">
        <v>1480</v>
      </c>
      <c r="B4518" s="6" t="str">
        <f>'Lineal Mixto'!$C$1484</f>
      </c>
      <c r="C4518" s="6" t="str">
        <f>IF(AND(B4518&gt;=$B$3034,B4518&lt;=$B$3035),1,0)</f>
      </c>
      <c r="D4518" s="6" t="str">
        <f>IF(OR(D4517=1,C4518=1),1,0)</f>
      </c>
      <c r="E4518" s="6" t="str">
        <f>IF(C4518=1,0,IF(D4517=1,E4517+1,0))</f>
      </c>
      <c r="F4518" s="6" t="str">
        <f>IF(AND(C4518=1,D4517=1),MIN(E4517,3),"")</f>
      </c>
    </row>
    <row r="4519">
      <c r="A4519" s="5">
        <v>1481</v>
      </c>
      <c r="B4519" s="5" t="str">
        <f>'Lineal Mixto'!$C$1485</f>
      </c>
      <c r="C4519" s="5" t="str">
        <f>IF(AND(B4519&gt;=$B$3034,B4519&lt;=$B$3035),1,0)</f>
      </c>
      <c r="D4519" s="5" t="str">
        <f>IF(OR(D4518=1,C4519=1),1,0)</f>
      </c>
      <c r="E4519" s="5" t="str">
        <f>IF(C4519=1,0,IF(D4518=1,E4518+1,0))</f>
      </c>
      <c r="F4519" s="5" t="str">
        <f>IF(AND(C4519=1,D4518=1),MIN(E4518,3),"")</f>
      </c>
    </row>
    <row r="4520">
      <c r="A4520" s="6">
        <v>1482</v>
      </c>
      <c r="B4520" s="6" t="str">
        <f>'Lineal Mixto'!$C$1486</f>
      </c>
      <c r="C4520" s="6" t="str">
        <f>IF(AND(B4520&gt;=$B$3034,B4520&lt;=$B$3035),1,0)</f>
      </c>
      <c r="D4520" s="6" t="str">
        <f>IF(OR(D4519=1,C4520=1),1,0)</f>
      </c>
      <c r="E4520" s="6" t="str">
        <f>IF(C4520=1,0,IF(D4519=1,E4519+1,0))</f>
      </c>
      <c r="F4520" s="6" t="str">
        <f>IF(AND(C4520=1,D4519=1),MIN(E4519,3),"")</f>
      </c>
    </row>
    <row r="4521">
      <c r="A4521" s="5">
        <v>1483</v>
      </c>
      <c r="B4521" s="5" t="str">
        <f>'Lineal Mixto'!$C$1487</f>
      </c>
      <c r="C4521" s="5" t="str">
        <f>IF(AND(B4521&gt;=$B$3034,B4521&lt;=$B$3035),1,0)</f>
      </c>
      <c r="D4521" s="5" t="str">
        <f>IF(OR(D4520=1,C4521=1),1,0)</f>
      </c>
      <c r="E4521" s="5" t="str">
        <f>IF(C4521=1,0,IF(D4520=1,E4520+1,0))</f>
      </c>
      <c r="F4521" s="5" t="str">
        <f>IF(AND(C4521=1,D4520=1),MIN(E4520,3),"")</f>
      </c>
    </row>
    <row r="4522">
      <c r="A4522" s="6">
        <v>1484</v>
      </c>
      <c r="B4522" s="6" t="str">
        <f>'Lineal Mixto'!$C$1488</f>
      </c>
      <c r="C4522" s="6" t="str">
        <f>IF(AND(B4522&gt;=$B$3034,B4522&lt;=$B$3035),1,0)</f>
      </c>
      <c r="D4522" s="6" t="str">
        <f>IF(OR(D4521=1,C4522=1),1,0)</f>
      </c>
      <c r="E4522" s="6" t="str">
        <f>IF(C4522=1,0,IF(D4521=1,E4521+1,0))</f>
      </c>
      <c r="F4522" s="6" t="str">
        <f>IF(AND(C4522=1,D4521=1),MIN(E4521,3),"")</f>
      </c>
    </row>
    <row r="4523">
      <c r="A4523" s="5">
        <v>1485</v>
      </c>
      <c r="B4523" s="5" t="str">
        <f>'Lineal Mixto'!$C$1489</f>
      </c>
      <c r="C4523" s="5" t="str">
        <f>IF(AND(B4523&gt;=$B$3034,B4523&lt;=$B$3035),1,0)</f>
      </c>
      <c r="D4523" s="5" t="str">
        <f>IF(OR(D4522=1,C4523=1),1,0)</f>
      </c>
      <c r="E4523" s="5" t="str">
        <f>IF(C4523=1,0,IF(D4522=1,E4522+1,0))</f>
      </c>
      <c r="F4523" s="5" t="str">
        <f>IF(AND(C4523=1,D4522=1),MIN(E4522,3),"")</f>
      </c>
    </row>
    <row r="4524">
      <c r="A4524" s="6">
        <v>1486</v>
      </c>
      <c r="B4524" s="6" t="str">
        <f>'Lineal Mixto'!$C$1490</f>
      </c>
      <c r="C4524" s="6" t="str">
        <f>IF(AND(B4524&gt;=$B$3034,B4524&lt;=$B$3035),1,0)</f>
      </c>
      <c r="D4524" s="6" t="str">
        <f>IF(OR(D4523=1,C4524=1),1,0)</f>
      </c>
      <c r="E4524" s="6" t="str">
        <f>IF(C4524=1,0,IF(D4523=1,E4523+1,0))</f>
      </c>
      <c r="F4524" s="6" t="str">
        <f>IF(AND(C4524=1,D4523=1),MIN(E4523,3),"")</f>
      </c>
    </row>
    <row r="4525">
      <c r="A4525" s="5">
        <v>1487</v>
      </c>
      <c r="B4525" s="5" t="str">
        <f>'Lineal Mixto'!$C$1491</f>
      </c>
      <c r="C4525" s="5" t="str">
        <f>IF(AND(B4525&gt;=$B$3034,B4525&lt;=$B$3035),1,0)</f>
      </c>
      <c r="D4525" s="5" t="str">
        <f>IF(OR(D4524=1,C4525=1),1,0)</f>
      </c>
      <c r="E4525" s="5" t="str">
        <f>IF(C4525=1,0,IF(D4524=1,E4524+1,0))</f>
      </c>
      <c r="F4525" s="5" t="str">
        <f>IF(AND(C4525=1,D4524=1),MIN(E4524,3),"")</f>
      </c>
    </row>
    <row r="4526">
      <c r="A4526" s="6">
        <v>1488</v>
      </c>
      <c r="B4526" s="6" t="str">
        <f>'Lineal Mixto'!$C$1492</f>
      </c>
      <c r="C4526" s="6" t="str">
        <f>IF(AND(B4526&gt;=$B$3034,B4526&lt;=$B$3035),1,0)</f>
      </c>
      <c r="D4526" s="6" t="str">
        <f>IF(OR(D4525=1,C4526=1),1,0)</f>
      </c>
      <c r="E4526" s="6" t="str">
        <f>IF(C4526=1,0,IF(D4525=1,E4525+1,0))</f>
      </c>
      <c r="F4526" s="6" t="str">
        <f>IF(AND(C4526=1,D4525=1),MIN(E4525,3),"")</f>
      </c>
    </row>
    <row r="4527">
      <c r="A4527" s="5">
        <v>1489</v>
      </c>
      <c r="B4527" s="5" t="str">
        <f>'Lineal Mixto'!$C$1493</f>
      </c>
      <c r="C4527" s="5" t="str">
        <f>IF(AND(B4527&gt;=$B$3034,B4527&lt;=$B$3035),1,0)</f>
      </c>
      <c r="D4527" s="5" t="str">
        <f>IF(OR(D4526=1,C4527=1),1,0)</f>
      </c>
      <c r="E4527" s="5" t="str">
        <f>IF(C4527=1,0,IF(D4526=1,E4526+1,0))</f>
      </c>
      <c r="F4527" s="5" t="str">
        <f>IF(AND(C4527=1,D4526=1),MIN(E4526,3),"")</f>
      </c>
    </row>
    <row r="4528">
      <c r="A4528" s="6">
        <v>1490</v>
      </c>
      <c r="B4528" s="6" t="str">
        <f>'Lineal Mixto'!$C$1494</f>
      </c>
      <c r="C4528" s="6" t="str">
        <f>IF(AND(B4528&gt;=$B$3034,B4528&lt;=$B$3035),1,0)</f>
      </c>
      <c r="D4528" s="6" t="str">
        <f>IF(OR(D4527=1,C4528=1),1,0)</f>
      </c>
      <c r="E4528" s="6" t="str">
        <f>IF(C4528=1,0,IF(D4527=1,E4527+1,0))</f>
      </c>
      <c r="F4528" s="6" t="str">
        <f>IF(AND(C4528=1,D4527=1),MIN(E4527,3),"")</f>
      </c>
    </row>
    <row r="4529">
      <c r="A4529" s="5">
        <v>1491</v>
      </c>
      <c r="B4529" s="5" t="str">
        <f>'Lineal Mixto'!$C$1495</f>
      </c>
      <c r="C4529" s="5" t="str">
        <f>IF(AND(B4529&gt;=$B$3034,B4529&lt;=$B$3035),1,0)</f>
      </c>
      <c r="D4529" s="5" t="str">
        <f>IF(OR(D4528=1,C4529=1),1,0)</f>
      </c>
      <c r="E4529" s="5" t="str">
        <f>IF(C4529=1,0,IF(D4528=1,E4528+1,0))</f>
      </c>
      <c r="F4529" s="5" t="str">
        <f>IF(AND(C4529=1,D4528=1),MIN(E4528,3),"")</f>
      </c>
    </row>
    <row r="4530">
      <c r="A4530" s="6">
        <v>1492</v>
      </c>
      <c r="B4530" s="6" t="str">
        <f>'Lineal Mixto'!$C$1496</f>
      </c>
      <c r="C4530" s="6" t="str">
        <f>IF(AND(B4530&gt;=$B$3034,B4530&lt;=$B$3035),1,0)</f>
      </c>
      <c r="D4530" s="6" t="str">
        <f>IF(OR(D4529=1,C4530=1),1,0)</f>
      </c>
      <c r="E4530" s="6" t="str">
        <f>IF(C4530=1,0,IF(D4529=1,E4529+1,0))</f>
      </c>
      <c r="F4530" s="6" t="str">
        <f>IF(AND(C4530=1,D4529=1),MIN(E4529,3),"")</f>
      </c>
    </row>
    <row r="4531">
      <c r="A4531" s="5">
        <v>1493</v>
      </c>
      <c r="B4531" s="5" t="str">
        <f>'Lineal Mixto'!$C$1497</f>
      </c>
      <c r="C4531" s="5" t="str">
        <f>IF(AND(B4531&gt;=$B$3034,B4531&lt;=$B$3035),1,0)</f>
      </c>
      <c r="D4531" s="5" t="str">
        <f>IF(OR(D4530=1,C4531=1),1,0)</f>
      </c>
      <c r="E4531" s="5" t="str">
        <f>IF(C4531=1,0,IF(D4530=1,E4530+1,0))</f>
      </c>
      <c r="F4531" s="5" t="str">
        <f>IF(AND(C4531=1,D4530=1),MIN(E4530,3),"")</f>
      </c>
    </row>
    <row r="4532">
      <c r="A4532" s="6">
        <v>1494</v>
      </c>
      <c r="B4532" s="6" t="str">
        <f>'Lineal Mixto'!$C$1498</f>
      </c>
      <c r="C4532" s="6" t="str">
        <f>IF(AND(B4532&gt;=$B$3034,B4532&lt;=$B$3035),1,0)</f>
      </c>
      <c r="D4532" s="6" t="str">
        <f>IF(OR(D4531=1,C4532=1),1,0)</f>
      </c>
      <c r="E4532" s="6" t="str">
        <f>IF(C4532=1,0,IF(D4531=1,E4531+1,0))</f>
      </c>
      <c r="F4532" s="6" t="str">
        <f>IF(AND(C4532=1,D4531=1),MIN(E4531,3),"")</f>
      </c>
    </row>
    <row r="4533">
      <c r="A4533" s="5">
        <v>1495</v>
      </c>
      <c r="B4533" s="5" t="str">
        <f>'Lineal Mixto'!$C$1499</f>
      </c>
      <c r="C4533" s="5" t="str">
        <f>IF(AND(B4533&gt;=$B$3034,B4533&lt;=$B$3035),1,0)</f>
      </c>
      <c r="D4533" s="5" t="str">
        <f>IF(OR(D4532=1,C4533=1),1,0)</f>
      </c>
      <c r="E4533" s="5" t="str">
        <f>IF(C4533=1,0,IF(D4532=1,E4532+1,0))</f>
      </c>
      <c r="F4533" s="5" t="str">
        <f>IF(AND(C4533=1,D4532=1),MIN(E4532,3),"")</f>
      </c>
    </row>
    <row r="4534">
      <c r="A4534" s="6">
        <v>1496</v>
      </c>
      <c r="B4534" s="6" t="str">
        <f>'Lineal Mixto'!$C$1500</f>
      </c>
      <c r="C4534" s="6" t="str">
        <f>IF(AND(B4534&gt;=$B$3034,B4534&lt;=$B$3035),1,0)</f>
      </c>
      <c r="D4534" s="6" t="str">
        <f>IF(OR(D4533=1,C4534=1),1,0)</f>
      </c>
      <c r="E4534" s="6" t="str">
        <f>IF(C4534=1,0,IF(D4533=1,E4533+1,0))</f>
      </c>
      <c r="F4534" s="6" t="str">
        <f>IF(AND(C4534=1,D4533=1),MIN(E4533,3),"")</f>
      </c>
    </row>
    <row r="4535">
      <c r="A4535" s="5">
        <v>1497</v>
      </c>
      <c r="B4535" s="5" t="str">
        <f>'Lineal Mixto'!$C$1501</f>
      </c>
      <c r="C4535" s="5" t="str">
        <f>IF(AND(B4535&gt;=$B$3034,B4535&lt;=$B$3035),1,0)</f>
      </c>
      <c r="D4535" s="5" t="str">
        <f>IF(OR(D4534=1,C4535=1),1,0)</f>
      </c>
      <c r="E4535" s="5" t="str">
        <f>IF(C4535=1,0,IF(D4534=1,E4534+1,0))</f>
      </c>
      <c r="F4535" s="5" t="str">
        <f>IF(AND(C4535=1,D4534=1),MIN(E4534,3),"")</f>
      </c>
    </row>
    <row r="4536">
      <c r="A4536" s="6">
        <v>1498</v>
      </c>
      <c r="B4536" s="6" t="str">
        <f>'Lineal Mixto'!$C$1502</f>
      </c>
      <c r="C4536" s="6" t="str">
        <f>IF(AND(B4536&gt;=$B$3034,B4536&lt;=$B$3035),1,0)</f>
      </c>
      <c r="D4536" s="6" t="str">
        <f>IF(OR(D4535=1,C4536=1),1,0)</f>
      </c>
      <c r="E4536" s="6" t="str">
        <f>IF(C4536=1,0,IF(D4535=1,E4535+1,0))</f>
      </c>
      <c r="F4536" s="6" t="str">
        <f>IF(AND(C4536=1,D4535=1),MIN(E4535,3),"")</f>
      </c>
    </row>
    <row r="4537">
      <c r="A4537" s="5">
        <v>1499</v>
      </c>
      <c r="B4537" s="5" t="str">
        <f>'Lineal Mixto'!$C$1503</f>
      </c>
      <c r="C4537" s="5" t="str">
        <f>IF(AND(B4537&gt;=$B$3034,B4537&lt;=$B$3035),1,0)</f>
      </c>
      <c r="D4537" s="5" t="str">
        <f>IF(OR(D4536=1,C4537=1),1,0)</f>
      </c>
      <c r="E4537" s="5" t="str">
        <f>IF(C4537=1,0,IF(D4536=1,E4536+1,0))</f>
      </c>
      <c r="F4537" s="5" t="str">
        <f>IF(AND(C4537=1,D4536=1),MIN(E4536,3),"")</f>
      </c>
    </row>
    <row r="4538">
      <c r="A4538" s="6">
        <v>1500</v>
      </c>
      <c r="B4538" s="6" t="str">
        <f>'Lineal Mixto'!$C$1504</f>
      </c>
      <c r="C4538" s="6" t="str">
        <f>IF(AND(B4538&gt;=$B$3034,B4538&lt;=$B$3035),1,0)</f>
      </c>
      <c r="D4538" s="6" t="str">
        <f>IF(OR(D4537=1,C4538=1),1,0)</f>
      </c>
      <c r="E4538" s="6" t="str">
        <f>IF(C4538=1,0,IF(D4537=1,E4537+1,0))</f>
      </c>
      <c r="F4538" s="6" t="str">
        <f>IF(AND(C4538=1,D4537=1),MIN(E4537,3),"")</f>
      </c>
    </row>
    <row r="4539">
      <c r="A4539" s="5">
        <v>1501</v>
      </c>
      <c r="B4539" s="5" t="str">
        <f>'Lineal Mixto'!$C$1505</f>
      </c>
      <c r="C4539" s="5" t="str">
        <f>IF(AND(B4539&gt;=$B$3034,B4539&lt;=$B$3035),1,0)</f>
      </c>
      <c r="D4539" s="5" t="str">
        <f>IF(OR(D4538=1,C4539=1),1,0)</f>
      </c>
      <c r="E4539" s="5" t="str">
        <f>IF(C4539=1,0,IF(D4538=1,E4538+1,0))</f>
      </c>
      <c r="F4539" s="5" t="str">
        <f>IF(AND(C4539=1,D4538=1),MIN(E4538,3),"")</f>
      </c>
    </row>
    <row r="4540">
      <c r="A4540" s="6">
        <v>1502</v>
      </c>
      <c r="B4540" s="6" t="str">
        <f>'Lineal Mixto'!$C$1506</f>
      </c>
      <c r="C4540" s="6" t="str">
        <f>IF(AND(B4540&gt;=$B$3034,B4540&lt;=$B$3035),1,0)</f>
      </c>
      <c r="D4540" s="6" t="str">
        <f>IF(OR(D4539=1,C4540=1),1,0)</f>
      </c>
      <c r="E4540" s="6" t="str">
        <f>IF(C4540=1,0,IF(D4539=1,E4539+1,0))</f>
      </c>
      <c r="F4540" s="6" t="str">
        <f>IF(AND(C4540=1,D4539=1),MIN(E4539,3),"")</f>
      </c>
    </row>
    <row r="4541">
      <c r="A4541" s="5">
        <v>1503</v>
      </c>
      <c r="B4541" s="5" t="str">
        <f>'Lineal Mixto'!$C$1507</f>
      </c>
      <c r="C4541" s="5" t="str">
        <f>IF(AND(B4541&gt;=$B$3034,B4541&lt;=$B$3035),1,0)</f>
      </c>
      <c r="D4541" s="5" t="str">
        <f>IF(OR(D4540=1,C4541=1),1,0)</f>
      </c>
      <c r="E4541" s="5" t="str">
        <f>IF(C4541=1,0,IF(D4540=1,E4540+1,0))</f>
      </c>
      <c r="F4541" s="5" t="str">
        <f>IF(AND(C4541=1,D4540=1),MIN(E4540,3),"")</f>
      </c>
    </row>
    <row r="4542">
      <c r="A4542" s="6">
        <v>1504</v>
      </c>
      <c r="B4542" s="6" t="str">
        <f>'Lineal Mixto'!$C$1508</f>
      </c>
      <c r="C4542" s="6" t="str">
        <f>IF(AND(B4542&gt;=$B$3034,B4542&lt;=$B$3035),1,0)</f>
      </c>
      <c r="D4542" s="6" t="str">
        <f>IF(OR(D4541=1,C4542=1),1,0)</f>
      </c>
      <c r="E4542" s="6" t="str">
        <f>IF(C4542=1,0,IF(D4541=1,E4541+1,0))</f>
      </c>
      <c r="F4542" s="6" t="str">
        <f>IF(AND(C4542=1,D4541=1),MIN(E4541,3),"")</f>
      </c>
    </row>
    <row r="4543">
      <c r="A4543" s="5">
        <v>1505</v>
      </c>
      <c r="B4543" s="5" t="str">
        <f>'Lineal Mixto'!$C$1509</f>
      </c>
      <c r="C4543" s="5" t="str">
        <f>IF(AND(B4543&gt;=$B$3034,B4543&lt;=$B$3035),1,0)</f>
      </c>
      <c r="D4543" s="5" t="str">
        <f>IF(OR(D4542=1,C4543=1),1,0)</f>
      </c>
      <c r="E4543" s="5" t="str">
        <f>IF(C4543=1,0,IF(D4542=1,E4542+1,0))</f>
      </c>
      <c r="F4543" s="5" t="str">
        <f>IF(AND(C4543=1,D4542=1),MIN(E4542,3),"")</f>
      </c>
    </row>
    <row r="4544">
      <c r="A4544" s="6">
        <v>1506</v>
      </c>
      <c r="B4544" s="6" t="str">
        <f>'Lineal Mixto'!$C$1510</f>
      </c>
      <c r="C4544" s="6" t="str">
        <f>IF(AND(B4544&gt;=$B$3034,B4544&lt;=$B$3035),1,0)</f>
      </c>
      <c r="D4544" s="6" t="str">
        <f>IF(OR(D4543=1,C4544=1),1,0)</f>
      </c>
      <c r="E4544" s="6" t="str">
        <f>IF(C4544=1,0,IF(D4543=1,E4543+1,0))</f>
      </c>
      <c r="F4544" s="6" t="str">
        <f>IF(AND(C4544=1,D4543=1),MIN(E4543,3),"")</f>
      </c>
    </row>
    <row r="4545">
      <c r="A4545" s="5">
        <v>1507</v>
      </c>
      <c r="B4545" s="5" t="str">
        <f>'Lineal Mixto'!$C$1511</f>
      </c>
      <c r="C4545" s="5" t="str">
        <f>IF(AND(B4545&gt;=$B$3034,B4545&lt;=$B$3035),1,0)</f>
      </c>
      <c r="D4545" s="5" t="str">
        <f>IF(OR(D4544=1,C4545=1),1,0)</f>
      </c>
      <c r="E4545" s="5" t="str">
        <f>IF(C4545=1,0,IF(D4544=1,E4544+1,0))</f>
      </c>
      <c r="F4545" s="5" t="str">
        <f>IF(AND(C4545=1,D4544=1),MIN(E4544,3),"")</f>
      </c>
    </row>
    <row r="4546">
      <c r="A4546" s="6">
        <v>1508</v>
      </c>
      <c r="B4546" s="6" t="str">
        <f>'Lineal Mixto'!$C$1512</f>
      </c>
      <c r="C4546" s="6" t="str">
        <f>IF(AND(B4546&gt;=$B$3034,B4546&lt;=$B$3035),1,0)</f>
      </c>
      <c r="D4546" s="6" t="str">
        <f>IF(OR(D4545=1,C4546=1),1,0)</f>
      </c>
      <c r="E4546" s="6" t="str">
        <f>IF(C4546=1,0,IF(D4545=1,E4545+1,0))</f>
      </c>
      <c r="F4546" s="6" t="str">
        <f>IF(AND(C4546=1,D4545=1),MIN(E4545,3),"")</f>
      </c>
    </row>
    <row r="4547">
      <c r="A4547" s="5">
        <v>1509</v>
      </c>
      <c r="B4547" s="5" t="str">
        <f>'Lineal Mixto'!$C$1513</f>
      </c>
      <c r="C4547" s="5" t="str">
        <f>IF(AND(B4547&gt;=$B$3034,B4547&lt;=$B$3035),1,0)</f>
      </c>
      <c r="D4547" s="5" t="str">
        <f>IF(OR(D4546=1,C4547=1),1,0)</f>
      </c>
      <c r="E4547" s="5" t="str">
        <f>IF(C4547=1,0,IF(D4546=1,E4546+1,0))</f>
      </c>
      <c r="F4547" s="5" t="str">
        <f>IF(AND(C4547=1,D4546=1),MIN(E4546,3),"")</f>
      </c>
    </row>
    <row r="4548">
      <c r="A4548" s="6">
        <v>1510</v>
      </c>
      <c r="B4548" s="6" t="str">
        <f>'Lineal Mixto'!$C$1514</f>
      </c>
      <c r="C4548" s="6" t="str">
        <f>IF(AND(B4548&gt;=$B$3034,B4548&lt;=$B$3035),1,0)</f>
      </c>
      <c r="D4548" s="6" t="str">
        <f>IF(OR(D4547=1,C4548=1),1,0)</f>
      </c>
      <c r="E4548" s="6" t="str">
        <f>IF(C4548=1,0,IF(D4547=1,E4547+1,0))</f>
      </c>
      <c r="F4548" s="6" t="str">
        <f>IF(AND(C4548=1,D4547=1),MIN(E4547,3),"")</f>
      </c>
    </row>
    <row r="4549">
      <c r="A4549" s="5">
        <v>1511</v>
      </c>
      <c r="B4549" s="5" t="str">
        <f>'Lineal Mixto'!$C$1515</f>
      </c>
      <c r="C4549" s="5" t="str">
        <f>IF(AND(B4549&gt;=$B$3034,B4549&lt;=$B$3035),1,0)</f>
      </c>
      <c r="D4549" s="5" t="str">
        <f>IF(OR(D4548=1,C4549=1),1,0)</f>
      </c>
      <c r="E4549" s="5" t="str">
        <f>IF(C4549=1,0,IF(D4548=1,E4548+1,0))</f>
      </c>
      <c r="F4549" s="5" t="str">
        <f>IF(AND(C4549=1,D4548=1),MIN(E4548,3),"")</f>
      </c>
    </row>
    <row r="4550">
      <c r="A4550" s="6">
        <v>1512</v>
      </c>
      <c r="B4550" s="6" t="str">
        <f>'Lineal Mixto'!$C$1516</f>
      </c>
      <c r="C4550" s="6" t="str">
        <f>IF(AND(B4550&gt;=$B$3034,B4550&lt;=$B$3035),1,0)</f>
      </c>
      <c r="D4550" s="6" t="str">
        <f>IF(OR(D4549=1,C4550=1),1,0)</f>
      </c>
      <c r="E4550" s="6" t="str">
        <f>IF(C4550=1,0,IF(D4549=1,E4549+1,0))</f>
      </c>
      <c r="F4550" s="6" t="str">
        <f>IF(AND(C4550=1,D4549=1),MIN(E4549,3),"")</f>
      </c>
    </row>
    <row r="4551">
      <c r="A4551" s="5">
        <v>1513</v>
      </c>
      <c r="B4551" s="5" t="str">
        <f>'Lineal Mixto'!$C$1517</f>
      </c>
      <c r="C4551" s="5" t="str">
        <f>IF(AND(B4551&gt;=$B$3034,B4551&lt;=$B$3035),1,0)</f>
      </c>
      <c r="D4551" s="5" t="str">
        <f>IF(OR(D4550=1,C4551=1),1,0)</f>
      </c>
      <c r="E4551" s="5" t="str">
        <f>IF(C4551=1,0,IF(D4550=1,E4550+1,0))</f>
      </c>
      <c r="F4551" s="5" t="str">
        <f>IF(AND(C4551=1,D4550=1),MIN(E4550,3),"")</f>
      </c>
    </row>
    <row r="4552">
      <c r="A4552" s="6">
        <v>1514</v>
      </c>
      <c r="B4552" s="6" t="str">
        <f>'Lineal Mixto'!$C$1518</f>
      </c>
      <c r="C4552" s="6" t="str">
        <f>IF(AND(B4552&gt;=$B$3034,B4552&lt;=$B$3035),1,0)</f>
      </c>
      <c r="D4552" s="6" t="str">
        <f>IF(OR(D4551=1,C4552=1),1,0)</f>
      </c>
      <c r="E4552" s="6" t="str">
        <f>IF(C4552=1,0,IF(D4551=1,E4551+1,0))</f>
      </c>
      <c r="F4552" s="6" t="str">
        <f>IF(AND(C4552=1,D4551=1),MIN(E4551,3),"")</f>
      </c>
    </row>
    <row r="4553">
      <c r="A4553" s="5">
        <v>1515</v>
      </c>
      <c r="B4553" s="5" t="str">
        <f>'Lineal Mixto'!$C$1519</f>
      </c>
      <c r="C4553" s="5" t="str">
        <f>IF(AND(B4553&gt;=$B$3034,B4553&lt;=$B$3035),1,0)</f>
      </c>
      <c r="D4553" s="5" t="str">
        <f>IF(OR(D4552=1,C4553=1),1,0)</f>
      </c>
      <c r="E4553" s="5" t="str">
        <f>IF(C4553=1,0,IF(D4552=1,E4552+1,0))</f>
      </c>
      <c r="F4553" s="5" t="str">
        <f>IF(AND(C4553=1,D4552=1),MIN(E4552,3),"")</f>
      </c>
    </row>
    <row r="4554">
      <c r="A4554" s="6">
        <v>1516</v>
      </c>
      <c r="B4554" s="6" t="str">
        <f>'Lineal Mixto'!$C$1520</f>
      </c>
      <c r="C4554" s="6" t="str">
        <f>IF(AND(B4554&gt;=$B$3034,B4554&lt;=$B$3035),1,0)</f>
      </c>
      <c r="D4554" s="6" t="str">
        <f>IF(OR(D4553=1,C4554=1),1,0)</f>
      </c>
      <c r="E4554" s="6" t="str">
        <f>IF(C4554=1,0,IF(D4553=1,E4553+1,0))</f>
      </c>
      <c r="F4554" s="6" t="str">
        <f>IF(AND(C4554=1,D4553=1),MIN(E4553,3),"")</f>
      </c>
    </row>
    <row r="4555">
      <c r="A4555" s="5">
        <v>1517</v>
      </c>
      <c r="B4555" s="5" t="str">
        <f>'Lineal Mixto'!$C$1521</f>
      </c>
      <c r="C4555" s="5" t="str">
        <f>IF(AND(B4555&gt;=$B$3034,B4555&lt;=$B$3035),1,0)</f>
      </c>
      <c r="D4555" s="5" t="str">
        <f>IF(OR(D4554=1,C4555=1),1,0)</f>
      </c>
      <c r="E4555" s="5" t="str">
        <f>IF(C4555=1,0,IF(D4554=1,E4554+1,0))</f>
      </c>
      <c r="F4555" s="5" t="str">
        <f>IF(AND(C4555=1,D4554=1),MIN(E4554,3),"")</f>
      </c>
    </row>
    <row r="4556">
      <c r="A4556" s="6">
        <v>1518</v>
      </c>
      <c r="B4556" s="6" t="str">
        <f>'Lineal Mixto'!$C$1522</f>
      </c>
      <c r="C4556" s="6" t="str">
        <f>IF(AND(B4556&gt;=$B$3034,B4556&lt;=$B$3035),1,0)</f>
      </c>
      <c r="D4556" s="6" t="str">
        <f>IF(OR(D4555=1,C4556=1),1,0)</f>
      </c>
      <c r="E4556" s="6" t="str">
        <f>IF(C4556=1,0,IF(D4555=1,E4555+1,0))</f>
      </c>
      <c r="F4556" s="6" t="str">
        <f>IF(AND(C4556=1,D4555=1),MIN(E4555,3),"")</f>
      </c>
    </row>
    <row r="4557">
      <c r="A4557" s="5">
        <v>1519</v>
      </c>
      <c r="B4557" s="5" t="str">
        <f>'Lineal Mixto'!$C$1523</f>
      </c>
      <c r="C4557" s="5" t="str">
        <f>IF(AND(B4557&gt;=$B$3034,B4557&lt;=$B$3035),1,0)</f>
      </c>
      <c r="D4557" s="5" t="str">
        <f>IF(OR(D4556=1,C4557=1),1,0)</f>
      </c>
      <c r="E4557" s="5" t="str">
        <f>IF(C4557=1,0,IF(D4556=1,E4556+1,0))</f>
      </c>
      <c r="F4557" s="5" t="str">
        <f>IF(AND(C4557=1,D4556=1),MIN(E4556,3),"")</f>
      </c>
    </row>
    <row r="4558">
      <c r="A4558" s="6">
        <v>1520</v>
      </c>
      <c r="B4558" s="6" t="str">
        <f>'Lineal Mixto'!$C$1524</f>
      </c>
      <c r="C4558" s="6" t="str">
        <f>IF(AND(B4558&gt;=$B$3034,B4558&lt;=$B$3035),1,0)</f>
      </c>
      <c r="D4558" s="6" t="str">
        <f>IF(OR(D4557=1,C4558=1),1,0)</f>
      </c>
      <c r="E4558" s="6" t="str">
        <f>IF(C4558=1,0,IF(D4557=1,E4557+1,0))</f>
      </c>
      <c r="F4558" s="6" t="str">
        <f>IF(AND(C4558=1,D4557=1),MIN(E4557,3),"")</f>
      </c>
    </row>
    <row r="4559">
      <c r="A4559" s="5">
        <v>1521</v>
      </c>
      <c r="B4559" s="5" t="str">
        <f>'Lineal Mixto'!$C$1525</f>
      </c>
      <c r="C4559" s="5" t="str">
        <f>IF(AND(B4559&gt;=$B$3034,B4559&lt;=$B$3035),1,0)</f>
      </c>
      <c r="D4559" s="5" t="str">
        <f>IF(OR(D4558=1,C4559=1),1,0)</f>
      </c>
      <c r="E4559" s="5" t="str">
        <f>IF(C4559=1,0,IF(D4558=1,E4558+1,0))</f>
      </c>
      <c r="F4559" s="5" t="str">
        <f>IF(AND(C4559=1,D4558=1),MIN(E4558,3),"")</f>
      </c>
    </row>
    <row r="4560">
      <c r="A4560" s="6">
        <v>1522</v>
      </c>
      <c r="B4560" s="6" t="str">
        <f>'Lineal Mixto'!$C$1526</f>
      </c>
      <c r="C4560" s="6" t="str">
        <f>IF(AND(B4560&gt;=$B$3034,B4560&lt;=$B$3035),1,0)</f>
      </c>
      <c r="D4560" s="6" t="str">
        <f>IF(OR(D4559=1,C4560=1),1,0)</f>
      </c>
      <c r="E4560" s="6" t="str">
        <f>IF(C4560=1,0,IF(D4559=1,E4559+1,0))</f>
      </c>
      <c r="F4560" s="6" t="str">
        <f>IF(AND(C4560=1,D4559=1),MIN(E4559,3),"")</f>
      </c>
    </row>
    <row r="4561">
      <c r="A4561" s="5">
        <v>1523</v>
      </c>
      <c r="B4561" s="5" t="str">
        <f>'Lineal Mixto'!$C$1527</f>
      </c>
      <c r="C4561" s="5" t="str">
        <f>IF(AND(B4561&gt;=$B$3034,B4561&lt;=$B$3035),1,0)</f>
      </c>
      <c r="D4561" s="5" t="str">
        <f>IF(OR(D4560=1,C4561=1),1,0)</f>
      </c>
      <c r="E4561" s="5" t="str">
        <f>IF(C4561=1,0,IF(D4560=1,E4560+1,0))</f>
      </c>
      <c r="F4561" s="5" t="str">
        <f>IF(AND(C4561=1,D4560=1),MIN(E4560,3),"")</f>
      </c>
    </row>
    <row r="4562">
      <c r="A4562" s="6">
        <v>1524</v>
      </c>
      <c r="B4562" s="6" t="str">
        <f>'Lineal Mixto'!$C$1528</f>
      </c>
      <c r="C4562" s="6" t="str">
        <f>IF(AND(B4562&gt;=$B$3034,B4562&lt;=$B$3035),1,0)</f>
      </c>
      <c r="D4562" s="6" t="str">
        <f>IF(OR(D4561=1,C4562=1),1,0)</f>
      </c>
      <c r="E4562" s="6" t="str">
        <f>IF(C4562=1,0,IF(D4561=1,E4561+1,0))</f>
      </c>
      <c r="F4562" s="6" t="str">
        <f>IF(AND(C4562=1,D4561=1),MIN(E4561,3),"")</f>
      </c>
    </row>
    <row r="4563">
      <c r="A4563" s="5">
        <v>1525</v>
      </c>
      <c r="B4563" s="5" t="str">
        <f>'Lineal Mixto'!$C$1529</f>
      </c>
      <c r="C4563" s="5" t="str">
        <f>IF(AND(B4563&gt;=$B$3034,B4563&lt;=$B$3035),1,0)</f>
      </c>
      <c r="D4563" s="5" t="str">
        <f>IF(OR(D4562=1,C4563=1),1,0)</f>
      </c>
      <c r="E4563" s="5" t="str">
        <f>IF(C4563=1,0,IF(D4562=1,E4562+1,0))</f>
      </c>
      <c r="F4563" s="5" t="str">
        <f>IF(AND(C4563=1,D4562=1),MIN(E4562,3),"")</f>
      </c>
    </row>
    <row r="4564">
      <c r="A4564" s="6">
        <v>1526</v>
      </c>
      <c r="B4564" s="6" t="str">
        <f>'Lineal Mixto'!$C$1530</f>
      </c>
      <c r="C4564" s="6" t="str">
        <f>IF(AND(B4564&gt;=$B$3034,B4564&lt;=$B$3035),1,0)</f>
      </c>
      <c r="D4564" s="6" t="str">
        <f>IF(OR(D4563=1,C4564=1),1,0)</f>
      </c>
      <c r="E4564" s="6" t="str">
        <f>IF(C4564=1,0,IF(D4563=1,E4563+1,0))</f>
      </c>
      <c r="F4564" s="6" t="str">
        <f>IF(AND(C4564=1,D4563=1),MIN(E4563,3),"")</f>
      </c>
    </row>
    <row r="4565">
      <c r="A4565" s="5">
        <v>1527</v>
      </c>
      <c r="B4565" s="5" t="str">
        <f>'Lineal Mixto'!$C$1531</f>
      </c>
      <c r="C4565" s="5" t="str">
        <f>IF(AND(B4565&gt;=$B$3034,B4565&lt;=$B$3035),1,0)</f>
      </c>
      <c r="D4565" s="5" t="str">
        <f>IF(OR(D4564=1,C4565=1),1,0)</f>
      </c>
      <c r="E4565" s="5" t="str">
        <f>IF(C4565=1,0,IF(D4564=1,E4564+1,0))</f>
      </c>
      <c r="F4565" s="5" t="str">
        <f>IF(AND(C4565=1,D4564=1),MIN(E4564,3),"")</f>
      </c>
    </row>
    <row r="4566">
      <c r="A4566" s="6">
        <v>1528</v>
      </c>
      <c r="B4566" s="6" t="str">
        <f>'Lineal Mixto'!$C$1532</f>
      </c>
      <c r="C4566" s="6" t="str">
        <f>IF(AND(B4566&gt;=$B$3034,B4566&lt;=$B$3035),1,0)</f>
      </c>
      <c r="D4566" s="6" t="str">
        <f>IF(OR(D4565=1,C4566=1),1,0)</f>
      </c>
      <c r="E4566" s="6" t="str">
        <f>IF(C4566=1,0,IF(D4565=1,E4565+1,0))</f>
      </c>
      <c r="F4566" s="6" t="str">
        <f>IF(AND(C4566=1,D4565=1),MIN(E4565,3),"")</f>
      </c>
    </row>
    <row r="4567">
      <c r="A4567" s="5">
        <v>1529</v>
      </c>
      <c r="B4567" s="5" t="str">
        <f>'Lineal Mixto'!$C$1533</f>
      </c>
      <c r="C4567" s="5" t="str">
        <f>IF(AND(B4567&gt;=$B$3034,B4567&lt;=$B$3035),1,0)</f>
      </c>
      <c r="D4567" s="5" t="str">
        <f>IF(OR(D4566=1,C4567=1),1,0)</f>
      </c>
      <c r="E4567" s="5" t="str">
        <f>IF(C4567=1,0,IF(D4566=1,E4566+1,0))</f>
      </c>
      <c r="F4567" s="5" t="str">
        <f>IF(AND(C4567=1,D4566=1),MIN(E4566,3),"")</f>
      </c>
    </row>
    <row r="4568">
      <c r="A4568" s="6">
        <v>1530</v>
      </c>
      <c r="B4568" s="6" t="str">
        <f>'Lineal Mixto'!$C$1534</f>
      </c>
      <c r="C4568" s="6" t="str">
        <f>IF(AND(B4568&gt;=$B$3034,B4568&lt;=$B$3035),1,0)</f>
      </c>
      <c r="D4568" s="6" t="str">
        <f>IF(OR(D4567=1,C4568=1),1,0)</f>
      </c>
      <c r="E4568" s="6" t="str">
        <f>IF(C4568=1,0,IF(D4567=1,E4567+1,0))</f>
      </c>
      <c r="F4568" s="6" t="str">
        <f>IF(AND(C4568=1,D4567=1),MIN(E4567,3),"")</f>
      </c>
    </row>
    <row r="4569">
      <c r="A4569" s="5">
        <v>1531</v>
      </c>
      <c r="B4569" s="5" t="str">
        <f>'Lineal Mixto'!$C$1535</f>
      </c>
      <c r="C4569" s="5" t="str">
        <f>IF(AND(B4569&gt;=$B$3034,B4569&lt;=$B$3035),1,0)</f>
      </c>
      <c r="D4569" s="5" t="str">
        <f>IF(OR(D4568=1,C4569=1),1,0)</f>
      </c>
      <c r="E4569" s="5" t="str">
        <f>IF(C4569=1,0,IF(D4568=1,E4568+1,0))</f>
      </c>
      <c r="F4569" s="5" t="str">
        <f>IF(AND(C4569=1,D4568=1),MIN(E4568,3),"")</f>
      </c>
    </row>
    <row r="4570">
      <c r="A4570" s="6">
        <v>1532</v>
      </c>
      <c r="B4570" s="6" t="str">
        <f>'Lineal Mixto'!$C$1536</f>
      </c>
      <c r="C4570" s="6" t="str">
        <f>IF(AND(B4570&gt;=$B$3034,B4570&lt;=$B$3035),1,0)</f>
      </c>
      <c r="D4570" s="6" t="str">
        <f>IF(OR(D4569=1,C4570=1),1,0)</f>
      </c>
      <c r="E4570" s="6" t="str">
        <f>IF(C4570=1,0,IF(D4569=1,E4569+1,0))</f>
      </c>
      <c r="F4570" s="6" t="str">
        <f>IF(AND(C4570=1,D4569=1),MIN(E4569,3),"")</f>
      </c>
    </row>
    <row r="4571">
      <c r="A4571" s="5">
        <v>1533</v>
      </c>
      <c r="B4571" s="5" t="str">
        <f>'Lineal Mixto'!$C$1537</f>
      </c>
      <c r="C4571" s="5" t="str">
        <f>IF(AND(B4571&gt;=$B$3034,B4571&lt;=$B$3035),1,0)</f>
      </c>
      <c r="D4571" s="5" t="str">
        <f>IF(OR(D4570=1,C4571=1),1,0)</f>
      </c>
      <c r="E4571" s="5" t="str">
        <f>IF(C4571=1,0,IF(D4570=1,E4570+1,0))</f>
      </c>
      <c r="F4571" s="5" t="str">
        <f>IF(AND(C4571=1,D4570=1),MIN(E4570,3),"")</f>
      </c>
    </row>
    <row r="4572">
      <c r="A4572" s="6">
        <v>1534</v>
      </c>
      <c r="B4572" s="6" t="str">
        <f>'Lineal Mixto'!$C$1538</f>
      </c>
      <c r="C4572" s="6" t="str">
        <f>IF(AND(B4572&gt;=$B$3034,B4572&lt;=$B$3035),1,0)</f>
      </c>
      <c r="D4572" s="6" t="str">
        <f>IF(OR(D4571=1,C4572=1),1,0)</f>
      </c>
      <c r="E4572" s="6" t="str">
        <f>IF(C4572=1,0,IF(D4571=1,E4571+1,0))</f>
      </c>
      <c r="F4572" s="6" t="str">
        <f>IF(AND(C4572=1,D4571=1),MIN(E4571,3),"")</f>
      </c>
    </row>
    <row r="4573">
      <c r="A4573" s="5">
        <v>1535</v>
      </c>
      <c r="B4573" s="5" t="str">
        <f>'Lineal Mixto'!$C$1539</f>
      </c>
      <c r="C4573" s="5" t="str">
        <f>IF(AND(B4573&gt;=$B$3034,B4573&lt;=$B$3035),1,0)</f>
      </c>
      <c r="D4573" s="5" t="str">
        <f>IF(OR(D4572=1,C4573=1),1,0)</f>
      </c>
      <c r="E4573" s="5" t="str">
        <f>IF(C4573=1,0,IF(D4572=1,E4572+1,0))</f>
      </c>
      <c r="F4573" s="5" t="str">
        <f>IF(AND(C4573=1,D4572=1),MIN(E4572,3),"")</f>
      </c>
    </row>
    <row r="4574">
      <c r="A4574" s="6">
        <v>1536</v>
      </c>
      <c r="B4574" s="6" t="str">
        <f>'Lineal Mixto'!$C$1540</f>
      </c>
      <c r="C4574" s="6" t="str">
        <f>IF(AND(B4574&gt;=$B$3034,B4574&lt;=$B$3035),1,0)</f>
      </c>
      <c r="D4574" s="6" t="str">
        <f>IF(OR(D4573=1,C4574=1),1,0)</f>
      </c>
      <c r="E4574" s="6" t="str">
        <f>IF(C4574=1,0,IF(D4573=1,E4573+1,0))</f>
      </c>
      <c r="F4574" s="6" t="str">
        <f>IF(AND(C4574=1,D4573=1),MIN(E4573,3),"")</f>
      </c>
    </row>
    <row r="4575">
      <c r="A4575" s="5">
        <v>1537</v>
      </c>
      <c r="B4575" s="5" t="str">
        <f>'Lineal Mixto'!$C$1541</f>
      </c>
      <c r="C4575" s="5" t="str">
        <f>IF(AND(B4575&gt;=$B$3034,B4575&lt;=$B$3035),1,0)</f>
      </c>
      <c r="D4575" s="5" t="str">
        <f>IF(OR(D4574=1,C4575=1),1,0)</f>
      </c>
      <c r="E4575" s="5" t="str">
        <f>IF(C4575=1,0,IF(D4574=1,E4574+1,0))</f>
      </c>
      <c r="F4575" s="5" t="str">
        <f>IF(AND(C4575=1,D4574=1),MIN(E4574,3),"")</f>
      </c>
    </row>
    <row r="4576">
      <c r="A4576" s="6">
        <v>1538</v>
      </c>
      <c r="B4576" s="6" t="str">
        <f>'Lineal Mixto'!$C$1542</f>
      </c>
      <c r="C4576" s="6" t="str">
        <f>IF(AND(B4576&gt;=$B$3034,B4576&lt;=$B$3035),1,0)</f>
      </c>
      <c r="D4576" s="6" t="str">
        <f>IF(OR(D4575=1,C4576=1),1,0)</f>
      </c>
      <c r="E4576" s="6" t="str">
        <f>IF(C4576=1,0,IF(D4575=1,E4575+1,0))</f>
      </c>
      <c r="F4576" s="6" t="str">
        <f>IF(AND(C4576=1,D4575=1),MIN(E4575,3),"")</f>
      </c>
    </row>
    <row r="4577">
      <c r="A4577" s="5">
        <v>1539</v>
      </c>
      <c r="B4577" s="5" t="str">
        <f>'Lineal Mixto'!$C$1543</f>
      </c>
      <c r="C4577" s="5" t="str">
        <f>IF(AND(B4577&gt;=$B$3034,B4577&lt;=$B$3035),1,0)</f>
      </c>
      <c r="D4577" s="5" t="str">
        <f>IF(OR(D4576=1,C4577=1),1,0)</f>
      </c>
      <c r="E4577" s="5" t="str">
        <f>IF(C4577=1,0,IF(D4576=1,E4576+1,0))</f>
      </c>
      <c r="F4577" s="5" t="str">
        <f>IF(AND(C4577=1,D4576=1),MIN(E4576,3),"")</f>
      </c>
    </row>
    <row r="4578">
      <c r="A4578" s="6">
        <v>1540</v>
      </c>
      <c r="B4578" s="6" t="str">
        <f>'Lineal Mixto'!$C$1544</f>
      </c>
      <c r="C4578" s="6" t="str">
        <f>IF(AND(B4578&gt;=$B$3034,B4578&lt;=$B$3035),1,0)</f>
      </c>
      <c r="D4578" s="6" t="str">
        <f>IF(OR(D4577=1,C4578=1),1,0)</f>
      </c>
      <c r="E4578" s="6" t="str">
        <f>IF(C4578=1,0,IF(D4577=1,E4577+1,0))</f>
      </c>
      <c r="F4578" s="6" t="str">
        <f>IF(AND(C4578=1,D4577=1),MIN(E4577,3),"")</f>
      </c>
    </row>
    <row r="4579">
      <c r="A4579" s="5">
        <v>1541</v>
      </c>
      <c r="B4579" s="5" t="str">
        <f>'Lineal Mixto'!$C$1545</f>
      </c>
      <c r="C4579" s="5" t="str">
        <f>IF(AND(B4579&gt;=$B$3034,B4579&lt;=$B$3035),1,0)</f>
      </c>
      <c r="D4579" s="5" t="str">
        <f>IF(OR(D4578=1,C4579=1),1,0)</f>
      </c>
      <c r="E4579" s="5" t="str">
        <f>IF(C4579=1,0,IF(D4578=1,E4578+1,0))</f>
      </c>
      <c r="F4579" s="5" t="str">
        <f>IF(AND(C4579=1,D4578=1),MIN(E4578,3),"")</f>
      </c>
    </row>
    <row r="4580">
      <c r="A4580" s="6">
        <v>1542</v>
      </c>
      <c r="B4580" s="6" t="str">
        <f>'Lineal Mixto'!$C$1546</f>
      </c>
      <c r="C4580" s="6" t="str">
        <f>IF(AND(B4580&gt;=$B$3034,B4580&lt;=$B$3035),1,0)</f>
      </c>
      <c r="D4580" s="6" t="str">
        <f>IF(OR(D4579=1,C4580=1),1,0)</f>
      </c>
      <c r="E4580" s="6" t="str">
        <f>IF(C4580=1,0,IF(D4579=1,E4579+1,0))</f>
      </c>
      <c r="F4580" s="6" t="str">
        <f>IF(AND(C4580=1,D4579=1),MIN(E4579,3),"")</f>
      </c>
    </row>
    <row r="4581">
      <c r="A4581" s="5">
        <v>1543</v>
      </c>
      <c r="B4581" s="5" t="str">
        <f>'Lineal Mixto'!$C$1547</f>
      </c>
      <c r="C4581" s="5" t="str">
        <f>IF(AND(B4581&gt;=$B$3034,B4581&lt;=$B$3035),1,0)</f>
      </c>
      <c r="D4581" s="5" t="str">
        <f>IF(OR(D4580=1,C4581=1),1,0)</f>
      </c>
      <c r="E4581" s="5" t="str">
        <f>IF(C4581=1,0,IF(D4580=1,E4580+1,0))</f>
      </c>
      <c r="F4581" s="5" t="str">
        <f>IF(AND(C4581=1,D4580=1),MIN(E4580,3),"")</f>
      </c>
    </row>
    <row r="4582">
      <c r="A4582" s="6">
        <v>1544</v>
      </c>
      <c r="B4582" s="6" t="str">
        <f>'Lineal Mixto'!$C$1548</f>
      </c>
      <c r="C4582" s="6" t="str">
        <f>IF(AND(B4582&gt;=$B$3034,B4582&lt;=$B$3035),1,0)</f>
      </c>
      <c r="D4582" s="6" t="str">
        <f>IF(OR(D4581=1,C4582=1),1,0)</f>
      </c>
      <c r="E4582" s="6" t="str">
        <f>IF(C4582=1,0,IF(D4581=1,E4581+1,0))</f>
      </c>
      <c r="F4582" s="6" t="str">
        <f>IF(AND(C4582=1,D4581=1),MIN(E4581,3),"")</f>
      </c>
    </row>
    <row r="4583">
      <c r="A4583" s="5">
        <v>1545</v>
      </c>
      <c r="B4583" s="5" t="str">
        <f>'Lineal Mixto'!$C$1549</f>
      </c>
      <c r="C4583" s="5" t="str">
        <f>IF(AND(B4583&gt;=$B$3034,B4583&lt;=$B$3035),1,0)</f>
      </c>
      <c r="D4583" s="5" t="str">
        <f>IF(OR(D4582=1,C4583=1),1,0)</f>
      </c>
      <c r="E4583" s="5" t="str">
        <f>IF(C4583=1,0,IF(D4582=1,E4582+1,0))</f>
      </c>
      <c r="F4583" s="5" t="str">
        <f>IF(AND(C4583=1,D4582=1),MIN(E4582,3),"")</f>
      </c>
    </row>
    <row r="4584">
      <c r="A4584" s="6">
        <v>1546</v>
      </c>
      <c r="B4584" s="6" t="str">
        <f>'Lineal Mixto'!$C$1550</f>
      </c>
      <c r="C4584" s="6" t="str">
        <f>IF(AND(B4584&gt;=$B$3034,B4584&lt;=$B$3035),1,0)</f>
      </c>
      <c r="D4584" s="6" t="str">
        <f>IF(OR(D4583=1,C4584=1),1,0)</f>
      </c>
      <c r="E4584" s="6" t="str">
        <f>IF(C4584=1,0,IF(D4583=1,E4583+1,0))</f>
      </c>
      <c r="F4584" s="6" t="str">
        <f>IF(AND(C4584=1,D4583=1),MIN(E4583,3),"")</f>
      </c>
    </row>
    <row r="4585">
      <c r="A4585" s="5">
        <v>1547</v>
      </c>
      <c r="B4585" s="5" t="str">
        <f>'Lineal Mixto'!$C$1551</f>
      </c>
      <c r="C4585" s="5" t="str">
        <f>IF(AND(B4585&gt;=$B$3034,B4585&lt;=$B$3035),1,0)</f>
      </c>
      <c r="D4585" s="5" t="str">
        <f>IF(OR(D4584=1,C4585=1),1,0)</f>
      </c>
      <c r="E4585" s="5" t="str">
        <f>IF(C4585=1,0,IF(D4584=1,E4584+1,0))</f>
      </c>
      <c r="F4585" s="5" t="str">
        <f>IF(AND(C4585=1,D4584=1),MIN(E4584,3),"")</f>
      </c>
    </row>
    <row r="4586">
      <c r="A4586" s="6">
        <v>1548</v>
      </c>
      <c r="B4586" s="6" t="str">
        <f>'Lineal Mixto'!$C$1552</f>
      </c>
      <c r="C4586" s="6" t="str">
        <f>IF(AND(B4586&gt;=$B$3034,B4586&lt;=$B$3035),1,0)</f>
      </c>
      <c r="D4586" s="6" t="str">
        <f>IF(OR(D4585=1,C4586=1),1,0)</f>
      </c>
      <c r="E4586" s="6" t="str">
        <f>IF(C4586=1,0,IF(D4585=1,E4585+1,0))</f>
      </c>
      <c r="F4586" s="6" t="str">
        <f>IF(AND(C4586=1,D4585=1),MIN(E4585,3),"")</f>
      </c>
    </row>
    <row r="4587">
      <c r="A4587" s="5">
        <v>1549</v>
      </c>
      <c r="B4587" s="5" t="str">
        <f>'Lineal Mixto'!$C$1553</f>
      </c>
      <c r="C4587" s="5" t="str">
        <f>IF(AND(B4587&gt;=$B$3034,B4587&lt;=$B$3035),1,0)</f>
      </c>
      <c r="D4587" s="5" t="str">
        <f>IF(OR(D4586=1,C4587=1),1,0)</f>
      </c>
      <c r="E4587" s="5" t="str">
        <f>IF(C4587=1,0,IF(D4586=1,E4586+1,0))</f>
      </c>
      <c r="F4587" s="5" t="str">
        <f>IF(AND(C4587=1,D4586=1),MIN(E4586,3),"")</f>
      </c>
    </row>
    <row r="4588">
      <c r="A4588" s="6">
        <v>1550</v>
      </c>
      <c r="B4588" s="6" t="str">
        <f>'Lineal Mixto'!$C$1554</f>
      </c>
      <c r="C4588" s="6" t="str">
        <f>IF(AND(B4588&gt;=$B$3034,B4588&lt;=$B$3035),1,0)</f>
      </c>
      <c r="D4588" s="6" t="str">
        <f>IF(OR(D4587=1,C4588=1),1,0)</f>
      </c>
      <c r="E4588" s="6" t="str">
        <f>IF(C4588=1,0,IF(D4587=1,E4587+1,0))</f>
      </c>
      <c r="F4588" s="6" t="str">
        <f>IF(AND(C4588=1,D4587=1),MIN(E4587,3),"")</f>
      </c>
    </row>
    <row r="4589">
      <c r="A4589" s="5">
        <v>1551</v>
      </c>
      <c r="B4589" s="5" t="str">
        <f>'Lineal Mixto'!$C$1555</f>
      </c>
      <c r="C4589" s="5" t="str">
        <f>IF(AND(B4589&gt;=$B$3034,B4589&lt;=$B$3035),1,0)</f>
      </c>
      <c r="D4589" s="5" t="str">
        <f>IF(OR(D4588=1,C4589=1),1,0)</f>
      </c>
      <c r="E4589" s="5" t="str">
        <f>IF(C4589=1,0,IF(D4588=1,E4588+1,0))</f>
      </c>
      <c r="F4589" s="5" t="str">
        <f>IF(AND(C4589=1,D4588=1),MIN(E4588,3),"")</f>
      </c>
    </row>
    <row r="4590">
      <c r="A4590" s="6">
        <v>1552</v>
      </c>
      <c r="B4590" s="6" t="str">
        <f>'Lineal Mixto'!$C$1556</f>
      </c>
      <c r="C4590" s="6" t="str">
        <f>IF(AND(B4590&gt;=$B$3034,B4590&lt;=$B$3035),1,0)</f>
      </c>
      <c r="D4590" s="6" t="str">
        <f>IF(OR(D4589=1,C4590=1),1,0)</f>
      </c>
      <c r="E4590" s="6" t="str">
        <f>IF(C4590=1,0,IF(D4589=1,E4589+1,0))</f>
      </c>
      <c r="F4590" s="6" t="str">
        <f>IF(AND(C4590=1,D4589=1),MIN(E4589,3),"")</f>
      </c>
    </row>
    <row r="4591">
      <c r="A4591" s="5">
        <v>1553</v>
      </c>
      <c r="B4591" s="5" t="str">
        <f>'Lineal Mixto'!$C$1557</f>
      </c>
      <c r="C4591" s="5" t="str">
        <f>IF(AND(B4591&gt;=$B$3034,B4591&lt;=$B$3035),1,0)</f>
      </c>
      <c r="D4591" s="5" t="str">
        <f>IF(OR(D4590=1,C4591=1),1,0)</f>
      </c>
      <c r="E4591" s="5" t="str">
        <f>IF(C4591=1,0,IF(D4590=1,E4590+1,0))</f>
      </c>
      <c r="F4591" s="5" t="str">
        <f>IF(AND(C4591=1,D4590=1),MIN(E4590,3),"")</f>
      </c>
    </row>
    <row r="4592">
      <c r="A4592" s="6">
        <v>1554</v>
      </c>
      <c r="B4592" s="6" t="str">
        <f>'Lineal Mixto'!$C$1558</f>
      </c>
      <c r="C4592" s="6" t="str">
        <f>IF(AND(B4592&gt;=$B$3034,B4592&lt;=$B$3035),1,0)</f>
      </c>
      <c r="D4592" s="6" t="str">
        <f>IF(OR(D4591=1,C4592=1),1,0)</f>
      </c>
      <c r="E4592" s="6" t="str">
        <f>IF(C4592=1,0,IF(D4591=1,E4591+1,0))</f>
      </c>
      <c r="F4592" s="6" t="str">
        <f>IF(AND(C4592=1,D4591=1),MIN(E4591,3),"")</f>
      </c>
    </row>
    <row r="4593">
      <c r="A4593" s="5">
        <v>1555</v>
      </c>
      <c r="B4593" s="5" t="str">
        <f>'Lineal Mixto'!$C$1559</f>
      </c>
      <c r="C4593" s="5" t="str">
        <f>IF(AND(B4593&gt;=$B$3034,B4593&lt;=$B$3035),1,0)</f>
      </c>
      <c r="D4593" s="5" t="str">
        <f>IF(OR(D4592=1,C4593=1),1,0)</f>
      </c>
      <c r="E4593" s="5" t="str">
        <f>IF(C4593=1,0,IF(D4592=1,E4592+1,0))</f>
      </c>
      <c r="F4593" s="5" t="str">
        <f>IF(AND(C4593=1,D4592=1),MIN(E4592,3),"")</f>
      </c>
    </row>
    <row r="4594">
      <c r="A4594" s="6">
        <v>1556</v>
      </c>
      <c r="B4594" s="6" t="str">
        <f>'Lineal Mixto'!$C$1560</f>
      </c>
      <c r="C4594" s="6" t="str">
        <f>IF(AND(B4594&gt;=$B$3034,B4594&lt;=$B$3035),1,0)</f>
      </c>
      <c r="D4594" s="6" t="str">
        <f>IF(OR(D4593=1,C4594=1),1,0)</f>
      </c>
      <c r="E4594" s="6" t="str">
        <f>IF(C4594=1,0,IF(D4593=1,E4593+1,0))</f>
      </c>
      <c r="F4594" s="6" t="str">
        <f>IF(AND(C4594=1,D4593=1),MIN(E4593,3),"")</f>
      </c>
    </row>
    <row r="4595">
      <c r="A4595" s="5">
        <v>1557</v>
      </c>
      <c r="B4595" s="5" t="str">
        <f>'Lineal Mixto'!$C$1561</f>
      </c>
      <c r="C4595" s="5" t="str">
        <f>IF(AND(B4595&gt;=$B$3034,B4595&lt;=$B$3035),1,0)</f>
      </c>
      <c r="D4595" s="5" t="str">
        <f>IF(OR(D4594=1,C4595=1),1,0)</f>
      </c>
      <c r="E4595" s="5" t="str">
        <f>IF(C4595=1,0,IF(D4594=1,E4594+1,0))</f>
      </c>
      <c r="F4595" s="5" t="str">
        <f>IF(AND(C4595=1,D4594=1),MIN(E4594,3),"")</f>
      </c>
    </row>
    <row r="4596">
      <c r="A4596" s="6">
        <v>1558</v>
      </c>
      <c r="B4596" s="6" t="str">
        <f>'Lineal Mixto'!$C$1562</f>
      </c>
      <c r="C4596" s="6" t="str">
        <f>IF(AND(B4596&gt;=$B$3034,B4596&lt;=$B$3035),1,0)</f>
      </c>
      <c r="D4596" s="6" t="str">
        <f>IF(OR(D4595=1,C4596=1),1,0)</f>
      </c>
      <c r="E4596" s="6" t="str">
        <f>IF(C4596=1,0,IF(D4595=1,E4595+1,0))</f>
      </c>
      <c r="F4596" s="6" t="str">
        <f>IF(AND(C4596=1,D4595=1),MIN(E4595,3),"")</f>
      </c>
    </row>
    <row r="4597">
      <c r="A4597" s="5">
        <v>1559</v>
      </c>
      <c r="B4597" s="5" t="str">
        <f>'Lineal Mixto'!$C$1563</f>
      </c>
      <c r="C4597" s="5" t="str">
        <f>IF(AND(B4597&gt;=$B$3034,B4597&lt;=$B$3035),1,0)</f>
      </c>
      <c r="D4597" s="5" t="str">
        <f>IF(OR(D4596=1,C4597=1),1,0)</f>
      </c>
      <c r="E4597" s="5" t="str">
        <f>IF(C4597=1,0,IF(D4596=1,E4596+1,0))</f>
      </c>
      <c r="F4597" s="5" t="str">
        <f>IF(AND(C4597=1,D4596=1),MIN(E4596,3),"")</f>
      </c>
    </row>
    <row r="4598">
      <c r="A4598" s="6">
        <v>1560</v>
      </c>
      <c r="B4598" s="6" t="str">
        <f>'Lineal Mixto'!$C$1564</f>
      </c>
      <c r="C4598" s="6" t="str">
        <f>IF(AND(B4598&gt;=$B$3034,B4598&lt;=$B$3035),1,0)</f>
      </c>
      <c r="D4598" s="6" t="str">
        <f>IF(OR(D4597=1,C4598=1),1,0)</f>
      </c>
      <c r="E4598" s="6" t="str">
        <f>IF(C4598=1,0,IF(D4597=1,E4597+1,0))</f>
      </c>
      <c r="F4598" s="6" t="str">
        <f>IF(AND(C4598=1,D4597=1),MIN(E4597,3),"")</f>
      </c>
    </row>
    <row r="4599">
      <c r="A4599" s="5">
        <v>1561</v>
      </c>
      <c r="B4599" s="5" t="str">
        <f>'Lineal Mixto'!$C$1565</f>
      </c>
      <c r="C4599" s="5" t="str">
        <f>IF(AND(B4599&gt;=$B$3034,B4599&lt;=$B$3035),1,0)</f>
      </c>
      <c r="D4599" s="5" t="str">
        <f>IF(OR(D4598=1,C4599=1),1,0)</f>
      </c>
      <c r="E4599" s="5" t="str">
        <f>IF(C4599=1,0,IF(D4598=1,E4598+1,0))</f>
      </c>
      <c r="F4599" s="5" t="str">
        <f>IF(AND(C4599=1,D4598=1),MIN(E4598,3),"")</f>
      </c>
    </row>
    <row r="4600">
      <c r="A4600" s="6">
        <v>1562</v>
      </c>
      <c r="B4600" s="6" t="str">
        <f>'Lineal Mixto'!$C$1566</f>
      </c>
      <c r="C4600" s="6" t="str">
        <f>IF(AND(B4600&gt;=$B$3034,B4600&lt;=$B$3035),1,0)</f>
      </c>
      <c r="D4600" s="6" t="str">
        <f>IF(OR(D4599=1,C4600=1),1,0)</f>
      </c>
      <c r="E4600" s="6" t="str">
        <f>IF(C4600=1,0,IF(D4599=1,E4599+1,0))</f>
      </c>
      <c r="F4600" s="6" t="str">
        <f>IF(AND(C4600=1,D4599=1),MIN(E4599,3),"")</f>
      </c>
    </row>
    <row r="4601">
      <c r="A4601" s="5">
        <v>1563</v>
      </c>
      <c r="B4601" s="5" t="str">
        <f>'Lineal Mixto'!$C$1567</f>
      </c>
      <c r="C4601" s="5" t="str">
        <f>IF(AND(B4601&gt;=$B$3034,B4601&lt;=$B$3035),1,0)</f>
      </c>
      <c r="D4601" s="5" t="str">
        <f>IF(OR(D4600=1,C4601=1),1,0)</f>
      </c>
      <c r="E4601" s="5" t="str">
        <f>IF(C4601=1,0,IF(D4600=1,E4600+1,0))</f>
      </c>
      <c r="F4601" s="5" t="str">
        <f>IF(AND(C4601=1,D4600=1),MIN(E4600,3),"")</f>
      </c>
    </row>
    <row r="4602">
      <c r="A4602" s="6">
        <v>1564</v>
      </c>
      <c r="B4602" s="6" t="str">
        <f>'Lineal Mixto'!$C$1568</f>
      </c>
      <c r="C4602" s="6" t="str">
        <f>IF(AND(B4602&gt;=$B$3034,B4602&lt;=$B$3035),1,0)</f>
      </c>
      <c r="D4602" s="6" t="str">
        <f>IF(OR(D4601=1,C4602=1),1,0)</f>
      </c>
      <c r="E4602" s="6" t="str">
        <f>IF(C4602=1,0,IF(D4601=1,E4601+1,0))</f>
      </c>
      <c r="F4602" s="6" t="str">
        <f>IF(AND(C4602=1,D4601=1),MIN(E4601,3),"")</f>
      </c>
    </row>
    <row r="4603">
      <c r="A4603" s="5">
        <v>1565</v>
      </c>
      <c r="B4603" s="5" t="str">
        <f>'Lineal Mixto'!$C$1569</f>
      </c>
      <c r="C4603" s="5" t="str">
        <f>IF(AND(B4603&gt;=$B$3034,B4603&lt;=$B$3035),1,0)</f>
      </c>
      <c r="D4603" s="5" t="str">
        <f>IF(OR(D4602=1,C4603=1),1,0)</f>
      </c>
      <c r="E4603" s="5" t="str">
        <f>IF(C4603=1,0,IF(D4602=1,E4602+1,0))</f>
      </c>
      <c r="F4603" s="5" t="str">
        <f>IF(AND(C4603=1,D4602=1),MIN(E4602,3),"")</f>
      </c>
    </row>
    <row r="4604">
      <c r="A4604" s="6">
        <v>1566</v>
      </c>
      <c r="B4604" s="6" t="str">
        <f>'Lineal Mixto'!$C$1570</f>
      </c>
      <c r="C4604" s="6" t="str">
        <f>IF(AND(B4604&gt;=$B$3034,B4604&lt;=$B$3035),1,0)</f>
      </c>
      <c r="D4604" s="6" t="str">
        <f>IF(OR(D4603=1,C4604=1),1,0)</f>
      </c>
      <c r="E4604" s="6" t="str">
        <f>IF(C4604=1,0,IF(D4603=1,E4603+1,0))</f>
      </c>
      <c r="F4604" s="6" t="str">
        <f>IF(AND(C4604=1,D4603=1),MIN(E4603,3),"")</f>
      </c>
    </row>
    <row r="4605">
      <c r="A4605" s="5">
        <v>1567</v>
      </c>
      <c r="B4605" s="5" t="str">
        <f>'Lineal Mixto'!$C$1571</f>
      </c>
      <c r="C4605" s="5" t="str">
        <f>IF(AND(B4605&gt;=$B$3034,B4605&lt;=$B$3035),1,0)</f>
      </c>
      <c r="D4605" s="5" t="str">
        <f>IF(OR(D4604=1,C4605=1),1,0)</f>
      </c>
      <c r="E4605" s="5" t="str">
        <f>IF(C4605=1,0,IF(D4604=1,E4604+1,0))</f>
      </c>
      <c r="F4605" s="5" t="str">
        <f>IF(AND(C4605=1,D4604=1),MIN(E4604,3),"")</f>
      </c>
    </row>
    <row r="4606">
      <c r="A4606" s="6">
        <v>1568</v>
      </c>
      <c r="B4606" s="6" t="str">
        <f>'Lineal Mixto'!$C$1572</f>
      </c>
      <c r="C4606" s="6" t="str">
        <f>IF(AND(B4606&gt;=$B$3034,B4606&lt;=$B$3035),1,0)</f>
      </c>
      <c r="D4606" s="6" t="str">
        <f>IF(OR(D4605=1,C4606=1),1,0)</f>
      </c>
      <c r="E4606" s="6" t="str">
        <f>IF(C4606=1,0,IF(D4605=1,E4605+1,0))</f>
      </c>
      <c r="F4606" s="6" t="str">
        <f>IF(AND(C4606=1,D4605=1),MIN(E4605,3),"")</f>
      </c>
    </row>
    <row r="4607">
      <c r="A4607" s="5">
        <v>1569</v>
      </c>
      <c r="B4607" s="5" t="str">
        <f>'Lineal Mixto'!$C$1573</f>
      </c>
      <c r="C4607" s="5" t="str">
        <f>IF(AND(B4607&gt;=$B$3034,B4607&lt;=$B$3035),1,0)</f>
      </c>
      <c r="D4607" s="5" t="str">
        <f>IF(OR(D4606=1,C4607=1),1,0)</f>
      </c>
      <c r="E4607" s="5" t="str">
        <f>IF(C4607=1,0,IF(D4606=1,E4606+1,0))</f>
      </c>
      <c r="F4607" s="5" t="str">
        <f>IF(AND(C4607=1,D4606=1),MIN(E4606,3),"")</f>
      </c>
    </row>
    <row r="4608">
      <c r="A4608" s="6">
        <v>1570</v>
      </c>
      <c r="B4608" s="6" t="str">
        <f>'Lineal Mixto'!$C$1574</f>
      </c>
      <c r="C4608" s="6" t="str">
        <f>IF(AND(B4608&gt;=$B$3034,B4608&lt;=$B$3035),1,0)</f>
      </c>
      <c r="D4608" s="6" t="str">
        <f>IF(OR(D4607=1,C4608=1),1,0)</f>
      </c>
      <c r="E4608" s="6" t="str">
        <f>IF(C4608=1,0,IF(D4607=1,E4607+1,0))</f>
      </c>
      <c r="F4608" s="6" t="str">
        <f>IF(AND(C4608=1,D4607=1),MIN(E4607,3),"")</f>
      </c>
    </row>
    <row r="4609">
      <c r="A4609" s="5">
        <v>1571</v>
      </c>
      <c r="B4609" s="5" t="str">
        <f>'Lineal Mixto'!$C$1575</f>
      </c>
      <c r="C4609" s="5" t="str">
        <f>IF(AND(B4609&gt;=$B$3034,B4609&lt;=$B$3035),1,0)</f>
      </c>
      <c r="D4609" s="5" t="str">
        <f>IF(OR(D4608=1,C4609=1),1,0)</f>
      </c>
      <c r="E4609" s="5" t="str">
        <f>IF(C4609=1,0,IF(D4608=1,E4608+1,0))</f>
      </c>
      <c r="F4609" s="5" t="str">
        <f>IF(AND(C4609=1,D4608=1),MIN(E4608,3),"")</f>
      </c>
    </row>
    <row r="4610">
      <c r="A4610" s="6">
        <v>1572</v>
      </c>
      <c r="B4610" s="6" t="str">
        <f>'Lineal Mixto'!$C$1576</f>
      </c>
      <c r="C4610" s="6" t="str">
        <f>IF(AND(B4610&gt;=$B$3034,B4610&lt;=$B$3035),1,0)</f>
      </c>
      <c r="D4610" s="6" t="str">
        <f>IF(OR(D4609=1,C4610=1),1,0)</f>
      </c>
      <c r="E4610" s="6" t="str">
        <f>IF(C4610=1,0,IF(D4609=1,E4609+1,0))</f>
      </c>
      <c r="F4610" s="6" t="str">
        <f>IF(AND(C4610=1,D4609=1),MIN(E4609,3),"")</f>
      </c>
    </row>
    <row r="4611">
      <c r="A4611" s="5">
        <v>1573</v>
      </c>
      <c r="B4611" s="5" t="str">
        <f>'Lineal Mixto'!$C$1577</f>
      </c>
      <c r="C4611" s="5" t="str">
        <f>IF(AND(B4611&gt;=$B$3034,B4611&lt;=$B$3035),1,0)</f>
      </c>
      <c r="D4611" s="5" t="str">
        <f>IF(OR(D4610=1,C4611=1),1,0)</f>
      </c>
      <c r="E4611" s="5" t="str">
        <f>IF(C4611=1,0,IF(D4610=1,E4610+1,0))</f>
      </c>
      <c r="F4611" s="5" t="str">
        <f>IF(AND(C4611=1,D4610=1),MIN(E4610,3),"")</f>
      </c>
    </row>
    <row r="4612">
      <c r="A4612" s="6">
        <v>1574</v>
      </c>
      <c r="B4612" s="6" t="str">
        <f>'Lineal Mixto'!$C$1578</f>
      </c>
      <c r="C4612" s="6" t="str">
        <f>IF(AND(B4612&gt;=$B$3034,B4612&lt;=$B$3035),1,0)</f>
      </c>
      <c r="D4612" s="6" t="str">
        <f>IF(OR(D4611=1,C4612=1),1,0)</f>
      </c>
      <c r="E4612" s="6" t="str">
        <f>IF(C4612=1,0,IF(D4611=1,E4611+1,0))</f>
      </c>
      <c r="F4612" s="6" t="str">
        <f>IF(AND(C4612=1,D4611=1),MIN(E4611,3),"")</f>
      </c>
    </row>
    <row r="4613">
      <c r="A4613" s="5">
        <v>1575</v>
      </c>
      <c r="B4613" s="5" t="str">
        <f>'Lineal Mixto'!$C$1579</f>
      </c>
      <c r="C4613" s="5" t="str">
        <f>IF(AND(B4613&gt;=$B$3034,B4613&lt;=$B$3035),1,0)</f>
      </c>
      <c r="D4613" s="5" t="str">
        <f>IF(OR(D4612=1,C4613=1),1,0)</f>
      </c>
      <c r="E4613" s="5" t="str">
        <f>IF(C4613=1,0,IF(D4612=1,E4612+1,0))</f>
      </c>
      <c r="F4613" s="5" t="str">
        <f>IF(AND(C4613=1,D4612=1),MIN(E4612,3),"")</f>
      </c>
    </row>
    <row r="4614">
      <c r="A4614" s="6">
        <v>1576</v>
      </c>
      <c r="B4614" s="6" t="str">
        <f>'Lineal Mixto'!$C$1580</f>
      </c>
      <c r="C4614" s="6" t="str">
        <f>IF(AND(B4614&gt;=$B$3034,B4614&lt;=$B$3035),1,0)</f>
      </c>
      <c r="D4614" s="6" t="str">
        <f>IF(OR(D4613=1,C4614=1),1,0)</f>
      </c>
      <c r="E4614" s="6" t="str">
        <f>IF(C4614=1,0,IF(D4613=1,E4613+1,0))</f>
      </c>
      <c r="F4614" s="6" t="str">
        <f>IF(AND(C4614=1,D4613=1),MIN(E4613,3),"")</f>
      </c>
    </row>
    <row r="4615">
      <c r="A4615" s="5">
        <v>1577</v>
      </c>
      <c r="B4615" s="5" t="str">
        <f>'Lineal Mixto'!$C$1581</f>
      </c>
      <c r="C4615" s="5" t="str">
        <f>IF(AND(B4615&gt;=$B$3034,B4615&lt;=$B$3035),1,0)</f>
      </c>
      <c r="D4615" s="5" t="str">
        <f>IF(OR(D4614=1,C4615=1),1,0)</f>
      </c>
      <c r="E4615" s="5" t="str">
        <f>IF(C4615=1,0,IF(D4614=1,E4614+1,0))</f>
      </c>
      <c r="F4615" s="5" t="str">
        <f>IF(AND(C4615=1,D4614=1),MIN(E4614,3),"")</f>
      </c>
    </row>
    <row r="4616">
      <c r="A4616" s="6">
        <v>1578</v>
      </c>
      <c r="B4616" s="6" t="str">
        <f>'Lineal Mixto'!$C$1582</f>
      </c>
      <c r="C4616" s="6" t="str">
        <f>IF(AND(B4616&gt;=$B$3034,B4616&lt;=$B$3035),1,0)</f>
      </c>
      <c r="D4616" s="6" t="str">
        <f>IF(OR(D4615=1,C4616=1),1,0)</f>
      </c>
      <c r="E4616" s="6" t="str">
        <f>IF(C4616=1,0,IF(D4615=1,E4615+1,0))</f>
      </c>
      <c r="F4616" s="6" t="str">
        <f>IF(AND(C4616=1,D4615=1),MIN(E4615,3),"")</f>
      </c>
    </row>
    <row r="4617">
      <c r="A4617" s="5">
        <v>1579</v>
      </c>
      <c r="B4617" s="5" t="str">
        <f>'Lineal Mixto'!$C$1583</f>
      </c>
      <c r="C4617" s="5" t="str">
        <f>IF(AND(B4617&gt;=$B$3034,B4617&lt;=$B$3035),1,0)</f>
      </c>
      <c r="D4617" s="5" t="str">
        <f>IF(OR(D4616=1,C4617=1),1,0)</f>
      </c>
      <c r="E4617" s="5" t="str">
        <f>IF(C4617=1,0,IF(D4616=1,E4616+1,0))</f>
      </c>
      <c r="F4617" s="5" t="str">
        <f>IF(AND(C4617=1,D4616=1),MIN(E4616,3),"")</f>
      </c>
    </row>
    <row r="4618">
      <c r="A4618" s="6">
        <v>1580</v>
      </c>
      <c r="B4618" s="6" t="str">
        <f>'Lineal Mixto'!$C$1584</f>
      </c>
      <c r="C4618" s="6" t="str">
        <f>IF(AND(B4618&gt;=$B$3034,B4618&lt;=$B$3035),1,0)</f>
      </c>
      <c r="D4618" s="6" t="str">
        <f>IF(OR(D4617=1,C4618=1),1,0)</f>
      </c>
      <c r="E4618" s="6" t="str">
        <f>IF(C4618=1,0,IF(D4617=1,E4617+1,0))</f>
      </c>
      <c r="F4618" s="6" t="str">
        <f>IF(AND(C4618=1,D4617=1),MIN(E4617,3),"")</f>
      </c>
    </row>
    <row r="4619">
      <c r="A4619" s="5">
        <v>1581</v>
      </c>
      <c r="B4619" s="5" t="str">
        <f>'Lineal Mixto'!$C$1585</f>
      </c>
      <c r="C4619" s="5" t="str">
        <f>IF(AND(B4619&gt;=$B$3034,B4619&lt;=$B$3035),1,0)</f>
      </c>
      <c r="D4619" s="5" t="str">
        <f>IF(OR(D4618=1,C4619=1),1,0)</f>
      </c>
      <c r="E4619" s="5" t="str">
        <f>IF(C4619=1,0,IF(D4618=1,E4618+1,0))</f>
      </c>
      <c r="F4619" s="5" t="str">
        <f>IF(AND(C4619=1,D4618=1),MIN(E4618,3),"")</f>
      </c>
    </row>
    <row r="4620">
      <c r="A4620" s="6">
        <v>1582</v>
      </c>
      <c r="B4620" s="6" t="str">
        <f>'Lineal Mixto'!$C$1586</f>
      </c>
      <c r="C4620" s="6" t="str">
        <f>IF(AND(B4620&gt;=$B$3034,B4620&lt;=$B$3035),1,0)</f>
      </c>
      <c r="D4620" s="6" t="str">
        <f>IF(OR(D4619=1,C4620=1),1,0)</f>
      </c>
      <c r="E4620" s="6" t="str">
        <f>IF(C4620=1,0,IF(D4619=1,E4619+1,0))</f>
      </c>
      <c r="F4620" s="6" t="str">
        <f>IF(AND(C4620=1,D4619=1),MIN(E4619,3),"")</f>
      </c>
    </row>
    <row r="4621">
      <c r="A4621" s="5">
        <v>1583</v>
      </c>
      <c r="B4621" s="5" t="str">
        <f>'Lineal Mixto'!$C$1587</f>
      </c>
      <c r="C4621" s="5" t="str">
        <f>IF(AND(B4621&gt;=$B$3034,B4621&lt;=$B$3035),1,0)</f>
      </c>
      <c r="D4621" s="5" t="str">
        <f>IF(OR(D4620=1,C4621=1),1,0)</f>
      </c>
      <c r="E4621" s="5" t="str">
        <f>IF(C4621=1,0,IF(D4620=1,E4620+1,0))</f>
      </c>
      <c r="F4621" s="5" t="str">
        <f>IF(AND(C4621=1,D4620=1),MIN(E4620,3),"")</f>
      </c>
    </row>
    <row r="4622">
      <c r="A4622" s="6">
        <v>1584</v>
      </c>
      <c r="B4622" s="6" t="str">
        <f>'Lineal Mixto'!$C$1588</f>
      </c>
      <c r="C4622" s="6" t="str">
        <f>IF(AND(B4622&gt;=$B$3034,B4622&lt;=$B$3035),1,0)</f>
      </c>
      <c r="D4622" s="6" t="str">
        <f>IF(OR(D4621=1,C4622=1),1,0)</f>
      </c>
      <c r="E4622" s="6" t="str">
        <f>IF(C4622=1,0,IF(D4621=1,E4621+1,0))</f>
      </c>
      <c r="F4622" s="6" t="str">
        <f>IF(AND(C4622=1,D4621=1),MIN(E4621,3),"")</f>
      </c>
    </row>
    <row r="4623">
      <c r="A4623" s="5">
        <v>1585</v>
      </c>
      <c r="B4623" s="5" t="str">
        <f>'Lineal Mixto'!$C$1589</f>
      </c>
      <c r="C4623" s="5" t="str">
        <f>IF(AND(B4623&gt;=$B$3034,B4623&lt;=$B$3035),1,0)</f>
      </c>
      <c r="D4623" s="5" t="str">
        <f>IF(OR(D4622=1,C4623=1),1,0)</f>
      </c>
      <c r="E4623" s="5" t="str">
        <f>IF(C4623=1,0,IF(D4622=1,E4622+1,0))</f>
      </c>
      <c r="F4623" s="5" t="str">
        <f>IF(AND(C4623=1,D4622=1),MIN(E4622,3),"")</f>
      </c>
    </row>
    <row r="4624">
      <c r="A4624" s="6">
        <v>1586</v>
      </c>
      <c r="B4624" s="6" t="str">
        <f>'Lineal Mixto'!$C$1590</f>
      </c>
      <c r="C4624" s="6" t="str">
        <f>IF(AND(B4624&gt;=$B$3034,B4624&lt;=$B$3035),1,0)</f>
      </c>
      <c r="D4624" s="6" t="str">
        <f>IF(OR(D4623=1,C4624=1),1,0)</f>
      </c>
      <c r="E4624" s="6" t="str">
        <f>IF(C4624=1,0,IF(D4623=1,E4623+1,0))</f>
      </c>
      <c r="F4624" s="6" t="str">
        <f>IF(AND(C4624=1,D4623=1),MIN(E4623,3),"")</f>
      </c>
    </row>
    <row r="4625">
      <c r="A4625" s="5">
        <v>1587</v>
      </c>
      <c r="B4625" s="5" t="str">
        <f>'Lineal Mixto'!$C$1591</f>
      </c>
      <c r="C4625" s="5" t="str">
        <f>IF(AND(B4625&gt;=$B$3034,B4625&lt;=$B$3035),1,0)</f>
      </c>
      <c r="D4625" s="5" t="str">
        <f>IF(OR(D4624=1,C4625=1),1,0)</f>
      </c>
      <c r="E4625" s="5" t="str">
        <f>IF(C4625=1,0,IF(D4624=1,E4624+1,0))</f>
      </c>
      <c r="F4625" s="5" t="str">
        <f>IF(AND(C4625=1,D4624=1),MIN(E4624,3),"")</f>
      </c>
    </row>
    <row r="4626">
      <c r="A4626" s="6">
        <v>1588</v>
      </c>
      <c r="B4626" s="6" t="str">
        <f>'Lineal Mixto'!$C$1592</f>
      </c>
      <c r="C4626" s="6" t="str">
        <f>IF(AND(B4626&gt;=$B$3034,B4626&lt;=$B$3035),1,0)</f>
      </c>
      <c r="D4626" s="6" t="str">
        <f>IF(OR(D4625=1,C4626=1),1,0)</f>
      </c>
      <c r="E4626" s="6" t="str">
        <f>IF(C4626=1,0,IF(D4625=1,E4625+1,0))</f>
      </c>
      <c r="F4626" s="6" t="str">
        <f>IF(AND(C4626=1,D4625=1),MIN(E4625,3),"")</f>
      </c>
    </row>
    <row r="4627">
      <c r="A4627" s="5">
        <v>1589</v>
      </c>
      <c r="B4627" s="5" t="str">
        <f>'Lineal Mixto'!$C$1593</f>
      </c>
      <c r="C4627" s="5" t="str">
        <f>IF(AND(B4627&gt;=$B$3034,B4627&lt;=$B$3035),1,0)</f>
      </c>
      <c r="D4627" s="5" t="str">
        <f>IF(OR(D4626=1,C4627=1),1,0)</f>
      </c>
      <c r="E4627" s="5" t="str">
        <f>IF(C4627=1,0,IF(D4626=1,E4626+1,0))</f>
      </c>
      <c r="F4627" s="5" t="str">
        <f>IF(AND(C4627=1,D4626=1),MIN(E4626,3),"")</f>
      </c>
    </row>
    <row r="4628">
      <c r="A4628" s="6">
        <v>1590</v>
      </c>
      <c r="B4628" s="6" t="str">
        <f>'Lineal Mixto'!$C$1594</f>
      </c>
      <c r="C4628" s="6" t="str">
        <f>IF(AND(B4628&gt;=$B$3034,B4628&lt;=$B$3035),1,0)</f>
      </c>
      <c r="D4628" s="6" t="str">
        <f>IF(OR(D4627=1,C4628=1),1,0)</f>
      </c>
      <c r="E4628" s="6" t="str">
        <f>IF(C4628=1,0,IF(D4627=1,E4627+1,0))</f>
      </c>
      <c r="F4628" s="6" t="str">
        <f>IF(AND(C4628=1,D4627=1),MIN(E4627,3),"")</f>
      </c>
    </row>
    <row r="4629">
      <c r="A4629" s="5">
        <v>1591</v>
      </c>
      <c r="B4629" s="5" t="str">
        <f>'Lineal Mixto'!$C$1595</f>
      </c>
      <c r="C4629" s="5" t="str">
        <f>IF(AND(B4629&gt;=$B$3034,B4629&lt;=$B$3035),1,0)</f>
      </c>
      <c r="D4629" s="5" t="str">
        <f>IF(OR(D4628=1,C4629=1),1,0)</f>
      </c>
      <c r="E4629" s="5" t="str">
        <f>IF(C4629=1,0,IF(D4628=1,E4628+1,0))</f>
      </c>
      <c r="F4629" s="5" t="str">
        <f>IF(AND(C4629=1,D4628=1),MIN(E4628,3),"")</f>
      </c>
    </row>
    <row r="4630">
      <c r="A4630" s="6">
        <v>1592</v>
      </c>
      <c r="B4630" s="6" t="str">
        <f>'Lineal Mixto'!$C$1596</f>
      </c>
      <c r="C4630" s="6" t="str">
        <f>IF(AND(B4630&gt;=$B$3034,B4630&lt;=$B$3035),1,0)</f>
      </c>
      <c r="D4630" s="6" t="str">
        <f>IF(OR(D4629=1,C4630=1),1,0)</f>
      </c>
      <c r="E4630" s="6" t="str">
        <f>IF(C4630=1,0,IF(D4629=1,E4629+1,0))</f>
      </c>
      <c r="F4630" s="6" t="str">
        <f>IF(AND(C4630=1,D4629=1),MIN(E4629,3),"")</f>
      </c>
    </row>
    <row r="4631">
      <c r="A4631" s="5">
        <v>1593</v>
      </c>
      <c r="B4631" s="5" t="str">
        <f>'Lineal Mixto'!$C$1597</f>
      </c>
      <c r="C4631" s="5" t="str">
        <f>IF(AND(B4631&gt;=$B$3034,B4631&lt;=$B$3035),1,0)</f>
      </c>
      <c r="D4631" s="5" t="str">
        <f>IF(OR(D4630=1,C4631=1),1,0)</f>
      </c>
      <c r="E4631" s="5" t="str">
        <f>IF(C4631=1,0,IF(D4630=1,E4630+1,0))</f>
      </c>
      <c r="F4631" s="5" t="str">
        <f>IF(AND(C4631=1,D4630=1),MIN(E4630,3),"")</f>
      </c>
    </row>
    <row r="4632">
      <c r="A4632" s="6">
        <v>1594</v>
      </c>
      <c r="B4632" s="6" t="str">
        <f>'Lineal Mixto'!$C$1598</f>
      </c>
      <c r="C4632" s="6" t="str">
        <f>IF(AND(B4632&gt;=$B$3034,B4632&lt;=$B$3035),1,0)</f>
      </c>
      <c r="D4632" s="6" t="str">
        <f>IF(OR(D4631=1,C4632=1),1,0)</f>
      </c>
      <c r="E4632" s="6" t="str">
        <f>IF(C4632=1,0,IF(D4631=1,E4631+1,0))</f>
      </c>
      <c r="F4632" s="6" t="str">
        <f>IF(AND(C4632=1,D4631=1),MIN(E4631,3),"")</f>
      </c>
    </row>
    <row r="4633">
      <c r="A4633" s="5">
        <v>1595</v>
      </c>
      <c r="B4633" s="5" t="str">
        <f>'Lineal Mixto'!$C$1599</f>
      </c>
      <c r="C4633" s="5" t="str">
        <f>IF(AND(B4633&gt;=$B$3034,B4633&lt;=$B$3035),1,0)</f>
      </c>
      <c r="D4633" s="5" t="str">
        <f>IF(OR(D4632=1,C4633=1),1,0)</f>
      </c>
      <c r="E4633" s="5" t="str">
        <f>IF(C4633=1,0,IF(D4632=1,E4632+1,0))</f>
      </c>
      <c r="F4633" s="5" t="str">
        <f>IF(AND(C4633=1,D4632=1),MIN(E4632,3),"")</f>
      </c>
    </row>
    <row r="4634">
      <c r="A4634" s="6">
        <v>1596</v>
      </c>
      <c r="B4634" s="6" t="str">
        <f>'Lineal Mixto'!$C$1600</f>
      </c>
      <c r="C4634" s="6" t="str">
        <f>IF(AND(B4634&gt;=$B$3034,B4634&lt;=$B$3035),1,0)</f>
      </c>
      <c r="D4634" s="6" t="str">
        <f>IF(OR(D4633=1,C4634=1),1,0)</f>
      </c>
      <c r="E4634" s="6" t="str">
        <f>IF(C4634=1,0,IF(D4633=1,E4633+1,0))</f>
      </c>
      <c r="F4634" s="6" t="str">
        <f>IF(AND(C4634=1,D4633=1),MIN(E4633,3),"")</f>
      </c>
    </row>
    <row r="4635">
      <c r="A4635" s="5">
        <v>1597</v>
      </c>
      <c r="B4635" s="5" t="str">
        <f>'Lineal Mixto'!$C$1601</f>
      </c>
      <c r="C4635" s="5" t="str">
        <f>IF(AND(B4635&gt;=$B$3034,B4635&lt;=$B$3035),1,0)</f>
      </c>
      <c r="D4635" s="5" t="str">
        <f>IF(OR(D4634=1,C4635=1),1,0)</f>
      </c>
      <c r="E4635" s="5" t="str">
        <f>IF(C4635=1,0,IF(D4634=1,E4634+1,0))</f>
      </c>
      <c r="F4635" s="5" t="str">
        <f>IF(AND(C4635=1,D4634=1),MIN(E4634,3),"")</f>
      </c>
    </row>
    <row r="4636">
      <c r="A4636" s="6">
        <v>1598</v>
      </c>
      <c r="B4636" s="6" t="str">
        <f>'Lineal Mixto'!$C$1602</f>
      </c>
      <c r="C4636" s="6" t="str">
        <f>IF(AND(B4636&gt;=$B$3034,B4636&lt;=$B$3035),1,0)</f>
      </c>
      <c r="D4636" s="6" t="str">
        <f>IF(OR(D4635=1,C4636=1),1,0)</f>
      </c>
      <c r="E4636" s="6" t="str">
        <f>IF(C4636=1,0,IF(D4635=1,E4635+1,0))</f>
      </c>
      <c r="F4636" s="6" t="str">
        <f>IF(AND(C4636=1,D4635=1),MIN(E4635,3),"")</f>
      </c>
    </row>
    <row r="4637">
      <c r="A4637" s="5">
        <v>1599</v>
      </c>
      <c r="B4637" s="5" t="str">
        <f>'Lineal Mixto'!$C$1603</f>
      </c>
      <c r="C4637" s="5" t="str">
        <f>IF(AND(B4637&gt;=$B$3034,B4637&lt;=$B$3035),1,0)</f>
      </c>
      <c r="D4637" s="5" t="str">
        <f>IF(OR(D4636=1,C4637=1),1,0)</f>
      </c>
      <c r="E4637" s="5" t="str">
        <f>IF(C4637=1,0,IF(D4636=1,E4636+1,0))</f>
      </c>
      <c r="F4637" s="5" t="str">
        <f>IF(AND(C4637=1,D4636=1),MIN(E4636,3),"")</f>
      </c>
    </row>
    <row r="4638">
      <c r="A4638" s="6">
        <v>1600</v>
      </c>
      <c r="B4638" s="6" t="str">
        <f>'Lineal Mixto'!$C$1604</f>
      </c>
      <c r="C4638" s="6" t="str">
        <f>IF(AND(B4638&gt;=$B$3034,B4638&lt;=$B$3035),1,0)</f>
      </c>
      <c r="D4638" s="6" t="str">
        <f>IF(OR(D4637=1,C4638=1),1,0)</f>
      </c>
      <c r="E4638" s="6" t="str">
        <f>IF(C4638=1,0,IF(D4637=1,E4637+1,0))</f>
      </c>
      <c r="F4638" s="6" t="str">
        <f>IF(AND(C4638=1,D4637=1),MIN(E4637,3),"")</f>
      </c>
    </row>
    <row r="4639">
      <c r="A4639" s="5">
        <v>1601</v>
      </c>
      <c r="B4639" s="5" t="str">
        <f>'Lineal Mixto'!$C$1605</f>
      </c>
      <c r="C4639" s="5" t="str">
        <f>IF(AND(B4639&gt;=$B$3034,B4639&lt;=$B$3035),1,0)</f>
      </c>
      <c r="D4639" s="5" t="str">
        <f>IF(OR(D4638=1,C4639=1),1,0)</f>
      </c>
      <c r="E4639" s="5" t="str">
        <f>IF(C4639=1,0,IF(D4638=1,E4638+1,0))</f>
      </c>
      <c r="F4639" s="5" t="str">
        <f>IF(AND(C4639=1,D4638=1),MIN(E4638,3),"")</f>
      </c>
    </row>
    <row r="4640">
      <c r="A4640" s="6">
        <v>1602</v>
      </c>
      <c r="B4640" s="6" t="str">
        <f>'Lineal Mixto'!$C$1606</f>
      </c>
      <c r="C4640" s="6" t="str">
        <f>IF(AND(B4640&gt;=$B$3034,B4640&lt;=$B$3035),1,0)</f>
      </c>
      <c r="D4640" s="6" t="str">
        <f>IF(OR(D4639=1,C4640=1),1,0)</f>
      </c>
      <c r="E4640" s="6" t="str">
        <f>IF(C4640=1,0,IF(D4639=1,E4639+1,0))</f>
      </c>
      <c r="F4640" s="6" t="str">
        <f>IF(AND(C4640=1,D4639=1),MIN(E4639,3),"")</f>
      </c>
    </row>
    <row r="4641">
      <c r="A4641" s="5">
        <v>1603</v>
      </c>
      <c r="B4641" s="5" t="str">
        <f>'Lineal Mixto'!$C$1607</f>
      </c>
      <c r="C4641" s="5" t="str">
        <f>IF(AND(B4641&gt;=$B$3034,B4641&lt;=$B$3035),1,0)</f>
      </c>
      <c r="D4641" s="5" t="str">
        <f>IF(OR(D4640=1,C4641=1),1,0)</f>
      </c>
      <c r="E4641" s="5" t="str">
        <f>IF(C4641=1,0,IF(D4640=1,E4640+1,0))</f>
      </c>
      <c r="F4641" s="5" t="str">
        <f>IF(AND(C4641=1,D4640=1),MIN(E4640,3),"")</f>
      </c>
    </row>
    <row r="4642">
      <c r="A4642" s="6">
        <v>1604</v>
      </c>
      <c r="B4642" s="6" t="str">
        <f>'Lineal Mixto'!$C$1608</f>
      </c>
      <c r="C4642" s="6" t="str">
        <f>IF(AND(B4642&gt;=$B$3034,B4642&lt;=$B$3035),1,0)</f>
      </c>
      <c r="D4642" s="6" t="str">
        <f>IF(OR(D4641=1,C4642=1),1,0)</f>
      </c>
      <c r="E4642" s="6" t="str">
        <f>IF(C4642=1,0,IF(D4641=1,E4641+1,0))</f>
      </c>
      <c r="F4642" s="6" t="str">
        <f>IF(AND(C4642=1,D4641=1),MIN(E4641,3),"")</f>
      </c>
    </row>
    <row r="4643">
      <c r="A4643" s="5">
        <v>1605</v>
      </c>
      <c r="B4643" s="5" t="str">
        <f>'Lineal Mixto'!$C$1609</f>
      </c>
      <c r="C4643" s="5" t="str">
        <f>IF(AND(B4643&gt;=$B$3034,B4643&lt;=$B$3035),1,0)</f>
      </c>
      <c r="D4643" s="5" t="str">
        <f>IF(OR(D4642=1,C4643=1),1,0)</f>
      </c>
      <c r="E4643" s="5" t="str">
        <f>IF(C4643=1,0,IF(D4642=1,E4642+1,0))</f>
      </c>
      <c r="F4643" s="5" t="str">
        <f>IF(AND(C4643=1,D4642=1),MIN(E4642,3),"")</f>
      </c>
    </row>
    <row r="4644">
      <c r="A4644" s="6">
        <v>1606</v>
      </c>
      <c r="B4644" s="6" t="str">
        <f>'Lineal Mixto'!$C$1610</f>
      </c>
      <c r="C4644" s="6" t="str">
        <f>IF(AND(B4644&gt;=$B$3034,B4644&lt;=$B$3035),1,0)</f>
      </c>
      <c r="D4644" s="6" t="str">
        <f>IF(OR(D4643=1,C4644=1),1,0)</f>
      </c>
      <c r="E4644" s="6" t="str">
        <f>IF(C4644=1,0,IF(D4643=1,E4643+1,0))</f>
      </c>
      <c r="F4644" s="6" t="str">
        <f>IF(AND(C4644=1,D4643=1),MIN(E4643,3),"")</f>
      </c>
    </row>
    <row r="4645">
      <c r="A4645" s="5">
        <v>1607</v>
      </c>
      <c r="B4645" s="5" t="str">
        <f>'Lineal Mixto'!$C$1611</f>
      </c>
      <c r="C4645" s="5" t="str">
        <f>IF(AND(B4645&gt;=$B$3034,B4645&lt;=$B$3035),1,0)</f>
      </c>
      <c r="D4645" s="5" t="str">
        <f>IF(OR(D4644=1,C4645=1),1,0)</f>
      </c>
      <c r="E4645" s="5" t="str">
        <f>IF(C4645=1,0,IF(D4644=1,E4644+1,0))</f>
      </c>
      <c r="F4645" s="5" t="str">
        <f>IF(AND(C4645=1,D4644=1),MIN(E4644,3),"")</f>
      </c>
    </row>
    <row r="4646">
      <c r="A4646" s="6">
        <v>1608</v>
      </c>
      <c r="B4646" s="6" t="str">
        <f>'Lineal Mixto'!$C$1612</f>
      </c>
      <c r="C4646" s="6" t="str">
        <f>IF(AND(B4646&gt;=$B$3034,B4646&lt;=$B$3035),1,0)</f>
      </c>
      <c r="D4646" s="6" t="str">
        <f>IF(OR(D4645=1,C4646=1),1,0)</f>
      </c>
      <c r="E4646" s="6" t="str">
        <f>IF(C4646=1,0,IF(D4645=1,E4645+1,0))</f>
      </c>
      <c r="F4646" s="6" t="str">
        <f>IF(AND(C4646=1,D4645=1),MIN(E4645,3),"")</f>
      </c>
    </row>
    <row r="4647">
      <c r="A4647" s="5">
        <v>1609</v>
      </c>
      <c r="B4647" s="5" t="str">
        <f>'Lineal Mixto'!$C$1613</f>
      </c>
      <c r="C4647" s="5" t="str">
        <f>IF(AND(B4647&gt;=$B$3034,B4647&lt;=$B$3035),1,0)</f>
      </c>
      <c r="D4647" s="5" t="str">
        <f>IF(OR(D4646=1,C4647=1),1,0)</f>
      </c>
      <c r="E4647" s="5" t="str">
        <f>IF(C4647=1,0,IF(D4646=1,E4646+1,0))</f>
      </c>
      <c r="F4647" s="5" t="str">
        <f>IF(AND(C4647=1,D4646=1),MIN(E4646,3),"")</f>
      </c>
    </row>
    <row r="4648">
      <c r="A4648" s="6">
        <v>1610</v>
      </c>
      <c r="B4648" s="6" t="str">
        <f>'Lineal Mixto'!$C$1614</f>
      </c>
      <c r="C4648" s="6" t="str">
        <f>IF(AND(B4648&gt;=$B$3034,B4648&lt;=$B$3035),1,0)</f>
      </c>
      <c r="D4648" s="6" t="str">
        <f>IF(OR(D4647=1,C4648=1),1,0)</f>
      </c>
      <c r="E4648" s="6" t="str">
        <f>IF(C4648=1,0,IF(D4647=1,E4647+1,0))</f>
      </c>
      <c r="F4648" s="6" t="str">
        <f>IF(AND(C4648=1,D4647=1),MIN(E4647,3),"")</f>
      </c>
    </row>
    <row r="4649">
      <c r="A4649" s="5">
        <v>1611</v>
      </c>
      <c r="B4649" s="5" t="str">
        <f>'Lineal Mixto'!$C$1615</f>
      </c>
      <c r="C4649" s="5" t="str">
        <f>IF(AND(B4649&gt;=$B$3034,B4649&lt;=$B$3035),1,0)</f>
      </c>
      <c r="D4649" s="5" t="str">
        <f>IF(OR(D4648=1,C4649=1),1,0)</f>
      </c>
      <c r="E4649" s="5" t="str">
        <f>IF(C4649=1,0,IF(D4648=1,E4648+1,0))</f>
      </c>
      <c r="F4649" s="5" t="str">
        <f>IF(AND(C4649=1,D4648=1),MIN(E4648,3),"")</f>
      </c>
    </row>
    <row r="4650">
      <c r="A4650" s="6">
        <v>1612</v>
      </c>
      <c r="B4650" s="6" t="str">
        <f>'Lineal Mixto'!$C$1616</f>
      </c>
      <c r="C4650" s="6" t="str">
        <f>IF(AND(B4650&gt;=$B$3034,B4650&lt;=$B$3035),1,0)</f>
      </c>
      <c r="D4650" s="6" t="str">
        <f>IF(OR(D4649=1,C4650=1),1,0)</f>
      </c>
      <c r="E4650" s="6" t="str">
        <f>IF(C4650=1,0,IF(D4649=1,E4649+1,0))</f>
      </c>
      <c r="F4650" s="6" t="str">
        <f>IF(AND(C4650=1,D4649=1),MIN(E4649,3),"")</f>
      </c>
    </row>
    <row r="4651">
      <c r="A4651" s="5">
        <v>1613</v>
      </c>
      <c r="B4651" s="5" t="str">
        <f>'Lineal Mixto'!$C$1617</f>
      </c>
      <c r="C4651" s="5" t="str">
        <f>IF(AND(B4651&gt;=$B$3034,B4651&lt;=$B$3035),1,0)</f>
      </c>
      <c r="D4651" s="5" t="str">
        <f>IF(OR(D4650=1,C4651=1),1,0)</f>
      </c>
      <c r="E4651" s="5" t="str">
        <f>IF(C4651=1,0,IF(D4650=1,E4650+1,0))</f>
      </c>
      <c r="F4651" s="5" t="str">
        <f>IF(AND(C4651=1,D4650=1),MIN(E4650,3),"")</f>
      </c>
    </row>
    <row r="4652">
      <c r="A4652" s="6">
        <v>1614</v>
      </c>
      <c r="B4652" s="6" t="str">
        <f>'Lineal Mixto'!$C$1618</f>
      </c>
      <c r="C4652" s="6" t="str">
        <f>IF(AND(B4652&gt;=$B$3034,B4652&lt;=$B$3035),1,0)</f>
      </c>
      <c r="D4652" s="6" t="str">
        <f>IF(OR(D4651=1,C4652=1),1,0)</f>
      </c>
      <c r="E4652" s="6" t="str">
        <f>IF(C4652=1,0,IF(D4651=1,E4651+1,0))</f>
      </c>
      <c r="F4652" s="6" t="str">
        <f>IF(AND(C4652=1,D4651=1),MIN(E4651,3),"")</f>
      </c>
    </row>
    <row r="4653">
      <c r="A4653" s="5">
        <v>1615</v>
      </c>
      <c r="B4653" s="5" t="str">
        <f>'Lineal Mixto'!$C$1619</f>
      </c>
      <c r="C4653" s="5" t="str">
        <f>IF(AND(B4653&gt;=$B$3034,B4653&lt;=$B$3035),1,0)</f>
      </c>
      <c r="D4653" s="5" t="str">
        <f>IF(OR(D4652=1,C4653=1),1,0)</f>
      </c>
      <c r="E4653" s="5" t="str">
        <f>IF(C4653=1,0,IF(D4652=1,E4652+1,0))</f>
      </c>
      <c r="F4653" s="5" t="str">
        <f>IF(AND(C4653=1,D4652=1),MIN(E4652,3),"")</f>
      </c>
    </row>
    <row r="4654">
      <c r="A4654" s="6">
        <v>1616</v>
      </c>
      <c r="B4654" s="6" t="str">
        <f>'Lineal Mixto'!$C$1620</f>
      </c>
      <c r="C4654" s="6" t="str">
        <f>IF(AND(B4654&gt;=$B$3034,B4654&lt;=$B$3035),1,0)</f>
      </c>
      <c r="D4654" s="6" t="str">
        <f>IF(OR(D4653=1,C4654=1),1,0)</f>
      </c>
      <c r="E4654" s="6" t="str">
        <f>IF(C4654=1,0,IF(D4653=1,E4653+1,0))</f>
      </c>
      <c r="F4654" s="6" t="str">
        <f>IF(AND(C4654=1,D4653=1),MIN(E4653,3),"")</f>
      </c>
    </row>
    <row r="4655">
      <c r="A4655" s="5">
        <v>1617</v>
      </c>
      <c r="B4655" s="5" t="str">
        <f>'Lineal Mixto'!$C$1621</f>
      </c>
      <c r="C4655" s="5" t="str">
        <f>IF(AND(B4655&gt;=$B$3034,B4655&lt;=$B$3035),1,0)</f>
      </c>
      <c r="D4655" s="5" t="str">
        <f>IF(OR(D4654=1,C4655=1),1,0)</f>
      </c>
      <c r="E4655" s="5" t="str">
        <f>IF(C4655=1,0,IF(D4654=1,E4654+1,0))</f>
      </c>
      <c r="F4655" s="5" t="str">
        <f>IF(AND(C4655=1,D4654=1),MIN(E4654,3),"")</f>
      </c>
    </row>
    <row r="4656">
      <c r="A4656" s="6">
        <v>1618</v>
      </c>
      <c r="B4656" s="6" t="str">
        <f>'Lineal Mixto'!$C$1622</f>
      </c>
      <c r="C4656" s="6" t="str">
        <f>IF(AND(B4656&gt;=$B$3034,B4656&lt;=$B$3035),1,0)</f>
      </c>
      <c r="D4656" s="6" t="str">
        <f>IF(OR(D4655=1,C4656=1),1,0)</f>
      </c>
      <c r="E4656" s="6" t="str">
        <f>IF(C4656=1,0,IF(D4655=1,E4655+1,0))</f>
      </c>
      <c r="F4656" s="6" t="str">
        <f>IF(AND(C4656=1,D4655=1),MIN(E4655,3),"")</f>
      </c>
    </row>
    <row r="4657">
      <c r="A4657" s="5">
        <v>1619</v>
      </c>
      <c r="B4657" s="5" t="str">
        <f>'Lineal Mixto'!$C$1623</f>
      </c>
      <c r="C4657" s="5" t="str">
        <f>IF(AND(B4657&gt;=$B$3034,B4657&lt;=$B$3035),1,0)</f>
      </c>
      <c r="D4657" s="5" t="str">
        <f>IF(OR(D4656=1,C4657=1),1,0)</f>
      </c>
      <c r="E4657" s="5" t="str">
        <f>IF(C4657=1,0,IF(D4656=1,E4656+1,0))</f>
      </c>
      <c r="F4657" s="5" t="str">
        <f>IF(AND(C4657=1,D4656=1),MIN(E4656,3),"")</f>
      </c>
    </row>
    <row r="4658">
      <c r="A4658" s="6">
        <v>1620</v>
      </c>
      <c r="B4658" s="6" t="str">
        <f>'Lineal Mixto'!$C$1624</f>
      </c>
      <c r="C4658" s="6" t="str">
        <f>IF(AND(B4658&gt;=$B$3034,B4658&lt;=$B$3035),1,0)</f>
      </c>
      <c r="D4658" s="6" t="str">
        <f>IF(OR(D4657=1,C4658=1),1,0)</f>
      </c>
      <c r="E4658" s="6" t="str">
        <f>IF(C4658=1,0,IF(D4657=1,E4657+1,0))</f>
      </c>
      <c r="F4658" s="6" t="str">
        <f>IF(AND(C4658=1,D4657=1),MIN(E4657,3),"")</f>
      </c>
    </row>
    <row r="4659">
      <c r="A4659" s="5">
        <v>1621</v>
      </c>
      <c r="B4659" s="5" t="str">
        <f>'Lineal Mixto'!$C$1625</f>
      </c>
      <c r="C4659" s="5" t="str">
        <f>IF(AND(B4659&gt;=$B$3034,B4659&lt;=$B$3035),1,0)</f>
      </c>
      <c r="D4659" s="5" t="str">
        <f>IF(OR(D4658=1,C4659=1),1,0)</f>
      </c>
      <c r="E4659" s="5" t="str">
        <f>IF(C4659=1,0,IF(D4658=1,E4658+1,0))</f>
      </c>
      <c r="F4659" s="5" t="str">
        <f>IF(AND(C4659=1,D4658=1),MIN(E4658,3),"")</f>
      </c>
    </row>
    <row r="4660">
      <c r="A4660" s="6">
        <v>1622</v>
      </c>
      <c r="B4660" s="6" t="str">
        <f>'Lineal Mixto'!$C$1626</f>
      </c>
      <c r="C4660" s="6" t="str">
        <f>IF(AND(B4660&gt;=$B$3034,B4660&lt;=$B$3035),1,0)</f>
      </c>
      <c r="D4660" s="6" t="str">
        <f>IF(OR(D4659=1,C4660=1),1,0)</f>
      </c>
      <c r="E4660" s="6" t="str">
        <f>IF(C4660=1,0,IF(D4659=1,E4659+1,0))</f>
      </c>
      <c r="F4660" s="6" t="str">
        <f>IF(AND(C4660=1,D4659=1),MIN(E4659,3),"")</f>
      </c>
    </row>
    <row r="4661">
      <c r="A4661" s="5">
        <v>1623</v>
      </c>
      <c r="B4661" s="5" t="str">
        <f>'Lineal Mixto'!$C$1627</f>
      </c>
      <c r="C4661" s="5" t="str">
        <f>IF(AND(B4661&gt;=$B$3034,B4661&lt;=$B$3035),1,0)</f>
      </c>
      <c r="D4661" s="5" t="str">
        <f>IF(OR(D4660=1,C4661=1),1,0)</f>
      </c>
      <c r="E4661" s="5" t="str">
        <f>IF(C4661=1,0,IF(D4660=1,E4660+1,0))</f>
      </c>
      <c r="F4661" s="5" t="str">
        <f>IF(AND(C4661=1,D4660=1),MIN(E4660,3),"")</f>
      </c>
    </row>
    <row r="4662">
      <c r="A4662" s="6">
        <v>1624</v>
      </c>
      <c r="B4662" s="6" t="str">
        <f>'Lineal Mixto'!$C$1628</f>
      </c>
      <c r="C4662" s="6" t="str">
        <f>IF(AND(B4662&gt;=$B$3034,B4662&lt;=$B$3035),1,0)</f>
      </c>
      <c r="D4662" s="6" t="str">
        <f>IF(OR(D4661=1,C4662=1),1,0)</f>
      </c>
      <c r="E4662" s="6" t="str">
        <f>IF(C4662=1,0,IF(D4661=1,E4661+1,0))</f>
      </c>
      <c r="F4662" s="6" t="str">
        <f>IF(AND(C4662=1,D4661=1),MIN(E4661,3),"")</f>
      </c>
    </row>
    <row r="4663">
      <c r="A4663" s="5">
        <v>1625</v>
      </c>
      <c r="B4663" s="5" t="str">
        <f>'Lineal Mixto'!$C$1629</f>
      </c>
      <c r="C4663" s="5" t="str">
        <f>IF(AND(B4663&gt;=$B$3034,B4663&lt;=$B$3035),1,0)</f>
      </c>
      <c r="D4663" s="5" t="str">
        <f>IF(OR(D4662=1,C4663=1),1,0)</f>
      </c>
      <c r="E4663" s="5" t="str">
        <f>IF(C4663=1,0,IF(D4662=1,E4662+1,0))</f>
      </c>
      <c r="F4663" s="5" t="str">
        <f>IF(AND(C4663=1,D4662=1),MIN(E4662,3),"")</f>
      </c>
    </row>
    <row r="4664">
      <c r="A4664" s="6">
        <v>1626</v>
      </c>
      <c r="B4664" s="6" t="str">
        <f>'Lineal Mixto'!$C$1630</f>
      </c>
      <c r="C4664" s="6" t="str">
        <f>IF(AND(B4664&gt;=$B$3034,B4664&lt;=$B$3035),1,0)</f>
      </c>
      <c r="D4664" s="6" t="str">
        <f>IF(OR(D4663=1,C4664=1),1,0)</f>
      </c>
      <c r="E4664" s="6" t="str">
        <f>IF(C4664=1,0,IF(D4663=1,E4663+1,0))</f>
      </c>
      <c r="F4664" s="6" t="str">
        <f>IF(AND(C4664=1,D4663=1),MIN(E4663,3),"")</f>
      </c>
    </row>
    <row r="4665">
      <c r="A4665" s="5">
        <v>1627</v>
      </c>
      <c r="B4665" s="5" t="str">
        <f>'Lineal Mixto'!$C$1631</f>
      </c>
      <c r="C4665" s="5" t="str">
        <f>IF(AND(B4665&gt;=$B$3034,B4665&lt;=$B$3035),1,0)</f>
      </c>
      <c r="D4665" s="5" t="str">
        <f>IF(OR(D4664=1,C4665=1),1,0)</f>
      </c>
      <c r="E4665" s="5" t="str">
        <f>IF(C4665=1,0,IF(D4664=1,E4664+1,0))</f>
      </c>
      <c r="F4665" s="5" t="str">
        <f>IF(AND(C4665=1,D4664=1),MIN(E4664,3),"")</f>
      </c>
    </row>
    <row r="4666">
      <c r="A4666" s="6">
        <v>1628</v>
      </c>
      <c r="B4666" s="6" t="str">
        <f>'Lineal Mixto'!$C$1632</f>
      </c>
      <c r="C4666" s="6" t="str">
        <f>IF(AND(B4666&gt;=$B$3034,B4666&lt;=$B$3035),1,0)</f>
      </c>
      <c r="D4666" s="6" t="str">
        <f>IF(OR(D4665=1,C4666=1),1,0)</f>
      </c>
      <c r="E4666" s="6" t="str">
        <f>IF(C4666=1,0,IF(D4665=1,E4665+1,0))</f>
      </c>
      <c r="F4666" s="6" t="str">
        <f>IF(AND(C4666=1,D4665=1),MIN(E4665,3),"")</f>
      </c>
    </row>
    <row r="4667">
      <c r="A4667" s="5">
        <v>1629</v>
      </c>
      <c r="B4667" s="5" t="str">
        <f>'Lineal Mixto'!$C$1633</f>
      </c>
      <c r="C4667" s="5" t="str">
        <f>IF(AND(B4667&gt;=$B$3034,B4667&lt;=$B$3035),1,0)</f>
      </c>
      <c r="D4667" s="5" t="str">
        <f>IF(OR(D4666=1,C4667=1),1,0)</f>
      </c>
      <c r="E4667" s="5" t="str">
        <f>IF(C4667=1,0,IF(D4666=1,E4666+1,0))</f>
      </c>
      <c r="F4667" s="5" t="str">
        <f>IF(AND(C4667=1,D4666=1),MIN(E4666,3),"")</f>
      </c>
    </row>
    <row r="4668">
      <c r="A4668" s="6">
        <v>1630</v>
      </c>
      <c r="B4668" s="6" t="str">
        <f>'Lineal Mixto'!$C$1634</f>
      </c>
      <c r="C4668" s="6" t="str">
        <f>IF(AND(B4668&gt;=$B$3034,B4668&lt;=$B$3035),1,0)</f>
      </c>
      <c r="D4668" s="6" t="str">
        <f>IF(OR(D4667=1,C4668=1),1,0)</f>
      </c>
      <c r="E4668" s="6" t="str">
        <f>IF(C4668=1,0,IF(D4667=1,E4667+1,0))</f>
      </c>
      <c r="F4668" s="6" t="str">
        <f>IF(AND(C4668=1,D4667=1),MIN(E4667,3),"")</f>
      </c>
    </row>
    <row r="4669">
      <c r="A4669" s="5">
        <v>1631</v>
      </c>
      <c r="B4669" s="5" t="str">
        <f>'Lineal Mixto'!$C$1635</f>
      </c>
      <c r="C4669" s="5" t="str">
        <f>IF(AND(B4669&gt;=$B$3034,B4669&lt;=$B$3035),1,0)</f>
      </c>
      <c r="D4669" s="5" t="str">
        <f>IF(OR(D4668=1,C4669=1),1,0)</f>
      </c>
      <c r="E4669" s="5" t="str">
        <f>IF(C4669=1,0,IF(D4668=1,E4668+1,0))</f>
      </c>
      <c r="F4669" s="5" t="str">
        <f>IF(AND(C4669=1,D4668=1),MIN(E4668,3),"")</f>
      </c>
    </row>
    <row r="4670">
      <c r="A4670" s="6">
        <v>1632</v>
      </c>
      <c r="B4670" s="6" t="str">
        <f>'Lineal Mixto'!$C$1636</f>
      </c>
      <c r="C4670" s="6" t="str">
        <f>IF(AND(B4670&gt;=$B$3034,B4670&lt;=$B$3035),1,0)</f>
      </c>
      <c r="D4670" s="6" t="str">
        <f>IF(OR(D4669=1,C4670=1),1,0)</f>
      </c>
      <c r="E4670" s="6" t="str">
        <f>IF(C4670=1,0,IF(D4669=1,E4669+1,0))</f>
      </c>
      <c r="F4670" s="6" t="str">
        <f>IF(AND(C4670=1,D4669=1),MIN(E4669,3),"")</f>
      </c>
    </row>
    <row r="4671">
      <c r="A4671" s="5">
        <v>1633</v>
      </c>
      <c r="B4671" s="5" t="str">
        <f>'Lineal Mixto'!$C$1637</f>
      </c>
      <c r="C4671" s="5" t="str">
        <f>IF(AND(B4671&gt;=$B$3034,B4671&lt;=$B$3035),1,0)</f>
      </c>
      <c r="D4671" s="5" t="str">
        <f>IF(OR(D4670=1,C4671=1),1,0)</f>
      </c>
      <c r="E4671" s="5" t="str">
        <f>IF(C4671=1,0,IF(D4670=1,E4670+1,0))</f>
      </c>
      <c r="F4671" s="5" t="str">
        <f>IF(AND(C4671=1,D4670=1),MIN(E4670,3),"")</f>
      </c>
    </row>
    <row r="4672">
      <c r="A4672" s="6">
        <v>1634</v>
      </c>
      <c r="B4672" s="6" t="str">
        <f>'Lineal Mixto'!$C$1638</f>
      </c>
      <c r="C4672" s="6" t="str">
        <f>IF(AND(B4672&gt;=$B$3034,B4672&lt;=$B$3035),1,0)</f>
      </c>
      <c r="D4672" s="6" t="str">
        <f>IF(OR(D4671=1,C4672=1),1,0)</f>
      </c>
      <c r="E4672" s="6" t="str">
        <f>IF(C4672=1,0,IF(D4671=1,E4671+1,0))</f>
      </c>
      <c r="F4672" s="6" t="str">
        <f>IF(AND(C4672=1,D4671=1),MIN(E4671,3),"")</f>
      </c>
    </row>
    <row r="4673">
      <c r="A4673" s="5">
        <v>1635</v>
      </c>
      <c r="B4673" s="5" t="str">
        <f>'Lineal Mixto'!$C$1639</f>
      </c>
      <c r="C4673" s="5" t="str">
        <f>IF(AND(B4673&gt;=$B$3034,B4673&lt;=$B$3035),1,0)</f>
      </c>
      <c r="D4673" s="5" t="str">
        <f>IF(OR(D4672=1,C4673=1),1,0)</f>
      </c>
      <c r="E4673" s="5" t="str">
        <f>IF(C4673=1,0,IF(D4672=1,E4672+1,0))</f>
      </c>
      <c r="F4673" s="5" t="str">
        <f>IF(AND(C4673=1,D4672=1),MIN(E4672,3),"")</f>
      </c>
    </row>
    <row r="4674">
      <c r="A4674" s="6">
        <v>1636</v>
      </c>
      <c r="B4674" s="6" t="str">
        <f>'Lineal Mixto'!$C$1640</f>
      </c>
      <c r="C4674" s="6" t="str">
        <f>IF(AND(B4674&gt;=$B$3034,B4674&lt;=$B$3035),1,0)</f>
      </c>
      <c r="D4674" s="6" t="str">
        <f>IF(OR(D4673=1,C4674=1),1,0)</f>
      </c>
      <c r="E4674" s="6" t="str">
        <f>IF(C4674=1,0,IF(D4673=1,E4673+1,0))</f>
      </c>
      <c r="F4674" s="6" t="str">
        <f>IF(AND(C4674=1,D4673=1),MIN(E4673,3),"")</f>
      </c>
    </row>
    <row r="4675">
      <c r="A4675" s="5">
        <v>1637</v>
      </c>
      <c r="B4675" s="5" t="str">
        <f>'Lineal Mixto'!$C$1641</f>
      </c>
      <c r="C4675" s="5" t="str">
        <f>IF(AND(B4675&gt;=$B$3034,B4675&lt;=$B$3035),1,0)</f>
      </c>
      <c r="D4675" s="5" t="str">
        <f>IF(OR(D4674=1,C4675=1),1,0)</f>
      </c>
      <c r="E4675" s="5" t="str">
        <f>IF(C4675=1,0,IF(D4674=1,E4674+1,0))</f>
      </c>
      <c r="F4675" s="5" t="str">
        <f>IF(AND(C4675=1,D4674=1),MIN(E4674,3),"")</f>
      </c>
    </row>
    <row r="4676">
      <c r="A4676" s="6">
        <v>1638</v>
      </c>
      <c r="B4676" s="6" t="str">
        <f>'Lineal Mixto'!$C$1642</f>
      </c>
      <c r="C4676" s="6" t="str">
        <f>IF(AND(B4676&gt;=$B$3034,B4676&lt;=$B$3035),1,0)</f>
      </c>
      <c r="D4676" s="6" t="str">
        <f>IF(OR(D4675=1,C4676=1),1,0)</f>
      </c>
      <c r="E4676" s="6" t="str">
        <f>IF(C4676=1,0,IF(D4675=1,E4675+1,0))</f>
      </c>
      <c r="F4676" s="6" t="str">
        <f>IF(AND(C4676=1,D4675=1),MIN(E4675,3),"")</f>
      </c>
    </row>
    <row r="4677">
      <c r="A4677" s="5">
        <v>1639</v>
      </c>
      <c r="B4677" s="5" t="str">
        <f>'Lineal Mixto'!$C$1643</f>
      </c>
      <c r="C4677" s="5" t="str">
        <f>IF(AND(B4677&gt;=$B$3034,B4677&lt;=$B$3035),1,0)</f>
      </c>
      <c r="D4677" s="5" t="str">
        <f>IF(OR(D4676=1,C4677=1),1,0)</f>
      </c>
      <c r="E4677" s="5" t="str">
        <f>IF(C4677=1,0,IF(D4676=1,E4676+1,0))</f>
      </c>
      <c r="F4677" s="5" t="str">
        <f>IF(AND(C4677=1,D4676=1),MIN(E4676,3),"")</f>
      </c>
    </row>
    <row r="4678">
      <c r="A4678" s="6">
        <v>1640</v>
      </c>
      <c r="B4678" s="6" t="str">
        <f>'Lineal Mixto'!$C$1644</f>
      </c>
      <c r="C4678" s="6" t="str">
        <f>IF(AND(B4678&gt;=$B$3034,B4678&lt;=$B$3035),1,0)</f>
      </c>
      <c r="D4678" s="6" t="str">
        <f>IF(OR(D4677=1,C4678=1),1,0)</f>
      </c>
      <c r="E4678" s="6" t="str">
        <f>IF(C4678=1,0,IF(D4677=1,E4677+1,0))</f>
      </c>
      <c r="F4678" s="6" t="str">
        <f>IF(AND(C4678=1,D4677=1),MIN(E4677,3),"")</f>
      </c>
    </row>
    <row r="4679">
      <c r="A4679" s="5">
        <v>1641</v>
      </c>
      <c r="B4679" s="5" t="str">
        <f>'Lineal Mixto'!$C$1645</f>
      </c>
      <c r="C4679" s="5" t="str">
        <f>IF(AND(B4679&gt;=$B$3034,B4679&lt;=$B$3035),1,0)</f>
      </c>
      <c r="D4679" s="5" t="str">
        <f>IF(OR(D4678=1,C4679=1),1,0)</f>
      </c>
      <c r="E4679" s="5" t="str">
        <f>IF(C4679=1,0,IF(D4678=1,E4678+1,0))</f>
      </c>
      <c r="F4679" s="5" t="str">
        <f>IF(AND(C4679=1,D4678=1),MIN(E4678,3),"")</f>
      </c>
    </row>
    <row r="4680">
      <c r="A4680" s="6">
        <v>1642</v>
      </c>
      <c r="B4680" s="6" t="str">
        <f>'Lineal Mixto'!$C$1646</f>
      </c>
      <c r="C4680" s="6" t="str">
        <f>IF(AND(B4680&gt;=$B$3034,B4680&lt;=$B$3035),1,0)</f>
      </c>
      <c r="D4680" s="6" t="str">
        <f>IF(OR(D4679=1,C4680=1),1,0)</f>
      </c>
      <c r="E4680" s="6" t="str">
        <f>IF(C4680=1,0,IF(D4679=1,E4679+1,0))</f>
      </c>
      <c r="F4680" s="6" t="str">
        <f>IF(AND(C4680=1,D4679=1),MIN(E4679,3),"")</f>
      </c>
    </row>
    <row r="4681">
      <c r="A4681" s="5">
        <v>1643</v>
      </c>
      <c r="B4681" s="5" t="str">
        <f>'Lineal Mixto'!$C$1647</f>
      </c>
      <c r="C4681" s="5" t="str">
        <f>IF(AND(B4681&gt;=$B$3034,B4681&lt;=$B$3035),1,0)</f>
      </c>
      <c r="D4681" s="5" t="str">
        <f>IF(OR(D4680=1,C4681=1),1,0)</f>
      </c>
      <c r="E4681" s="5" t="str">
        <f>IF(C4681=1,0,IF(D4680=1,E4680+1,0))</f>
      </c>
      <c r="F4681" s="5" t="str">
        <f>IF(AND(C4681=1,D4680=1),MIN(E4680,3),"")</f>
      </c>
    </row>
    <row r="4682">
      <c r="A4682" s="6">
        <v>1644</v>
      </c>
      <c r="B4682" s="6" t="str">
        <f>'Lineal Mixto'!$C$1648</f>
      </c>
      <c r="C4682" s="6" t="str">
        <f>IF(AND(B4682&gt;=$B$3034,B4682&lt;=$B$3035),1,0)</f>
      </c>
      <c r="D4682" s="6" t="str">
        <f>IF(OR(D4681=1,C4682=1),1,0)</f>
      </c>
      <c r="E4682" s="6" t="str">
        <f>IF(C4682=1,0,IF(D4681=1,E4681+1,0))</f>
      </c>
      <c r="F4682" s="6" t="str">
        <f>IF(AND(C4682=1,D4681=1),MIN(E4681,3),"")</f>
      </c>
    </row>
    <row r="4683">
      <c r="A4683" s="5">
        <v>1645</v>
      </c>
      <c r="B4683" s="5" t="str">
        <f>'Lineal Mixto'!$C$1649</f>
      </c>
      <c r="C4683" s="5" t="str">
        <f>IF(AND(B4683&gt;=$B$3034,B4683&lt;=$B$3035),1,0)</f>
      </c>
      <c r="D4683" s="5" t="str">
        <f>IF(OR(D4682=1,C4683=1),1,0)</f>
      </c>
      <c r="E4683" s="5" t="str">
        <f>IF(C4683=1,0,IF(D4682=1,E4682+1,0))</f>
      </c>
      <c r="F4683" s="5" t="str">
        <f>IF(AND(C4683=1,D4682=1),MIN(E4682,3),"")</f>
      </c>
    </row>
    <row r="4684">
      <c r="A4684" s="6">
        <v>1646</v>
      </c>
      <c r="B4684" s="6" t="str">
        <f>'Lineal Mixto'!$C$1650</f>
      </c>
      <c r="C4684" s="6" t="str">
        <f>IF(AND(B4684&gt;=$B$3034,B4684&lt;=$B$3035),1,0)</f>
      </c>
      <c r="D4684" s="6" t="str">
        <f>IF(OR(D4683=1,C4684=1),1,0)</f>
      </c>
      <c r="E4684" s="6" t="str">
        <f>IF(C4684=1,0,IF(D4683=1,E4683+1,0))</f>
      </c>
      <c r="F4684" s="6" t="str">
        <f>IF(AND(C4684=1,D4683=1),MIN(E4683,3),"")</f>
      </c>
    </row>
    <row r="4685">
      <c r="A4685" s="5">
        <v>1647</v>
      </c>
      <c r="B4685" s="5" t="str">
        <f>'Lineal Mixto'!$C$1651</f>
      </c>
      <c r="C4685" s="5" t="str">
        <f>IF(AND(B4685&gt;=$B$3034,B4685&lt;=$B$3035),1,0)</f>
      </c>
      <c r="D4685" s="5" t="str">
        <f>IF(OR(D4684=1,C4685=1),1,0)</f>
      </c>
      <c r="E4685" s="5" t="str">
        <f>IF(C4685=1,0,IF(D4684=1,E4684+1,0))</f>
      </c>
      <c r="F4685" s="5" t="str">
        <f>IF(AND(C4685=1,D4684=1),MIN(E4684,3),"")</f>
      </c>
    </row>
    <row r="4686">
      <c r="A4686" s="6">
        <v>1648</v>
      </c>
      <c r="B4686" s="6" t="str">
        <f>'Lineal Mixto'!$C$1652</f>
      </c>
      <c r="C4686" s="6" t="str">
        <f>IF(AND(B4686&gt;=$B$3034,B4686&lt;=$B$3035),1,0)</f>
      </c>
      <c r="D4686" s="6" t="str">
        <f>IF(OR(D4685=1,C4686=1),1,0)</f>
      </c>
      <c r="E4686" s="6" t="str">
        <f>IF(C4686=1,0,IF(D4685=1,E4685+1,0))</f>
      </c>
      <c r="F4686" s="6" t="str">
        <f>IF(AND(C4686=1,D4685=1),MIN(E4685,3),"")</f>
      </c>
    </row>
    <row r="4687">
      <c r="A4687" s="5">
        <v>1649</v>
      </c>
      <c r="B4687" s="5" t="str">
        <f>'Lineal Mixto'!$C$1653</f>
      </c>
      <c r="C4687" s="5" t="str">
        <f>IF(AND(B4687&gt;=$B$3034,B4687&lt;=$B$3035),1,0)</f>
      </c>
      <c r="D4687" s="5" t="str">
        <f>IF(OR(D4686=1,C4687=1),1,0)</f>
      </c>
      <c r="E4687" s="5" t="str">
        <f>IF(C4687=1,0,IF(D4686=1,E4686+1,0))</f>
      </c>
      <c r="F4687" s="5" t="str">
        <f>IF(AND(C4687=1,D4686=1),MIN(E4686,3),"")</f>
      </c>
    </row>
    <row r="4688">
      <c r="A4688" s="6">
        <v>1650</v>
      </c>
      <c r="B4688" s="6" t="str">
        <f>'Lineal Mixto'!$C$1654</f>
      </c>
      <c r="C4688" s="6" t="str">
        <f>IF(AND(B4688&gt;=$B$3034,B4688&lt;=$B$3035),1,0)</f>
      </c>
      <c r="D4688" s="6" t="str">
        <f>IF(OR(D4687=1,C4688=1),1,0)</f>
      </c>
      <c r="E4688" s="6" t="str">
        <f>IF(C4688=1,0,IF(D4687=1,E4687+1,0))</f>
      </c>
      <c r="F4688" s="6" t="str">
        <f>IF(AND(C4688=1,D4687=1),MIN(E4687,3),"")</f>
      </c>
    </row>
    <row r="4689">
      <c r="A4689" s="5">
        <v>1651</v>
      </c>
      <c r="B4689" s="5" t="str">
        <f>'Lineal Mixto'!$C$1655</f>
      </c>
      <c r="C4689" s="5" t="str">
        <f>IF(AND(B4689&gt;=$B$3034,B4689&lt;=$B$3035),1,0)</f>
      </c>
      <c r="D4689" s="5" t="str">
        <f>IF(OR(D4688=1,C4689=1),1,0)</f>
      </c>
      <c r="E4689" s="5" t="str">
        <f>IF(C4689=1,0,IF(D4688=1,E4688+1,0))</f>
      </c>
      <c r="F4689" s="5" t="str">
        <f>IF(AND(C4689=1,D4688=1),MIN(E4688,3),"")</f>
      </c>
    </row>
    <row r="4690">
      <c r="A4690" s="6">
        <v>1652</v>
      </c>
      <c r="B4690" s="6" t="str">
        <f>'Lineal Mixto'!$C$1656</f>
      </c>
      <c r="C4690" s="6" t="str">
        <f>IF(AND(B4690&gt;=$B$3034,B4690&lt;=$B$3035),1,0)</f>
      </c>
      <c r="D4690" s="6" t="str">
        <f>IF(OR(D4689=1,C4690=1),1,0)</f>
      </c>
      <c r="E4690" s="6" t="str">
        <f>IF(C4690=1,0,IF(D4689=1,E4689+1,0))</f>
      </c>
      <c r="F4690" s="6" t="str">
        <f>IF(AND(C4690=1,D4689=1),MIN(E4689,3),"")</f>
      </c>
    </row>
    <row r="4691">
      <c r="A4691" s="5">
        <v>1653</v>
      </c>
      <c r="B4691" s="5" t="str">
        <f>'Lineal Mixto'!$C$1657</f>
      </c>
      <c r="C4691" s="5" t="str">
        <f>IF(AND(B4691&gt;=$B$3034,B4691&lt;=$B$3035),1,0)</f>
      </c>
      <c r="D4691" s="5" t="str">
        <f>IF(OR(D4690=1,C4691=1),1,0)</f>
      </c>
      <c r="E4691" s="5" t="str">
        <f>IF(C4691=1,0,IF(D4690=1,E4690+1,0))</f>
      </c>
      <c r="F4691" s="5" t="str">
        <f>IF(AND(C4691=1,D4690=1),MIN(E4690,3),"")</f>
      </c>
    </row>
    <row r="4692">
      <c r="A4692" s="6">
        <v>1654</v>
      </c>
      <c r="B4692" s="6" t="str">
        <f>'Lineal Mixto'!$C$1658</f>
      </c>
      <c r="C4692" s="6" t="str">
        <f>IF(AND(B4692&gt;=$B$3034,B4692&lt;=$B$3035),1,0)</f>
      </c>
      <c r="D4692" s="6" t="str">
        <f>IF(OR(D4691=1,C4692=1),1,0)</f>
      </c>
      <c r="E4692" s="6" t="str">
        <f>IF(C4692=1,0,IF(D4691=1,E4691+1,0))</f>
      </c>
      <c r="F4692" s="6" t="str">
        <f>IF(AND(C4692=1,D4691=1),MIN(E4691,3),"")</f>
      </c>
    </row>
    <row r="4693">
      <c r="A4693" s="5">
        <v>1655</v>
      </c>
      <c r="B4693" s="5" t="str">
        <f>'Lineal Mixto'!$C$1659</f>
      </c>
      <c r="C4693" s="5" t="str">
        <f>IF(AND(B4693&gt;=$B$3034,B4693&lt;=$B$3035),1,0)</f>
      </c>
      <c r="D4693" s="5" t="str">
        <f>IF(OR(D4692=1,C4693=1),1,0)</f>
      </c>
      <c r="E4693" s="5" t="str">
        <f>IF(C4693=1,0,IF(D4692=1,E4692+1,0))</f>
      </c>
      <c r="F4693" s="5" t="str">
        <f>IF(AND(C4693=1,D4692=1),MIN(E4692,3),"")</f>
      </c>
    </row>
    <row r="4694">
      <c r="A4694" s="6">
        <v>1656</v>
      </c>
      <c r="B4694" s="6" t="str">
        <f>'Lineal Mixto'!$C$1660</f>
      </c>
      <c r="C4694" s="6" t="str">
        <f>IF(AND(B4694&gt;=$B$3034,B4694&lt;=$B$3035),1,0)</f>
      </c>
      <c r="D4694" s="6" t="str">
        <f>IF(OR(D4693=1,C4694=1),1,0)</f>
      </c>
      <c r="E4694" s="6" t="str">
        <f>IF(C4694=1,0,IF(D4693=1,E4693+1,0))</f>
      </c>
      <c r="F4694" s="6" t="str">
        <f>IF(AND(C4694=1,D4693=1),MIN(E4693,3),"")</f>
      </c>
    </row>
    <row r="4695">
      <c r="A4695" s="5">
        <v>1657</v>
      </c>
      <c r="B4695" s="5" t="str">
        <f>'Lineal Mixto'!$C$1661</f>
      </c>
      <c r="C4695" s="5" t="str">
        <f>IF(AND(B4695&gt;=$B$3034,B4695&lt;=$B$3035),1,0)</f>
      </c>
      <c r="D4695" s="5" t="str">
        <f>IF(OR(D4694=1,C4695=1),1,0)</f>
      </c>
      <c r="E4695" s="5" t="str">
        <f>IF(C4695=1,0,IF(D4694=1,E4694+1,0))</f>
      </c>
      <c r="F4695" s="5" t="str">
        <f>IF(AND(C4695=1,D4694=1),MIN(E4694,3),"")</f>
      </c>
    </row>
    <row r="4696">
      <c r="A4696" s="6">
        <v>1658</v>
      </c>
      <c r="B4696" s="6" t="str">
        <f>'Lineal Mixto'!$C$1662</f>
      </c>
      <c r="C4696" s="6" t="str">
        <f>IF(AND(B4696&gt;=$B$3034,B4696&lt;=$B$3035),1,0)</f>
      </c>
      <c r="D4696" s="6" t="str">
        <f>IF(OR(D4695=1,C4696=1),1,0)</f>
      </c>
      <c r="E4696" s="6" t="str">
        <f>IF(C4696=1,0,IF(D4695=1,E4695+1,0))</f>
      </c>
      <c r="F4696" s="6" t="str">
        <f>IF(AND(C4696=1,D4695=1),MIN(E4695,3),"")</f>
      </c>
    </row>
    <row r="4697">
      <c r="A4697" s="5">
        <v>1659</v>
      </c>
      <c r="B4697" s="5" t="str">
        <f>'Lineal Mixto'!$C$1663</f>
      </c>
      <c r="C4697" s="5" t="str">
        <f>IF(AND(B4697&gt;=$B$3034,B4697&lt;=$B$3035),1,0)</f>
      </c>
      <c r="D4697" s="5" t="str">
        <f>IF(OR(D4696=1,C4697=1),1,0)</f>
      </c>
      <c r="E4697" s="5" t="str">
        <f>IF(C4697=1,0,IF(D4696=1,E4696+1,0))</f>
      </c>
      <c r="F4697" s="5" t="str">
        <f>IF(AND(C4697=1,D4696=1),MIN(E4696,3),"")</f>
      </c>
    </row>
    <row r="4698">
      <c r="A4698" s="6">
        <v>1660</v>
      </c>
      <c r="B4698" s="6" t="str">
        <f>'Lineal Mixto'!$C$1664</f>
      </c>
      <c r="C4698" s="6" t="str">
        <f>IF(AND(B4698&gt;=$B$3034,B4698&lt;=$B$3035),1,0)</f>
      </c>
      <c r="D4698" s="6" t="str">
        <f>IF(OR(D4697=1,C4698=1),1,0)</f>
      </c>
      <c r="E4698" s="6" t="str">
        <f>IF(C4698=1,0,IF(D4697=1,E4697+1,0))</f>
      </c>
      <c r="F4698" s="6" t="str">
        <f>IF(AND(C4698=1,D4697=1),MIN(E4697,3),"")</f>
      </c>
    </row>
    <row r="4699">
      <c r="A4699" s="5">
        <v>1661</v>
      </c>
      <c r="B4699" s="5" t="str">
        <f>'Lineal Mixto'!$C$1665</f>
      </c>
      <c r="C4699" s="5" t="str">
        <f>IF(AND(B4699&gt;=$B$3034,B4699&lt;=$B$3035),1,0)</f>
      </c>
      <c r="D4699" s="5" t="str">
        <f>IF(OR(D4698=1,C4699=1),1,0)</f>
      </c>
      <c r="E4699" s="5" t="str">
        <f>IF(C4699=1,0,IF(D4698=1,E4698+1,0))</f>
      </c>
      <c r="F4699" s="5" t="str">
        <f>IF(AND(C4699=1,D4698=1),MIN(E4698,3),"")</f>
      </c>
    </row>
    <row r="4700">
      <c r="A4700" s="6">
        <v>1662</v>
      </c>
      <c r="B4700" s="6" t="str">
        <f>'Lineal Mixto'!$C$1666</f>
      </c>
      <c r="C4700" s="6" t="str">
        <f>IF(AND(B4700&gt;=$B$3034,B4700&lt;=$B$3035),1,0)</f>
      </c>
      <c r="D4700" s="6" t="str">
        <f>IF(OR(D4699=1,C4700=1),1,0)</f>
      </c>
      <c r="E4700" s="6" t="str">
        <f>IF(C4700=1,0,IF(D4699=1,E4699+1,0))</f>
      </c>
      <c r="F4700" s="6" t="str">
        <f>IF(AND(C4700=1,D4699=1),MIN(E4699,3),"")</f>
      </c>
    </row>
    <row r="4701">
      <c r="A4701" s="5">
        <v>1663</v>
      </c>
      <c r="B4701" s="5" t="str">
        <f>'Lineal Mixto'!$C$1667</f>
      </c>
      <c r="C4701" s="5" t="str">
        <f>IF(AND(B4701&gt;=$B$3034,B4701&lt;=$B$3035),1,0)</f>
      </c>
      <c r="D4701" s="5" t="str">
        <f>IF(OR(D4700=1,C4701=1),1,0)</f>
      </c>
      <c r="E4701" s="5" t="str">
        <f>IF(C4701=1,0,IF(D4700=1,E4700+1,0))</f>
      </c>
      <c r="F4701" s="5" t="str">
        <f>IF(AND(C4701=1,D4700=1),MIN(E4700,3),"")</f>
      </c>
    </row>
    <row r="4702">
      <c r="A4702" s="6">
        <v>1664</v>
      </c>
      <c r="B4702" s="6" t="str">
        <f>'Lineal Mixto'!$C$1668</f>
      </c>
      <c r="C4702" s="6" t="str">
        <f>IF(AND(B4702&gt;=$B$3034,B4702&lt;=$B$3035),1,0)</f>
      </c>
      <c r="D4702" s="6" t="str">
        <f>IF(OR(D4701=1,C4702=1),1,0)</f>
      </c>
      <c r="E4702" s="6" t="str">
        <f>IF(C4702=1,0,IF(D4701=1,E4701+1,0))</f>
      </c>
      <c r="F4702" s="6" t="str">
        <f>IF(AND(C4702=1,D4701=1),MIN(E4701,3),"")</f>
      </c>
    </row>
    <row r="4703">
      <c r="A4703" s="5">
        <v>1665</v>
      </c>
      <c r="B4703" s="5" t="str">
        <f>'Lineal Mixto'!$C$1669</f>
      </c>
      <c r="C4703" s="5" t="str">
        <f>IF(AND(B4703&gt;=$B$3034,B4703&lt;=$B$3035),1,0)</f>
      </c>
      <c r="D4703" s="5" t="str">
        <f>IF(OR(D4702=1,C4703=1),1,0)</f>
      </c>
      <c r="E4703" s="5" t="str">
        <f>IF(C4703=1,0,IF(D4702=1,E4702+1,0))</f>
      </c>
      <c r="F4703" s="5" t="str">
        <f>IF(AND(C4703=1,D4702=1),MIN(E4702,3),"")</f>
      </c>
    </row>
    <row r="4704">
      <c r="A4704" s="6">
        <v>1666</v>
      </c>
      <c r="B4704" s="6" t="str">
        <f>'Lineal Mixto'!$C$1670</f>
      </c>
      <c r="C4704" s="6" t="str">
        <f>IF(AND(B4704&gt;=$B$3034,B4704&lt;=$B$3035),1,0)</f>
      </c>
      <c r="D4704" s="6" t="str">
        <f>IF(OR(D4703=1,C4704=1),1,0)</f>
      </c>
      <c r="E4704" s="6" t="str">
        <f>IF(C4704=1,0,IF(D4703=1,E4703+1,0))</f>
      </c>
      <c r="F4704" s="6" t="str">
        <f>IF(AND(C4704=1,D4703=1),MIN(E4703,3),"")</f>
      </c>
    </row>
    <row r="4705">
      <c r="A4705" s="5">
        <v>1667</v>
      </c>
      <c r="B4705" s="5" t="str">
        <f>'Lineal Mixto'!$C$1671</f>
      </c>
      <c r="C4705" s="5" t="str">
        <f>IF(AND(B4705&gt;=$B$3034,B4705&lt;=$B$3035),1,0)</f>
      </c>
      <c r="D4705" s="5" t="str">
        <f>IF(OR(D4704=1,C4705=1),1,0)</f>
      </c>
      <c r="E4705" s="5" t="str">
        <f>IF(C4705=1,0,IF(D4704=1,E4704+1,0))</f>
      </c>
      <c r="F4705" s="5" t="str">
        <f>IF(AND(C4705=1,D4704=1),MIN(E4704,3),"")</f>
      </c>
    </row>
    <row r="4706">
      <c r="A4706" s="6">
        <v>1668</v>
      </c>
      <c r="B4706" s="6" t="str">
        <f>'Lineal Mixto'!$C$1672</f>
      </c>
      <c r="C4706" s="6" t="str">
        <f>IF(AND(B4706&gt;=$B$3034,B4706&lt;=$B$3035),1,0)</f>
      </c>
      <c r="D4706" s="6" t="str">
        <f>IF(OR(D4705=1,C4706=1),1,0)</f>
      </c>
      <c r="E4706" s="6" t="str">
        <f>IF(C4706=1,0,IF(D4705=1,E4705+1,0))</f>
      </c>
      <c r="F4706" s="6" t="str">
        <f>IF(AND(C4706=1,D4705=1),MIN(E4705,3),"")</f>
      </c>
    </row>
    <row r="4707">
      <c r="A4707" s="5">
        <v>1669</v>
      </c>
      <c r="B4707" s="5" t="str">
        <f>'Lineal Mixto'!$C$1673</f>
      </c>
      <c r="C4707" s="5" t="str">
        <f>IF(AND(B4707&gt;=$B$3034,B4707&lt;=$B$3035),1,0)</f>
      </c>
      <c r="D4707" s="5" t="str">
        <f>IF(OR(D4706=1,C4707=1),1,0)</f>
      </c>
      <c r="E4707" s="5" t="str">
        <f>IF(C4707=1,0,IF(D4706=1,E4706+1,0))</f>
      </c>
      <c r="F4707" s="5" t="str">
        <f>IF(AND(C4707=1,D4706=1),MIN(E4706,3),"")</f>
      </c>
    </row>
    <row r="4708">
      <c r="A4708" s="6">
        <v>1670</v>
      </c>
      <c r="B4708" s="6" t="str">
        <f>'Lineal Mixto'!$C$1674</f>
      </c>
      <c r="C4708" s="6" t="str">
        <f>IF(AND(B4708&gt;=$B$3034,B4708&lt;=$B$3035),1,0)</f>
      </c>
      <c r="D4708" s="6" t="str">
        <f>IF(OR(D4707=1,C4708=1),1,0)</f>
      </c>
      <c r="E4708" s="6" t="str">
        <f>IF(C4708=1,0,IF(D4707=1,E4707+1,0))</f>
      </c>
      <c r="F4708" s="6" t="str">
        <f>IF(AND(C4708=1,D4707=1),MIN(E4707,3),"")</f>
      </c>
    </row>
    <row r="4709">
      <c r="A4709" s="5">
        <v>1671</v>
      </c>
      <c r="B4709" s="5" t="str">
        <f>'Lineal Mixto'!$C$1675</f>
      </c>
      <c r="C4709" s="5" t="str">
        <f>IF(AND(B4709&gt;=$B$3034,B4709&lt;=$B$3035),1,0)</f>
      </c>
      <c r="D4709" s="5" t="str">
        <f>IF(OR(D4708=1,C4709=1),1,0)</f>
      </c>
      <c r="E4709" s="5" t="str">
        <f>IF(C4709=1,0,IF(D4708=1,E4708+1,0))</f>
      </c>
      <c r="F4709" s="5" t="str">
        <f>IF(AND(C4709=1,D4708=1),MIN(E4708,3),"")</f>
      </c>
    </row>
    <row r="4710">
      <c r="A4710" s="6">
        <v>1672</v>
      </c>
      <c r="B4710" s="6" t="str">
        <f>'Lineal Mixto'!$C$1676</f>
      </c>
      <c r="C4710" s="6" t="str">
        <f>IF(AND(B4710&gt;=$B$3034,B4710&lt;=$B$3035),1,0)</f>
      </c>
      <c r="D4710" s="6" t="str">
        <f>IF(OR(D4709=1,C4710=1),1,0)</f>
      </c>
      <c r="E4710" s="6" t="str">
        <f>IF(C4710=1,0,IF(D4709=1,E4709+1,0))</f>
      </c>
      <c r="F4710" s="6" t="str">
        <f>IF(AND(C4710=1,D4709=1),MIN(E4709,3),"")</f>
      </c>
    </row>
    <row r="4711">
      <c r="A4711" s="5">
        <v>1673</v>
      </c>
      <c r="B4711" s="5" t="str">
        <f>'Lineal Mixto'!$C$1677</f>
      </c>
      <c r="C4711" s="5" t="str">
        <f>IF(AND(B4711&gt;=$B$3034,B4711&lt;=$B$3035),1,0)</f>
      </c>
      <c r="D4711" s="5" t="str">
        <f>IF(OR(D4710=1,C4711=1),1,0)</f>
      </c>
      <c r="E4711" s="5" t="str">
        <f>IF(C4711=1,0,IF(D4710=1,E4710+1,0))</f>
      </c>
      <c r="F4711" s="5" t="str">
        <f>IF(AND(C4711=1,D4710=1),MIN(E4710,3),"")</f>
      </c>
    </row>
    <row r="4712">
      <c r="A4712" s="6">
        <v>1674</v>
      </c>
      <c r="B4712" s="6" t="str">
        <f>'Lineal Mixto'!$C$1678</f>
      </c>
      <c r="C4712" s="6" t="str">
        <f>IF(AND(B4712&gt;=$B$3034,B4712&lt;=$B$3035),1,0)</f>
      </c>
      <c r="D4712" s="6" t="str">
        <f>IF(OR(D4711=1,C4712=1),1,0)</f>
      </c>
      <c r="E4712" s="6" t="str">
        <f>IF(C4712=1,0,IF(D4711=1,E4711+1,0))</f>
      </c>
      <c r="F4712" s="6" t="str">
        <f>IF(AND(C4712=1,D4711=1),MIN(E4711,3),"")</f>
      </c>
    </row>
    <row r="4713">
      <c r="A4713" s="5">
        <v>1675</v>
      </c>
      <c r="B4713" s="5" t="str">
        <f>'Lineal Mixto'!$C$1679</f>
      </c>
      <c r="C4713" s="5" t="str">
        <f>IF(AND(B4713&gt;=$B$3034,B4713&lt;=$B$3035),1,0)</f>
      </c>
      <c r="D4713" s="5" t="str">
        <f>IF(OR(D4712=1,C4713=1),1,0)</f>
      </c>
      <c r="E4713" s="5" t="str">
        <f>IF(C4713=1,0,IF(D4712=1,E4712+1,0))</f>
      </c>
      <c r="F4713" s="5" t="str">
        <f>IF(AND(C4713=1,D4712=1),MIN(E4712,3),"")</f>
      </c>
    </row>
    <row r="4714">
      <c r="A4714" s="6">
        <v>1676</v>
      </c>
      <c r="B4714" s="6" t="str">
        <f>'Lineal Mixto'!$C$1680</f>
      </c>
      <c r="C4714" s="6" t="str">
        <f>IF(AND(B4714&gt;=$B$3034,B4714&lt;=$B$3035),1,0)</f>
      </c>
      <c r="D4714" s="6" t="str">
        <f>IF(OR(D4713=1,C4714=1),1,0)</f>
      </c>
      <c r="E4714" s="6" t="str">
        <f>IF(C4714=1,0,IF(D4713=1,E4713+1,0))</f>
      </c>
      <c r="F4714" s="6" t="str">
        <f>IF(AND(C4714=1,D4713=1),MIN(E4713,3),"")</f>
      </c>
    </row>
    <row r="4715">
      <c r="A4715" s="5">
        <v>1677</v>
      </c>
      <c r="B4715" s="5" t="str">
        <f>'Lineal Mixto'!$C$1681</f>
      </c>
      <c r="C4715" s="5" t="str">
        <f>IF(AND(B4715&gt;=$B$3034,B4715&lt;=$B$3035),1,0)</f>
      </c>
      <c r="D4715" s="5" t="str">
        <f>IF(OR(D4714=1,C4715=1),1,0)</f>
      </c>
      <c r="E4715" s="5" t="str">
        <f>IF(C4715=1,0,IF(D4714=1,E4714+1,0))</f>
      </c>
      <c r="F4715" s="5" t="str">
        <f>IF(AND(C4715=1,D4714=1),MIN(E4714,3),"")</f>
      </c>
    </row>
    <row r="4716">
      <c r="A4716" s="6">
        <v>1678</v>
      </c>
      <c r="B4716" s="6" t="str">
        <f>'Lineal Mixto'!$C$1682</f>
      </c>
      <c r="C4716" s="6" t="str">
        <f>IF(AND(B4716&gt;=$B$3034,B4716&lt;=$B$3035),1,0)</f>
      </c>
      <c r="D4716" s="6" t="str">
        <f>IF(OR(D4715=1,C4716=1),1,0)</f>
      </c>
      <c r="E4716" s="6" t="str">
        <f>IF(C4716=1,0,IF(D4715=1,E4715+1,0))</f>
      </c>
      <c r="F4716" s="6" t="str">
        <f>IF(AND(C4716=1,D4715=1),MIN(E4715,3),"")</f>
      </c>
    </row>
    <row r="4717">
      <c r="A4717" s="5">
        <v>1679</v>
      </c>
      <c r="B4717" s="5" t="str">
        <f>'Lineal Mixto'!$C$1683</f>
      </c>
      <c r="C4717" s="5" t="str">
        <f>IF(AND(B4717&gt;=$B$3034,B4717&lt;=$B$3035),1,0)</f>
      </c>
      <c r="D4717" s="5" t="str">
        <f>IF(OR(D4716=1,C4717=1),1,0)</f>
      </c>
      <c r="E4717" s="5" t="str">
        <f>IF(C4717=1,0,IF(D4716=1,E4716+1,0))</f>
      </c>
      <c r="F4717" s="5" t="str">
        <f>IF(AND(C4717=1,D4716=1),MIN(E4716,3),"")</f>
      </c>
    </row>
    <row r="4718">
      <c r="A4718" s="6">
        <v>1680</v>
      </c>
      <c r="B4718" s="6" t="str">
        <f>'Lineal Mixto'!$C$1684</f>
      </c>
      <c r="C4718" s="6" t="str">
        <f>IF(AND(B4718&gt;=$B$3034,B4718&lt;=$B$3035),1,0)</f>
      </c>
      <c r="D4718" s="6" t="str">
        <f>IF(OR(D4717=1,C4718=1),1,0)</f>
      </c>
      <c r="E4718" s="6" t="str">
        <f>IF(C4718=1,0,IF(D4717=1,E4717+1,0))</f>
      </c>
      <c r="F4718" s="6" t="str">
        <f>IF(AND(C4718=1,D4717=1),MIN(E4717,3),"")</f>
      </c>
    </row>
    <row r="4719">
      <c r="A4719" s="5">
        <v>1681</v>
      </c>
      <c r="B4719" s="5" t="str">
        <f>'Lineal Mixto'!$C$1685</f>
      </c>
      <c r="C4719" s="5" t="str">
        <f>IF(AND(B4719&gt;=$B$3034,B4719&lt;=$B$3035),1,0)</f>
      </c>
      <c r="D4719" s="5" t="str">
        <f>IF(OR(D4718=1,C4719=1),1,0)</f>
      </c>
      <c r="E4719" s="5" t="str">
        <f>IF(C4719=1,0,IF(D4718=1,E4718+1,0))</f>
      </c>
      <c r="F4719" s="5" t="str">
        <f>IF(AND(C4719=1,D4718=1),MIN(E4718,3),"")</f>
      </c>
    </row>
    <row r="4720">
      <c r="A4720" s="6">
        <v>1682</v>
      </c>
      <c r="B4720" s="6" t="str">
        <f>'Lineal Mixto'!$C$1686</f>
      </c>
      <c r="C4720" s="6" t="str">
        <f>IF(AND(B4720&gt;=$B$3034,B4720&lt;=$B$3035),1,0)</f>
      </c>
      <c r="D4720" s="6" t="str">
        <f>IF(OR(D4719=1,C4720=1),1,0)</f>
      </c>
      <c r="E4720" s="6" t="str">
        <f>IF(C4720=1,0,IF(D4719=1,E4719+1,0))</f>
      </c>
      <c r="F4720" s="6" t="str">
        <f>IF(AND(C4720=1,D4719=1),MIN(E4719,3),"")</f>
      </c>
    </row>
    <row r="4721">
      <c r="A4721" s="5">
        <v>1683</v>
      </c>
      <c r="B4721" s="5" t="str">
        <f>'Lineal Mixto'!$C$1687</f>
      </c>
      <c r="C4721" s="5" t="str">
        <f>IF(AND(B4721&gt;=$B$3034,B4721&lt;=$B$3035),1,0)</f>
      </c>
      <c r="D4721" s="5" t="str">
        <f>IF(OR(D4720=1,C4721=1),1,0)</f>
      </c>
      <c r="E4721" s="5" t="str">
        <f>IF(C4721=1,0,IF(D4720=1,E4720+1,0))</f>
      </c>
      <c r="F4721" s="5" t="str">
        <f>IF(AND(C4721=1,D4720=1),MIN(E4720,3),"")</f>
      </c>
    </row>
    <row r="4722">
      <c r="A4722" s="6">
        <v>1684</v>
      </c>
      <c r="B4722" s="6" t="str">
        <f>'Lineal Mixto'!$C$1688</f>
      </c>
      <c r="C4722" s="6" t="str">
        <f>IF(AND(B4722&gt;=$B$3034,B4722&lt;=$B$3035),1,0)</f>
      </c>
      <c r="D4722" s="6" t="str">
        <f>IF(OR(D4721=1,C4722=1),1,0)</f>
      </c>
      <c r="E4722" s="6" t="str">
        <f>IF(C4722=1,0,IF(D4721=1,E4721+1,0))</f>
      </c>
      <c r="F4722" s="6" t="str">
        <f>IF(AND(C4722=1,D4721=1),MIN(E4721,3),"")</f>
      </c>
    </row>
    <row r="4723">
      <c r="A4723" s="5">
        <v>1685</v>
      </c>
      <c r="B4723" s="5" t="str">
        <f>'Lineal Mixto'!$C$1689</f>
      </c>
      <c r="C4723" s="5" t="str">
        <f>IF(AND(B4723&gt;=$B$3034,B4723&lt;=$B$3035),1,0)</f>
      </c>
      <c r="D4723" s="5" t="str">
        <f>IF(OR(D4722=1,C4723=1),1,0)</f>
      </c>
      <c r="E4723" s="5" t="str">
        <f>IF(C4723=1,0,IF(D4722=1,E4722+1,0))</f>
      </c>
      <c r="F4723" s="5" t="str">
        <f>IF(AND(C4723=1,D4722=1),MIN(E4722,3),"")</f>
      </c>
    </row>
    <row r="4724">
      <c r="A4724" s="6">
        <v>1686</v>
      </c>
      <c r="B4724" s="6" t="str">
        <f>'Lineal Mixto'!$C$1690</f>
      </c>
      <c r="C4724" s="6" t="str">
        <f>IF(AND(B4724&gt;=$B$3034,B4724&lt;=$B$3035),1,0)</f>
      </c>
      <c r="D4724" s="6" t="str">
        <f>IF(OR(D4723=1,C4724=1),1,0)</f>
      </c>
      <c r="E4724" s="6" t="str">
        <f>IF(C4724=1,0,IF(D4723=1,E4723+1,0))</f>
      </c>
      <c r="F4724" s="6" t="str">
        <f>IF(AND(C4724=1,D4723=1),MIN(E4723,3),"")</f>
      </c>
    </row>
    <row r="4725">
      <c r="A4725" s="5">
        <v>1687</v>
      </c>
      <c r="B4725" s="5" t="str">
        <f>'Lineal Mixto'!$C$1691</f>
      </c>
      <c r="C4725" s="5" t="str">
        <f>IF(AND(B4725&gt;=$B$3034,B4725&lt;=$B$3035),1,0)</f>
      </c>
      <c r="D4725" s="5" t="str">
        <f>IF(OR(D4724=1,C4725=1),1,0)</f>
      </c>
      <c r="E4725" s="5" t="str">
        <f>IF(C4725=1,0,IF(D4724=1,E4724+1,0))</f>
      </c>
      <c r="F4725" s="5" t="str">
        <f>IF(AND(C4725=1,D4724=1),MIN(E4724,3),"")</f>
      </c>
    </row>
    <row r="4726">
      <c r="A4726" s="6">
        <v>1688</v>
      </c>
      <c r="B4726" s="6" t="str">
        <f>'Lineal Mixto'!$C$1692</f>
      </c>
      <c r="C4726" s="6" t="str">
        <f>IF(AND(B4726&gt;=$B$3034,B4726&lt;=$B$3035),1,0)</f>
      </c>
      <c r="D4726" s="6" t="str">
        <f>IF(OR(D4725=1,C4726=1),1,0)</f>
      </c>
      <c r="E4726" s="6" t="str">
        <f>IF(C4726=1,0,IF(D4725=1,E4725+1,0))</f>
      </c>
      <c r="F4726" s="6" t="str">
        <f>IF(AND(C4726=1,D4725=1),MIN(E4725,3),"")</f>
      </c>
    </row>
    <row r="4727">
      <c r="A4727" s="5">
        <v>1689</v>
      </c>
      <c r="B4727" s="5" t="str">
        <f>'Lineal Mixto'!$C$1693</f>
      </c>
      <c r="C4727" s="5" t="str">
        <f>IF(AND(B4727&gt;=$B$3034,B4727&lt;=$B$3035),1,0)</f>
      </c>
      <c r="D4727" s="5" t="str">
        <f>IF(OR(D4726=1,C4727=1),1,0)</f>
      </c>
      <c r="E4727" s="5" t="str">
        <f>IF(C4727=1,0,IF(D4726=1,E4726+1,0))</f>
      </c>
      <c r="F4727" s="5" t="str">
        <f>IF(AND(C4727=1,D4726=1),MIN(E4726,3),"")</f>
      </c>
    </row>
    <row r="4728">
      <c r="A4728" s="6">
        <v>1690</v>
      </c>
      <c r="B4728" s="6" t="str">
        <f>'Lineal Mixto'!$C$1694</f>
      </c>
      <c r="C4728" s="6" t="str">
        <f>IF(AND(B4728&gt;=$B$3034,B4728&lt;=$B$3035),1,0)</f>
      </c>
      <c r="D4728" s="6" t="str">
        <f>IF(OR(D4727=1,C4728=1),1,0)</f>
      </c>
      <c r="E4728" s="6" t="str">
        <f>IF(C4728=1,0,IF(D4727=1,E4727+1,0))</f>
      </c>
      <c r="F4728" s="6" t="str">
        <f>IF(AND(C4728=1,D4727=1),MIN(E4727,3),"")</f>
      </c>
    </row>
    <row r="4729">
      <c r="A4729" s="5">
        <v>1691</v>
      </c>
      <c r="B4729" s="5" t="str">
        <f>'Lineal Mixto'!$C$1695</f>
      </c>
      <c r="C4729" s="5" t="str">
        <f>IF(AND(B4729&gt;=$B$3034,B4729&lt;=$B$3035),1,0)</f>
      </c>
      <c r="D4729" s="5" t="str">
        <f>IF(OR(D4728=1,C4729=1),1,0)</f>
      </c>
      <c r="E4729" s="5" t="str">
        <f>IF(C4729=1,0,IF(D4728=1,E4728+1,0))</f>
      </c>
      <c r="F4729" s="5" t="str">
        <f>IF(AND(C4729=1,D4728=1),MIN(E4728,3),"")</f>
      </c>
    </row>
    <row r="4730">
      <c r="A4730" s="6">
        <v>1692</v>
      </c>
      <c r="B4730" s="6" t="str">
        <f>'Lineal Mixto'!$C$1696</f>
      </c>
      <c r="C4730" s="6" t="str">
        <f>IF(AND(B4730&gt;=$B$3034,B4730&lt;=$B$3035),1,0)</f>
      </c>
      <c r="D4730" s="6" t="str">
        <f>IF(OR(D4729=1,C4730=1),1,0)</f>
      </c>
      <c r="E4730" s="6" t="str">
        <f>IF(C4730=1,0,IF(D4729=1,E4729+1,0))</f>
      </c>
      <c r="F4730" s="6" t="str">
        <f>IF(AND(C4730=1,D4729=1),MIN(E4729,3),"")</f>
      </c>
    </row>
    <row r="4731">
      <c r="A4731" s="5">
        <v>1693</v>
      </c>
      <c r="B4731" s="5" t="str">
        <f>'Lineal Mixto'!$C$1697</f>
      </c>
      <c r="C4731" s="5" t="str">
        <f>IF(AND(B4731&gt;=$B$3034,B4731&lt;=$B$3035),1,0)</f>
      </c>
      <c r="D4731" s="5" t="str">
        <f>IF(OR(D4730=1,C4731=1),1,0)</f>
      </c>
      <c r="E4731" s="5" t="str">
        <f>IF(C4731=1,0,IF(D4730=1,E4730+1,0))</f>
      </c>
      <c r="F4731" s="5" t="str">
        <f>IF(AND(C4731=1,D4730=1),MIN(E4730,3),"")</f>
      </c>
    </row>
    <row r="4732">
      <c r="A4732" s="6">
        <v>1694</v>
      </c>
      <c r="B4732" s="6" t="str">
        <f>'Lineal Mixto'!$C$1698</f>
      </c>
      <c r="C4732" s="6" t="str">
        <f>IF(AND(B4732&gt;=$B$3034,B4732&lt;=$B$3035),1,0)</f>
      </c>
      <c r="D4732" s="6" t="str">
        <f>IF(OR(D4731=1,C4732=1),1,0)</f>
      </c>
      <c r="E4732" s="6" t="str">
        <f>IF(C4732=1,0,IF(D4731=1,E4731+1,0))</f>
      </c>
      <c r="F4732" s="6" t="str">
        <f>IF(AND(C4732=1,D4731=1),MIN(E4731,3),"")</f>
      </c>
    </row>
    <row r="4733">
      <c r="A4733" s="5">
        <v>1695</v>
      </c>
      <c r="B4733" s="5" t="str">
        <f>'Lineal Mixto'!$C$1699</f>
      </c>
      <c r="C4733" s="5" t="str">
        <f>IF(AND(B4733&gt;=$B$3034,B4733&lt;=$B$3035),1,0)</f>
      </c>
      <c r="D4733" s="5" t="str">
        <f>IF(OR(D4732=1,C4733=1),1,0)</f>
      </c>
      <c r="E4733" s="5" t="str">
        <f>IF(C4733=1,0,IF(D4732=1,E4732+1,0))</f>
      </c>
      <c r="F4733" s="5" t="str">
        <f>IF(AND(C4733=1,D4732=1),MIN(E4732,3),"")</f>
      </c>
    </row>
    <row r="4734">
      <c r="A4734" s="6">
        <v>1696</v>
      </c>
      <c r="B4734" s="6" t="str">
        <f>'Lineal Mixto'!$C$1700</f>
      </c>
      <c r="C4734" s="6" t="str">
        <f>IF(AND(B4734&gt;=$B$3034,B4734&lt;=$B$3035),1,0)</f>
      </c>
      <c r="D4734" s="6" t="str">
        <f>IF(OR(D4733=1,C4734=1),1,0)</f>
      </c>
      <c r="E4734" s="6" t="str">
        <f>IF(C4734=1,0,IF(D4733=1,E4733+1,0))</f>
      </c>
      <c r="F4734" s="6" t="str">
        <f>IF(AND(C4734=1,D4733=1),MIN(E4733,3),"")</f>
      </c>
    </row>
    <row r="4735">
      <c r="A4735" s="5">
        <v>1697</v>
      </c>
      <c r="B4735" s="5" t="str">
        <f>'Lineal Mixto'!$C$1701</f>
      </c>
      <c r="C4735" s="5" t="str">
        <f>IF(AND(B4735&gt;=$B$3034,B4735&lt;=$B$3035),1,0)</f>
      </c>
      <c r="D4735" s="5" t="str">
        <f>IF(OR(D4734=1,C4735=1),1,0)</f>
      </c>
      <c r="E4735" s="5" t="str">
        <f>IF(C4735=1,0,IF(D4734=1,E4734+1,0))</f>
      </c>
      <c r="F4735" s="5" t="str">
        <f>IF(AND(C4735=1,D4734=1),MIN(E4734,3),"")</f>
      </c>
    </row>
    <row r="4736">
      <c r="A4736" s="6">
        <v>1698</v>
      </c>
      <c r="B4736" s="6" t="str">
        <f>'Lineal Mixto'!$C$1702</f>
      </c>
      <c r="C4736" s="6" t="str">
        <f>IF(AND(B4736&gt;=$B$3034,B4736&lt;=$B$3035),1,0)</f>
      </c>
      <c r="D4736" s="6" t="str">
        <f>IF(OR(D4735=1,C4736=1),1,0)</f>
      </c>
      <c r="E4736" s="6" t="str">
        <f>IF(C4736=1,0,IF(D4735=1,E4735+1,0))</f>
      </c>
      <c r="F4736" s="6" t="str">
        <f>IF(AND(C4736=1,D4735=1),MIN(E4735,3),"")</f>
      </c>
    </row>
    <row r="4737">
      <c r="A4737" s="5">
        <v>1699</v>
      </c>
      <c r="B4737" s="5" t="str">
        <f>'Lineal Mixto'!$C$1703</f>
      </c>
      <c r="C4737" s="5" t="str">
        <f>IF(AND(B4737&gt;=$B$3034,B4737&lt;=$B$3035),1,0)</f>
      </c>
      <c r="D4737" s="5" t="str">
        <f>IF(OR(D4736=1,C4737=1),1,0)</f>
      </c>
      <c r="E4737" s="5" t="str">
        <f>IF(C4737=1,0,IF(D4736=1,E4736+1,0))</f>
      </c>
      <c r="F4737" s="5" t="str">
        <f>IF(AND(C4737=1,D4736=1),MIN(E4736,3),"")</f>
      </c>
    </row>
    <row r="4738">
      <c r="A4738" s="6">
        <v>1700</v>
      </c>
      <c r="B4738" s="6" t="str">
        <f>'Lineal Mixto'!$C$1704</f>
      </c>
      <c r="C4738" s="6" t="str">
        <f>IF(AND(B4738&gt;=$B$3034,B4738&lt;=$B$3035),1,0)</f>
      </c>
      <c r="D4738" s="6" t="str">
        <f>IF(OR(D4737=1,C4738=1),1,0)</f>
      </c>
      <c r="E4738" s="6" t="str">
        <f>IF(C4738=1,0,IF(D4737=1,E4737+1,0))</f>
      </c>
      <c r="F4738" s="6" t="str">
        <f>IF(AND(C4738=1,D4737=1),MIN(E4737,3),"")</f>
      </c>
    </row>
    <row r="4739">
      <c r="A4739" s="5">
        <v>1701</v>
      </c>
      <c r="B4739" s="5" t="str">
        <f>'Lineal Mixto'!$C$1705</f>
      </c>
      <c r="C4739" s="5" t="str">
        <f>IF(AND(B4739&gt;=$B$3034,B4739&lt;=$B$3035),1,0)</f>
      </c>
      <c r="D4739" s="5" t="str">
        <f>IF(OR(D4738=1,C4739=1),1,0)</f>
      </c>
      <c r="E4739" s="5" t="str">
        <f>IF(C4739=1,0,IF(D4738=1,E4738+1,0))</f>
      </c>
      <c r="F4739" s="5" t="str">
        <f>IF(AND(C4739=1,D4738=1),MIN(E4738,3),"")</f>
      </c>
    </row>
    <row r="4740">
      <c r="A4740" s="6">
        <v>1702</v>
      </c>
      <c r="B4740" s="6" t="str">
        <f>'Lineal Mixto'!$C$1706</f>
      </c>
      <c r="C4740" s="6" t="str">
        <f>IF(AND(B4740&gt;=$B$3034,B4740&lt;=$B$3035),1,0)</f>
      </c>
      <c r="D4740" s="6" t="str">
        <f>IF(OR(D4739=1,C4740=1),1,0)</f>
      </c>
      <c r="E4740" s="6" t="str">
        <f>IF(C4740=1,0,IF(D4739=1,E4739+1,0))</f>
      </c>
      <c r="F4740" s="6" t="str">
        <f>IF(AND(C4740=1,D4739=1),MIN(E4739,3),"")</f>
      </c>
    </row>
    <row r="4741">
      <c r="A4741" s="5">
        <v>1703</v>
      </c>
      <c r="B4741" s="5" t="str">
        <f>'Lineal Mixto'!$C$1707</f>
      </c>
      <c r="C4741" s="5" t="str">
        <f>IF(AND(B4741&gt;=$B$3034,B4741&lt;=$B$3035),1,0)</f>
      </c>
      <c r="D4741" s="5" t="str">
        <f>IF(OR(D4740=1,C4741=1),1,0)</f>
      </c>
      <c r="E4741" s="5" t="str">
        <f>IF(C4741=1,0,IF(D4740=1,E4740+1,0))</f>
      </c>
      <c r="F4741" s="5" t="str">
        <f>IF(AND(C4741=1,D4740=1),MIN(E4740,3),"")</f>
      </c>
    </row>
    <row r="4742">
      <c r="A4742" s="6">
        <v>1704</v>
      </c>
      <c r="B4742" s="6" t="str">
        <f>'Lineal Mixto'!$C$1708</f>
      </c>
      <c r="C4742" s="6" t="str">
        <f>IF(AND(B4742&gt;=$B$3034,B4742&lt;=$B$3035),1,0)</f>
      </c>
      <c r="D4742" s="6" t="str">
        <f>IF(OR(D4741=1,C4742=1),1,0)</f>
      </c>
      <c r="E4742" s="6" t="str">
        <f>IF(C4742=1,0,IF(D4741=1,E4741+1,0))</f>
      </c>
      <c r="F4742" s="6" t="str">
        <f>IF(AND(C4742=1,D4741=1),MIN(E4741,3),"")</f>
      </c>
    </row>
    <row r="4743">
      <c r="A4743" s="5">
        <v>1705</v>
      </c>
      <c r="B4743" s="5" t="str">
        <f>'Lineal Mixto'!$C$1709</f>
      </c>
      <c r="C4743" s="5" t="str">
        <f>IF(AND(B4743&gt;=$B$3034,B4743&lt;=$B$3035),1,0)</f>
      </c>
      <c r="D4743" s="5" t="str">
        <f>IF(OR(D4742=1,C4743=1),1,0)</f>
      </c>
      <c r="E4743" s="5" t="str">
        <f>IF(C4743=1,0,IF(D4742=1,E4742+1,0))</f>
      </c>
      <c r="F4743" s="5" t="str">
        <f>IF(AND(C4743=1,D4742=1),MIN(E4742,3),"")</f>
      </c>
    </row>
    <row r="4744">
      <c r="A4744" s="6">
        <v>1706</v>
      </c>
      <c r="B4744" s="6" t="str">
        <f>'Lineal Mixto'!$C$1710</f>
      </c>
      <c r="C4744" s="6" t="str">
        <f>IF(AND(B4744&gt;=$B$3034,B4744&lt;=$B$3035),1,0)</f>
      </c>
      <c r="D4744" s="6" t="str">
        <f>IF(OR(D4743=1,C4744=1),1,0)</f>
      </c>
      <c r="E4744" s="6" t="str">
        <f>IF(C4744=1,0,IF(D4743=1,E4743+1,0))</f>
      </c>
      <c r="F4744" s="6" t="str">
        <f>IF(AND(C4744=1,D4743=1),MIN(E4743,3),"")</f>
      </c>
    </row>
    <row r="4745">
      <c r="A4745" s="5">
        <v>1707</v>
      </c>
      <c r="B4745" s="5" t="str">
        <f>'Lineal Mixto'!$C$1711</f>
      </c>
      <c r="C4745" s="5" t="str">
        <f>IF(AND(B4745&gt;=$B$3034,B4745&lt;=$B$3035),1,0)</f>
      </c>
      <c r="D4745" s="5" t="str">
        <f>IF(OR(D4744=1,C4745=1),1,0)</f>
      </c>
      <c r="E4745" s="5" t="str">
        <f>IF(C4745=1,0,IF(D4744=1,E4744+1,0))</f>
      </c>
      <c r="F4745" s="5" t="str">
        <f>IF(AND(C4745=1,D4744=1),MIN(E4744,3),"")</f>
      </c>
    </row>
    <row r="4746">
      <c r="A4746" s="6">
        <v>1708</v>
      </c>
      <c r="B4746" s="6" t="str">
        <f>'Lineal Mixto'!$C$1712</f>
      </c>
      <c r="C4746" s="6" t="str">
        <f>IF(AND(B4746&gt;=$B$3034,B4746&lt;=$B$3035),1,0)</f>
      </c>
      <c r="D4746" s="6" t="str">
        <f>IF(OR(D4745=1,C4746=1),1,0)</f>
      </c>
      <c r="E4746" s="6" t="str">
        <f>IF(C4746=1,0,IF(D4745=1,E4745+1,0))</f>
      </c>
      <c r="F4746" s="6" t="str">
        <f>IF(AND(C4746=1,D4745=1),MIN(E4745,3),"")</f>
      </c>
    </row>
    <row r="4747">
      <c r="A4747" s="5">
        <v>1709</v>
      </c>
      <c r="B4747" s="5" t="str">
        <f>'Lineal Mixto'!$C$1713</f>
      </c>
      <c r="C4747" s="5" t="str">
        <f>IF(AND(B4747&gt;=$B$3034,B4747&lt;=$B$3035),1,0)</f>
      </c>
      <c r="D4747" s="5" t="str">
        <f>IF(OR(D4746=1,C4747=1),1,0)</f>
      </c>
      <c r="E4747" s="5" t="str">
        <f>IF(C4747=1,0,IF(D4746=1,E4746+1,0))</f>
      </c>
      <c r="F4747" s="5" t="str">
        <f>IF(AND(C4747=1,D4746=1),MIN(E4746,3),"")</f>
      </c>
    </row>
    <row r="4748">
      <c r="A4748" s="6">
        <v>1710</v>
      </c>
      <c r="B4748" s="6" t="str">
        <f>'Lineal Mixto'!$C$1714</f>
      </c>
      <c r="C4748" s="6" t="str">
        <f>IF(AND(B4748&gt;=$B$3034,B4748&lt;=$B$3035),1,0)</f>
      </c>
      <c r="D4748" s="6" t="str">
        <f>IF(OR(D4747=1,C4748=1),1,0)</f>
      </c>
      <c r="E4748" s="6" t="str">
        <f>IF(C4748=1,0,IF(D4747=1,E4747+1,0))</f>
      </c>
      <c r="F4748" s="6" t="str">
        <f>IF(AND(C4748=1,D4747=1),MIN(E4747,3),"")</f>
      </c>
    </row>
    <row r="4749">
      <c r="A4749" s="5">
        <v>1711</v>
      </c>
      <c r="B4749" s="5" t="str">
        <f>'Lineal Mixto'!$C$1715</f>
      </c>
      <c r="C4749" s="5" t="str">
        <f>IF(AND(B4749&gt;=$B$3034,B4749&lt;=$B$3035),1,0)</f>
      </c>
      <c r="D4749" s="5" t="str">
        <f>IF(OR(D4748=1,C4749=1),1,0)</f>
      </c>
      <c r="E4749" s="5" t="str">
        <f>IF(C4749=1,0,IF(D4748=1,E4748+1,0))</f>
      </c>
      <c r="F4749" s="5" t="str">
        <f>IF(AND(C4749=1,D4748=1),MIN(E4748,3),"")</f>
      </c>
    </row>
    <row r="4750">
      <c r="A4750" s="6">
        <v>1712</v>
      </c>
      <c r="B4750" s="6" t="str">
        <f>'Lineal Mixto'!$C$1716</f>
      </c>
      <c r="C4750" s="6" t="str">
        <f>IF(AND(B4750&gt;=$B$3034,B4750&lt;=$B$3035),1,0)</f>
      </c>
      <c r="D4750" s="6" t="str">
        <f>IF(OR(D4749=1,C4750=1),1,0)</f>
      </c>
      <c r="E4750" s="6" t="str">
        <f>IF(C4750=1,0,IF(D4749=1,E4749+1,0))</f>
      </c>
      <c r="F4750" s="6" t="str">
        <f>IF(AND(C4750=1,D4749=1),MIN(E4749,3),"")</f>
      </c>
    </row>
    <row r="4751">
      <c r="A4751" s="5">
        <v>1713</v>
      </c>
      <c r="B4751" s="5" t="str">
        <f>'Lineal Mixto'!$C$1717</f>
      </c>
      <c r="C4751" s="5" t="str">
        <f>IF(AND(B4751&gt;=$B$3034,B4751&lt;=$B$3035),1,0)</f>
      </c>
      <c r="D4751" s="5" t="str">
        <f>IF(OR(D4750=1,C4751=1),1,0)</f>
      </c>
      <c r="E4751" s="5" t="str">
        <f>IF(C4751=1,0,IF(D4750=1,E4750+1,0))</f>
      </c>
      <c r="F4751" s="5" t="str">
        <f>IF(AND(C4751=1,D4750=1),MIN(E4750,3),"")</f>
      </c>
    </row>
    <row r="4752">
      <c r="A4752" s="6">
        <v>1714</v>
      </c>
      <c r="B4752" s="6" t="str">
        <f>'Lineal Mixto'!$C$1718</f>
      </c>
      <c r="C4752" s="6" t="str">
        <f>IF(AND(B4752&gt;=$B$3034,B4752&lt;=$B$3035),1,0)</f>
      </c>
      <c r="D4752" s="6" t="str">
        <f>IF(OR(D4751=1,C4752=1),1,0)</f>
      </c>
      <c r="E4752" s="6" t="str">
        <f>IF(C4752=1,0,IF(D4751=1,E4751+1,0))</f>
      </c>
      <c r="F4752" s="6" t="str">
        <f>IF(AND(C4752=1,D4751=1),MIN(E4751,3),"")</f>
      </c>
    </row>
    <row r="4753">
      <c r="A4753" s="5">
        <v>1715</v>
      </c>
      <c r="B4753" s="5" t="str">
        <f>'Lineal Mixto'!$C$1719</f>
      </c>
      <c r="C4753" s="5" t="str">
        <f>IF(AND(B4753&gt;=$B$3034,B4753&lt;=$B$3035),1,0)</f>
      </c>
      <c r="D4753" s="5" t="str">
        <f>IF(OR(D4752=1,C4753=1),1,0)</f>
      </c>
      <c r="E4753" s="5" t="str">
        <f>IF(C4753=1,0,IF(D4752=1,E4752+1,0))</f>
      </c>
      <c r="F4753" s="5" t="str">
        <f>IF(AND(C4753=1,D4752=1),MIN(E4752,3),"")</f>
      </c>
    </row>
    <row r="4754">
      <c r="A4754" s="6">
        <v>1716</v>
      </c>
      <c r="B4754" s="6" t="str">
        <f>'Lineal Mixto'!$C$1720</f>
      </c>
      <c r="C4754" s="6" t="str">
        <f>IF(AND(B4754&gt;=$B$3034,B4754&lt;=$B$3035),1,0)</f>
      </c>
      <c r="D4754" s="6" t="str">
        <f>IF(OR(D4753=1,C4754=1),1,0)</f>
      </c>
      <c r="E4754" s="6" t="str">
        <f>IF(C4754=1,0,IF(D4753=1,E4753+1,0))</f>
      </c>
      <c r="F4754" s="6" t="str">
        <f>IF(AND(C4754=1,D4753=1),MIN(E4753,3),"")</f>
      </c>
    </row>
    <row r="4755">
      <c r="A4755" s="5">
        <v>1717</v>
      </c>
      <c r="B4755" s="5" t="str">
        <f>'Lineal Mixto'!$C$1721</f>
      </c>
      <c r="C4755" s="5" t="str">
        <f>IF(AND(B4755&gt;=$B$3034,B4755&lt;=$B$3035),1,0)</f>
      </c>
      <c r="D4755" s="5" t="str">
        <f>IF(OR(D4754=1,C4755=1),1,0)</f>
      </c>
      <c r="E4755" s="5" t="str">
        <f>IF(C4755=1,0,IF(D4754=1,E4754+1,0))</f>
      </c>
      <c r="F4755" s="5" t="str">
        <f>IF(AND(C4755=1,D4754=1),MIN(E4754,3),"")</f>
      </c>
    </row>
    <row r="4756">
      <c r="A4756" s="6">
        <v>1718</v>
      </c>
      <c r="B4756" s="6" t="str">
        <f>'Lineal Mixto'!$C$1722</f>
      </c>
      <c r="C4756" s="6" t="str">
        <f>IF(AND(B4756&gt;=$B$3034,B4756&lt;=$B$3035),1,0)</f>
      </c>
      <c r="D4756" s="6" t="str">
        <f>IF(OR(D4755=1,C4756=1),1,0)</f>
      </c>
      <c r="E4756" s="6" t="str">
        <f>IF(C4756=1,0,IF(D4755=1,E4755+1,0))</f>
      </c>
      <c r="F4756" s="6" t="str">
        <f>IF(AND(C4756=1,D4755=1),MIN(E4755,3),"")</f>
      </c>
    </row>
    <row r="4757">
      <c r="A4757" s="5">
        <v>1719</v>
      </c>
      <c r="B4757" s="5" t="str">
        <f>'Lineal Mixto'!$C$1723</f>
      </c>
      <c r="C4757" s="5" t="str">
        <f>IF(AND(B4757&gt;=$B$3034,B4757&lt;=$B$3035),1,0)</f>
      </c>
      <c r="D4757" s="5" t="str">
        <f>IF(OR(D4756=1,C4757=1),1,0)</f>
      </c>
      <c r="E4757" s="5" t="str">
        <f>IF(C4757=1,0,IF(D4756=1,E4756+1,0))</f>
      </c>
      <c r="F4757" s="5" t="str">
        <f>IF(AND(C4757=1,D4756=1),MIN(E4756,3),"")</f>
      </c>
    </row>
    <row r="4758">
      <c r="A4758" s="6">
        <v>1720</v>
      </c>
      <c r="B4758" s="6" t="str">
        <f>'Lineal Mixto'!$C$1724</f>
      </c>
      <c r="C4758" s="6" t="str">
        <f>IF(AND(B4758&gt;=$B$3034,B4758&lt;=$B$3035),1,0)</f>
      </c>
      <c r="D4758" s="6" t="str">
        <f>IF(OR(D4757=1,C4758=1),1,0)</f>
      </c>
      <c r="E4758" s="6" t="str">
        <f>IF(C4758=1,0,IF(D4757=1,E4757+1,0))</f>
      </c>
      <c r="F4758" s="6" t="str">
        <f>IF(AND(C4758=1,D4757=1),MIN(E4757,3),"")</f>
      </c>
    </row>
    <row r="4759">
      <c r="A4759" s="5">
        <v>1721</v>
      </c>
      <c r="B4759" s="5" t="str">
        <f>'Lineal Mixto'!$C$1725</f>
      </c>
      <c r="C4759" s="5" t="str">
        <f>IF(AND(B4759&gt;=$B$3034,B4759&lt;=$B$3035),1,0)</f>
      </c>
      <c r="D4759" s="5" t="str">
        <f>IF(OR(D4758=1,C4759=1),1,0)</f>
      </c>
      <c r="E4759" s="5" t="str">
        <f>IF(C4759=1,0,IF(D4758=1,E4758+1,0))</f>
      </c>
      <c r="F4759" s="5" t="str">
        <f>IF(AND(C4759=1,D4758=1),MIN(E4758,3),"")</f>
      </c>
    </row>
    <row r="4760">
      <c r="A4760" s="6">
        <v>1722</v>
      </c>
      <c r="B4760" s="6" t="str">
        <f>'Lineal Mixto'!$C$1726</f>
      </c>
      <c r="C4760" s="6" t="str">
        <f>IF(AND(B4760&gt;=$B$3034,B4760&lt;=$B$3035),1,0)</f>
      </c>
      <c r="D4760" s="6" t="str">
        <f>IF(OR(D4759=1,C4760=1),1,0)</f>
      </c>
      <c r="E4760" s="6" t="str">
        <f>IF(C4760=1,0,IF(D4759=1,E4759+1,0))</f>
      </c>
      <c r="F4760" s="6" t="str">
        <f>IF(AND(C4760=1,D4759=1),MIN(E4759,3),"")</f>
      </c>
    </row>
    <row r="4761">
      <c r="A4761" s="5">
        <v>1723</v>
      </c>
      <c r="B4761" s="5" t="str">
        <f>'Lineal Mixto'!$C$1727</f>
      </c>
      <c r="C4761" s="5" t="str">
        <f>IF(AND(B4761&gt;=$B$3034,B4761&lt;=$B$3035),1,0)</f>
      </c>
      <c r="D4761" s="5" t="str">
        <f>IF(OR(D4760=1,C4761=1),1,0)</f>
      </c>
      <c r="E4761" s="5" t="str">
        <f>IF(C4761=1,0,IF(D4760=1,E4760+1,0))</f>
      </c>
      <c r="F4761" s="5" t="str">
        <f>IF(AND(C4761=1,D4760=1),MIN(E4760,3),"")</f>
      </c>
    </row>
    <row r="4762">
      <c r="A4762" s="6">
        <v>1724</v>
      </c>
      <c r="B4762" s="6" t="str">
        <f>'Lineal Mixto'!$C$1728</f>
      </c>
      <c r="C4762" s="6" t="str">
        <f>IF(AND(B4762&gt;=$B$3034,B4762&lt;=$B$3035),1,0)</f>
      </c>
      <c r="D4762" s="6" t="str">
        <f>IF(OR(D4761=1,C4762=1),1,0)</f>
      </c>
      <c r="E4762" s="6" t="str">
        <f>IF(C4762=1,0,IF(D4761=1,E4761+1,0))</f>
      </c>
      <c r="F4762" s="6" t="str">
        <f>IF(AND(C4762=1,D4761=1),MIN(E4761,3),"")</f>
      </c>
    </row>
    <row r="4763">
      <c r="A4763" s="5">
        <v>1725</v>
      </c>
      <c r="B4763" s="5" t="str">
        <f>'Lineal Mixto'!$C$1729</f>
      </c>
      <c r="C4763" s="5" t="str">
        <f>IF(AND(B4763&gt;=$B$3034,B4763&lt;=$B$3035),1,0)</f>
      </c>
      <c r="D4763" s="5" t="str">
        <f>IF(OR(D4762=1,C4763=1),1,0)</f>
      </c>
      <c r="E4763" s="5" t="str">
        <f>IF(C4763=1,0,IF(D4762=1,E4762+1,0))</f>
      </c>
      <c r="F4763" s="5" t="str">
        <f>IF(AND(C4763=1,D4762=1),MIN(E4762,3),"")</f>
      </c>
    </row>
    <row r="4764">
      <c r="A4764" s="6">
        <v>1726</v>
      </c>
      <c r="B4764" s="6" t="str">
        <f>'Lineal Mixto'!$C$1730</f>
      </c>
      <c r="C4764" s="6" t="str">
        <f>IF(AND(B4764&gt;=$B$3034,B4764&lt;=$B$3035),1,0)</f>
      </c>
      <c r="D4764" s="6" t="str">
        <f>IF(OR(D4763=1,C4764=1),1,0)</f>
      </c>
      <c r="E4764" s="6" t="str">
        <f>IF(C4764=1,0,IF(D4763=1,E4763+1,0))</f>
      </c>
      <c r="F4764" s="6" t="str">
        <f>IF(AND(C4764=1,D4763=1),MIN(E4763,3),"")</f>
      </c>
    </row>
    <row r="4765">
      <c r="A4765" s="5">
        <v>1727</v>
      </c>
      <c r="B4765" s="5" t="str">
        <f>'Lineal Mixto'!$C$1731</f>
      </c>
      <c r="C4765" s="5" t="str">
        <f>IF(AND(B4765&gt;=$B$3034,B4765&lt;=$B$3035),1,0)</f>
      </c>
      <c r="D4765" s="5" t="str">
        <f>IF(OR(D4764=1,C4765=1),1,0)</f>
      </c>
      <c r="E4765" s="5" t="str">
        <f>IF(C4765=1,0,IF(D4764=1,E4764+1,0))</f>
      </c>
      <c r="F4765" s="5" t="str">
        <f>IF(AND(C4765=1,D4764=1),MIN(E4764,3),"")</f>
      </c>
    </row>
    <row r="4766">
      <c r="A4766" s="6">
        <v>1728</v>
      </c>
      <c r="B4766" s="6" t="str">
        <f>'Lineal Mixto'!$C$1732</f>
      </c>
      <c r="C4766" s="6" t="str">
        <f>IF(AND(B4766&gt;=$B$3034,B4766&lt;=$B$3035),1,0)</f>
      </c>
      <c r="D4766" s="6" t="str">
        <f>IF(OR(D4765=1,C4766=1),1,0)</f>
      </c>
      <c r="E4766" s="6" t="str">
        <f>IF(C4766=1,0,IF(D4765=1,E4765+1,0))</f>
      </c>
      <c r="F4766" s="6" t="str">
        <f>IF(AND(C4766=1,D4765=1),MIN(E4765,3),"")</f>
      </c>
    </row>
    <row r="4767">
      <c r="A4767" s="5">
        <v>1729</v>
      </c>
      <c r="B4767" s="5" t="str">
        <f>'Lineal Mixto'!$C$1733</f>
      </c>
      <c r="C4767" s="5" t="str">
        <f>IF(AND(B4767&gt;=$B$3034,B4767&lt;=$B$3035),1,0)</f>
      </c>
      <c r="D4767" s="5" t="str">
        <f>IF(OR(D4766=1,C4767=1),1,0)</f>
      </c>
      <c r="E4767" s="5" t="str">
        <f>IF(C4767=1,0,IF(D4766=1,E4766+1,0))</f>
      </c>
      <c r="F4767" s="5" t="str">
        <f>IF(AND(C4767=1,D4766=1),MIN(E4766,3),"")</f>
      </c>
    </row>
    <row r="4768">
      <c r="A4768" s="6">
        <v>1730</v>
      </c>
      <c r="B4768" s="6" t="str">
        <f>'Lineal Mixto'!$C$1734</f>
      </c>
      <c r="C4768" s="6" t="str">
        <f>IF(AND(B4768&gt;=$B$3034,B4768&lt;=$B$3035),1,0)</f>
      </c>
      <c r="D4768" s="6" t="str">
        <f>IF(OR(D4767=1,C4768=1),1,0)</f>
      </c>
      <c r="E4768" s="6" t="str">
        <f>IF(C4768=1,0,IF(D4767=1,E4767+1,0))</f>
      </c>
      <c r="F4768" s="6" t="str">
        <f>IF(AND(C4768=1,D4767=1),MIN(E4767,3),"")</f>
      </c>
    </row>
    <row r="4769">
      <c r="A4769" s="5">
        <v>1731</v>
      </c>
      <c r="B4769" s="5" t="str">
        <f>'Lineal Mixto'!$C$1735</f>
      </c>
      <c r="C4769" s="5" t="str">
        <f>IF(AND(B4769&gt;=$B$3034,B4769&lt;=$B$3035),1,0)</f>
      </c>
      <c r="D4769" s="5" t="str">
        <f>IF(OR(D4768=1,C4769=1),1,0)</f>
      </c>
      <c r="E4769" s="5" t="str">
        <f>IF(C4769=1,0,IF(D4768=1,E4768+1,0))</f>
      </c>
      <c r="F4769" s="5" t="str">
        <f>IF(AND(C4769=1,D4768=1),MIN(E4768,3),"")</f>
      </c>
    </row>
    <row r="4770">
      <c r="A4770" s="6">
        <v>1732</v>
      </c>
      <c r="B4770" s="6" t="str">
        <f>'Lineal Mixto'!$C$1736</f>
      </c>
      <c r="C4770" s="6" t="str">
        <f>IF(AND(B4770&gt;=$B$3034,B4770&lt;=$B$3035),1,0)</f>
      </c>
      <c r="D4770" s="6" t="str">
        <f>IF(OR(D4769=1,C4770=1),1,0)</f>
      </c>
      <c r="E4770" s="6" t="str">
        <f>IF(C4770=1,0,IF(D4769=1,E4769+1,0))</f>
      </c>
      <c r="F4770" s="6" t="str">
        <f>IF(AND(C4770=1,D4769=1),MIN(E4769,3),"")</f>
      </c>
    </row>
    <row r="4771">
      <c r="A4771" s="5">
        <v>1733</v>
      </c>
      <c r="B4771" s="5" t="str">
        <f>'Lineal Mixto'!$C$1737</f>
      </c>
      <c r="C4771" s="5" t="str">
        <f>IF(AND(B4771&gt;=$B$3034,B4771&lt;=$B$3035),1,0)</f>
      </c>
      <c r="D4771" s="5" t="str">
        <f>IF(OR(D4770=1,C4771=1),1,0)</f>
      </c>
      <c r="E4771" s="5" t="str">
        <f>IF(C4771=1,0,IF(D4770=1,E4770+1,0))</f>
      </c>
      <c r="F4771" s="5" t="str">
        <f>IF(AND(C4771=1,D4770=1),MIN(E4770,3),"")</f>
      </c>
    </row>
    <row r="4772">
      <c r="A4772" s="6">
        <v>1734</v>
      </c>
      <c r="B4772" s="6" t="str">
        <f>'Lineal Mixto'!$C$1738</f>
      </c>
      <c r="C4772" s="6" t="str">
        <f>IF(AND(B4772&gt;=$B$3034,B4772&lt;=$B$3035),1,0)</f>
      </c>
      <c r="D4772" s="6" t="str">
        <f>IF(OR(D4771=1,C4772=1),1,0)</f>
      </c>
      <c r="E4772" s="6" t="str">
        <f>IF(C4772=1,0,IF(D4771=1,E4771+1,0))</f>
      </c>
      <c r="F4772" s="6" t="str">
        <f>IF(AND(C4772=1,D4771=1),MIN(E4771,3),"")</f>
      </c>
    </row>
    <row r="4773">
      <c r="A4773" s="5">
        <v>1735</v>
      </c>
      <c r="B4773" s="5" t="str">
        <f>'Lineal Mixto'!$C$1739</f>
      </c>
      <c r="C4773" s="5" t="str">
        <f>IF(AND(B4773&gt;=$B$3034,B4773&lt;=$B$3035),1,0)</f>
      </c>
      <c r="D4773" s="5" t="str">
        <f>IF(OR(D4772=1,C4773=1),1,0)</f>
      </c>
      <c r="E4773" s="5" t="str">
        <f>IF(C4773=1,0,IF(D4772=1,E4772+1,0))</f>
      </c>
      <c r="F4773" s="5" t="str">
        <f>IF(AND(C4773=1,D4772=1),MIN(E4772,3),"")</f>
      </c>
    </row>
    <row r="4774">
      <c r="A4774" s="6">
        <v>1736</v>
      </c>
      <c r="B4774" s="6" t="str">
        <f>'Lineal Mixto'!$C$1740</f>
      </c>
      <c r="C4774" s="6" t="str">
        <f>IF(AND(B4774&gt;=$B$3034,B4774&lt;=$B$3035),1,0)</f>
      </c>
      <c r="D4774" s="6" t="str">
        <f>IF(OR(D4773=1,C4774=1),1,0)</f>
      </c>
      <c r="E4774" s="6" t="str">
        <f>IF(C4774=1,0,IF(D4773=1,E4773+1,0))</f>
      </c>
      <c r="F4774" s="6" t="str">
        <f>IF(AND(C4774=1,D4773=1),MIN(E4773,3),"")</f>
      </c>
    </row>
    <row r="4775">
      <c r="A4775" s="5">
        <v>1737</v>
      </c>
      <c r="B4775" s="5" t="str">
        <f>'Lineal Mixto'!$C$1741</f>
      </c>
      <c r="C4775" s="5" t="str">
        <f>IF(AND(B4775&gt;=$B$3034,B4775&lt;=$B$3035),1,0)</f>
      </c>
      <c r="D4775" s="5" t="str">
        <f>IF(OR(D4774=1,C4775=1),1,0)</f>
      </c>
      <c r="E4775" s="5" t="str">
        <f>IF(C4775=1,0,IF(D4774=1,E4774+1,0))</f>
      </c>
      <c r="F4775" s="5" t="str">
        <f>IF(AND(C4775=1,D4774=1),MIN(E4774,3),"")</f>
      </c>
    </row>
    <row r="4776">
      <c r="A4776" s="6">
        <v>1738</v>
      </c>
      <c r="B4776" s="6" t="str">
        <f>'Lineal Mixto'!$C$1742</f>
      </c>
      <c r="C4776" s="6" t="str">
        <f>IF(AND(B4776&gt;=$B$3034,B4776&lt;=$B$3035),1,0)</f>
      </c>
      <c r="D4776" s="6" t="str">
        <f>IF(OR(D4775=1,C4776=1),1,0)</f>
      </c>
      <c r="E4776" s="6" t="str">
        <f>IF(C4776=1,0,IF(D4775=1,E4775+1,0))</f>
      </c>
      <c r="F4776" s="6" t="str">
        <f>IF(AND(C4776=1,D4775=1),MIN(E4775,3),"")</f>
      </c>
    </row>
    <row r="4777">
      <c r="A4777" s="5">
        <v>1739</v>
      </c>
      <c r="B4777" s="5" t="str">
        <f>'Lineal Mixto'!$C$1743</f>
      </c>
      <c r="C4777" s="5" t="str">
        <f>IF(AND(B4777&gt;=$B$3034,B4777&lt;=$B$3035),1,0)</f>
      </c>
      <c r="D4777" s="5" t="str">
        <f>IF(OR(D4776=1,C4777=1),1,0)</f>
      </c>
      <c r="E4777" s="5" t="str">
        <f>IF(C4777=1,0,IF(D4776=1,E4776+1,0))</f>
      </c>
      <c r="F4777" s="5" t="str">
        <f>IF(AND(C4777=1,D4776=1),MIN(E4776,3),"")</f>
      </c>
    </row>
    <row r="4778">
      <c r="A4778" s="6">
        <v>1740</v>
      </c>
      <c r="B4778" s="6" t="str">
        <f>'Lineal Mixto'!$C$1744</f>
      </c>
      <c r="C4778" s="6" t="str">
        <f>IF(AND(B4778&gt;=$B$3034,B4778&lt;=$B$3035),1,0)</f>
      </c>
      <c r="D4778" s="6" t="str">
        <f>IF(OR(D4777=1,C4778=1),1,0)</f>
      </c>
      <c r="E4778" s="6" t="str">
        <f>IF(C4778=1,0,IF(D4777=1,E4777+1,0))</f>
      </c>
      <c r="F4778" s="6" t="str">
        <f>IF(AND(C4778=1,D4777=1),MIN(E4777,3),"")</f>
      </c>
    </row>
    <row r="4779">
      <c r="A4779" s="5">
        <v>1741</v>
      </c>
      <c r="B4779" s="5" t="str">
        <f>'Lineal Mixto'!$C$1745</f>
      </c>
      <c r="C4779" s="5" t="str">
        <f>IF(AND(B4779&gt;=$B$3034,B4779&lt;=$B$3035),1,0)</f>
      </c>
      <c r="D4779" s="5" t="str">
        <f>IF(OR(D4778=1,C4779=1),1,0)</f>
      </c>
      <c r="E4779" s="5" t="str">
        <f>IF(C4779=1,0,IF(D4778=1,E4778+1,0))</f>
      </c>
      <c r="F4779" s="5" t="str">
        <f>IF(AND(C4779=1,D4778=1),MIN(E4778,3),"")</f>
      </c>
    </row>
    <row r="4780">
      <c r="A4780" s="6">
        <v>1742</v>
      </c>
      <c r="B4780" s="6" t="str">
        <f>'Lineal Mixto'!$C$1746</f>
      </c>
      <c r="C4780" s="6" t="str">
        <f>IF(AND(B4780&gt;=$B$3034,B4780&lt;=$B$3035),1,0)</f>
      </c>
      <c r="D4780" s="6" t="str">
        <f>IF(OR(D4779=1,C4780=1),1,0)</f>
      </c>
      <c r="E4780" s="6" t="str">
        <f>IF(C4780=1,0,IF(D4779=1,E4779+1,0))</f>
      </c>
      <c r="F4780" s="6" t="str">
        <f>IF(AND(C4780=1,D4779=1),MIN(E4779,3),"")</f>
      </c>
    </row>
    <row r="4781">
      <c r="A4781" s="5">
        <v>1743</v>
      </c>
      <c r="B4781" s="5" t="str">
        <f>'Lineal Mixto'!$C$1747</f>
      </c>
      <c r="C4781" s="5" t="str">
        <f>IF(AND(B4781&gt;=$B$3034,B4781&lt;=$B$3035),1,0)</f>
      </c>
      <c r="D4781" s="5" t="str">
        <f>IF(OR(D4780=1,C4781=1),1,0)</f>
      </c>
      <c r="E4781" s="5" t="str">
        <f>IF(C4781=1,0,IF(D4780=1,E4780+1,0))</f>
      </c>
      <c r="F4781" s="5" t="str">
        <f>IF(AND(C4781=1,D4780=1),MIN(E4780,3),"")</f>
      </c>
    </row>
    <row r="4782">
      <c r="A4782" s="6">
        <v>1744</v>
      </c>
      <c r="B4782" s="6" t="str">
        <f>'Lineal Mixto'!$C$1748</f>
      </c>
      <c r="C4782" s="6" t="str">
        <f>IF(AND(B4782&gt;=$B$3034,B4782&lt;=$B$3035),1,0)</f>
      </c>
      <c r="D4782" s="6" t="str">
        <f>IF(OR(D4781=1,C4782=1),1,0)</f>
      </c>
      <c r="E4782" s="6" t="str">
        <f>IF(C4782=1,0,IF(D4781=1,E4781+1,0))</f>
      </c>
      <c r="F4782" s="6" t="str">
        <f>IF(AND(C4782=1,D4781=1),MIN(E4781,3),"")</f>
      </c>
    </row>
    <row r="4783">
      <c r="A4783" s="5">
        <v>1745</v>
      </c>
      <c r="B4783" s="5" t="str">
        <f>'Lineal Mixto'!$C$1749</f>
      </c>
      <c r="C4783" s="5" t="str">
        <f>IF(AND(B4783&gt;=$B$3034,B4783&lt;=$B$3035),1,0)</f>
      </c>
      <c r="D4783" s="5" t="str">
        <f>IF(OR(D4782=1,C4783=1),1,0)</f>
      </c>
      <c r="E4783" s="5" t="str">
        <f>IF(C4783=1,0,IF(D4782=1,E4782+1,0))</f>
      </c>
      <c r="F4783" s="5" t="str">
        <f>IF(AND(C4783=1,D4782=1),MIN(E4782,3),"")</f>
      </c>
    </row>
    <row r="4784">
      <c r="A4784" s="6">
        <v>1746</v>
      </c>
      <c r="B4784" s="6" t="str">
        <f>'Lineal Mixto'!$C$1750</f>
      </c>
      <c r="C4784" s="6" t="str">
        <f>IF(AND(B4784&gt;=$B$3034,B4784&lt;=$B$3035),1,0)</f>
      </c>
      <c r="D4784" s="6" t="str">
        <f>IF(OR(D4783=1,C4784=1),1,0)</f>
      </c>
      <c r="E4784" s="6" t="str">
        <f>IF(C4784=1,0,IF(D4783=1,E4783+1,0))</f>
      </c>
      <c r="F4784" s="6" t="str">
        <f>IF(AND(C4784=1,D4783=1),MIN(E4783,3),"")</f>
      </c>
    </row>
    <row r="4785">
      <c r="A4785" s="5">
        <v>1747</v>
      </c>
      <c r="B4785" s="5" t="str">
        <f>'Lineal Mixto'!$C$1751</f>
      </c>
      <c r="C4785" s="5" t="str">
        <f>IF(AND(B4785&gt;=$B$3034,B4785&lt;=$B$3035),1,0)</f>
      </c>
      <c r="D4785" s="5" t="str">
        <f>IF(OR(D4784=1,C4785=1),1,0)</f>
      </c>
      <c r="E4785" s="5" t="str">
        <f>IF(C4785=1,0,IF(D4784=1,E4784+1,0))</f>
      </c>
      <c r="F4785" s="5" t="str">
        <f>IF(AND(C4785=1,D4784=1),MIN(E4784,3),"")</f>
      </c>
    </row>
    <row r="4786">
      <c r="A4786" s="6">
        <v>1748</v>
      </c>
      <c r="B4786" s="6" t="str">
        <f>'Lineal Mixto'!$C$1752</f>
      </c>
      <c r="C4786" s="6" t="str">
        <f>IF(AND(B4786&gt;=$B$3034,B4786&lt;=$B$3035),1,0)</f>
      </c>
      <c r="D4786" s="6" t="str">
        <f>IF(OR(D4785=1,C4786=1),1,0)</f>
      </c>
      <c r="E4786" s="6" t="str">
        <f>IF(C4786=1,0,IF(D4785=1,E4785+1,0))</f>
      </c>
      <c r="F4786" s="6" t="str">
        <f>IF(AND(C4786=1,D4785=1),MIN(E4785,3),"")</f>
      </c>
    </row>
    <row r="4787">
      <c r="A4787" s="5">
        <v>1749</v>
      </c>
      <c r="B4787" s="5" t="str">
        <f>'Lineal Mixto'!$C$1753</f>
      </c>
      <c r="C4787" s="5" t="str">
        <f>IF(AND(B4787&gt;=$B$3034,B4787&lt;=$B$3035),1,0)</f>
      </c>
      <c r="D4787" s="5" t="str">
        <f>IF(OR(D4786=1,C4787=1),1,0)</f>
      </c>
      <c r="E4787" s="5" t="str">
        <f>IF(C4787=1,0,IF(D4786=1,E4786+1,0))</f>
      </c>
      <c r="F4787" s="5" t="str">
        <f>IF(AND(C4787=1,D4786=1),MIN(E4786,3),"")</f>
      </c>
    </row>
    <row r="4788">
      <c r="A4788" s="6">
        <v>1750</v>
      </c>
      <c r="B4788" s="6" t="str">
        <f>'Lineal Mixto'!$C$1754</f>
      </c>
      <c r="C4788" s="6" t="str">
        <f>IF(AND(B4788&gt;=$B$3034,B4788&lt;=$B$3035),1,0)</f>
      </c>
      <c r="D4788" s="6" t="str">
        <f>IF(OR(D4787=1,C4788=1),1,0)</f>
      </c>
      <c r="E4788" s="6" t="str">
        <f>IF(C4788=1,0,IF(D4787=1,E4787+1,0))</f>
      </c>
      <c r="F4788" s="6" t="str">
        <f>IF(AND(C4788=1,D4787=1),MIN(E4787,3),"")</f>
      </c>
    </row>
    <row r="4789">
      <c r="A4789" s="5">
        <v>1751</v>
      </c>
      <c r="B4789" s="5" t="str">
        <f>'Lineal Mixto'!$C$1755</f>
      </c>
      <c r="C4789" s="5" t="str">
        <f>IF(AND(B4789&gt;=$B$3034,B4789&lt;=$B$3035),1,0)</f>
      </c>
      <c r="D4789" s="5" t="str">
        <f>IF(OR(D4788=1,C4789=1),1,0)</f>
      </c>
      <c r="E4789" s="5" t="str">
        <f>IF(C4789=1,0,IF(D4788=1,E4788+1,0))</f>
      </c>
      <c r="F4789" s="5" t="str">
        <f>IF(AND(C4789=1,D4788=1),MIN(E4788,3),"")</f>
      </c>
    </row>
    <row r="4790">
      <c r="A4790" s="6">
        <v>1752</v>
      </c>
      <c r="B4790" s="6" t="str">
        <f>'Lineal Mixto'!$C$1756</f>
      </c>
      <c r="C4790" s="6" t="str">
        <f>IF(AND(B4790&gt;=$B$3034,B4790&lt;=$B$3035),1,0)</f>
      </c>
      <c r="D4790" s="6" t="str">
        <f>IF(OR(D4789=1,C4790=1),1,0)</f>
      </c>
      <c r="E4790" s="6" t="str">
        <f>IF(C4790=1,0,IF(D4789=1,E4789+1,0))</f>
      </c>
      <c r="F4790" s="6" t="str">
        <f>IF(AND(C4790=1,D4789=1),MIN(E4789,3),"")</f>
      </c>
    </row>
    <row r="4791">
      <c r="A4791" s="5">
        <v>1753</v>
      </c>
      <c r="B4791" s="5" t="str">
        <f>'Lineal Mixto'!$C$1757</f>
      </c>
      <c r="C4791" s="5" t="str">
        <f>IF(AND(B4791&gt;=$B$3034,B4791&lt;=$B$3035),1,0)</f>
      </c>
      <c r="D4791" s="5" t="str">
        <f>IF(OR(D4790=1,C4791=1),1,0)</f>
      </c>
      <c r="E4791" s="5" t="str">
        <f>IF(C4791=1,0,IF(D4790=1,E4790+1,0))</f>
      </c>
      <c r="F4791" s="5" t="str">
        <f>IF(AND(C4791=1,D4790=1),MIN(E4790,3),"")</f>
      </c>
    </row>
    <row r="4792">
      <c r="A4792" s="6">
        <v>1754</v>
      </c>
      <c r="B4792" s="6" t="str">
        <f>'Lineal Mixto'!$C$1758</f>
      </c>
      <c r="C4792" s="6" t="str">
        <f>IF(AND(B4792&gt;=$B$3034,B4792&lt;=$B$3035),1,0)</f>
      </c>
      <c r="D4792" s="6" t="str">
        <f>IF(OR(D4791=1,C4792=1),1,0)</f>
      </c>
      <c r="E4792" s="6" t="str">
        <f>IF(C4792=1,0,IF(D4791=1,E4791+1,0))</f>
      </c>
      <c r="F4792" s="6" t="str">
        <f>IF(AND(C4792=1,D4791=1),MIN(E4791,3),"")</f>
      </c>
    </row>
    <row r="4793">
      <c r="A4793" s="5">
        <v>1755</v>
      </c>
      <c r="B4793" s="5" t="str">
        <f>'Lineal Mixto'!$C$1759</f>
      </c>
      <c r="C4793" s="5" t="str">
        <f>IF(AND(B4793&gt;=$B$3034,B4793&lt;=$B$3035),1,0)</f>
      </c>
      <c r="D4793" s="5" t="str">
        <f>IF(OR(D4792=1,C4793=1),1,0)</f>
      </c>
      <c r="E4793" s="5" t="str">
        <f>IF(C4793=1,0,IF(D4792=1,E4792+1,0))</f>
      </c>
      <c r="F4793" s="5" t="str">
        <f>IF(AND(C4793=1,D4792=1),MIN(E4792,3),"")</f>
      </c>
    </row>
    <row r="4794">
      <c r="A4794" s="6">
        <v>1756</v>
      </c>
      <c r="B4794" s="6" t="str">
        <f>'Lineal Mixto'!$C$1760</f>
      </c>
      <c r="C4794" s="6" t="str">
        <f>IF(AND(B4794&gt;=$B$3034,B4794&lt;=$B$3035),1,0)</f>
      </c>
      <c r="D4794" s="6" t="str">
        <f>IF(OR(D4793=1,C4794=1),1,0)</f>
      </c>
      <c r="E4794" s="6" t="str">
        <f>IF(C4794=1,0,IF(D4793=1,E4793+1,0))</f>
      </c>
      <c r="F4794" s="6" t="str">
        <f>IF(AND(C4794=1,D4793=1),MIN(E4793,3),"")</f>
      </c>
    </row>
    <row r="4795">
      <c r="A4795" s="5">
        <v>1757</v>
      </c>
      <c r="B4795" s="5" t="str">
        <f>'Lineal Mixto'!$C$1761</f>
      </c>
      <c r="C4795" s="5" t="str">
        <f>IF(AND(B4795&gt;=$B$3034,B4795&lt;=$B$3035),1,0)</f>
      </c>
      <c r="D4795" s="5" t="str">
        <f>IF(OR(D4794=1,C4795=1),1,0)</f>
      </c>
      <c r="E4795" s="5" t="str">
        <f>IF(C4795=1,0,IF(D4794=1,E4794+1,0))</f>
      </c>
      <c r="F4795" s="5" t="str">
        <f>IF(AND(C4795=1,D4794=1),MIN(E4794,3),"")</f>
      </c>
    </row>
    <row r="4796">
      <c r="A4796" s="6">
        <v>1758</v>
      </c>
      <c r="B4796" s="6" t="str">
        <f>'Lineal Mixto'!$C$1762</f>
      </c>
      <c r="C4796" s="6" t="str">
        <f>IF(AND(B4796&gt;=$B$3034,B4796&lt;=$B$3035),1,0)</f>
      </c>
      <c r="D4796" s="6" t="str">
        <f>IF(OR(D4795=1,C4796=1),1,0)</f>
      </c>
      <c r="E4796" s="6" t="str">
        <f>IF(C4796=1,0,IF(D4795=1,E4795+1,0))</f>
      </c>
      <c r="F4796" s="6" t="str">
        <f>IF(AND(C4796=1,D4795=1),MIN(E4795,3),"")</f>
      </c>
    </row>
    <row r="4797">
      <c r="A4797" s="5">
        <v>1759</v>
      </c>
      <c r="B4797" s="5" t="str">
        <f>'Lineal Mixto'!$C$1763</f>
      </c>
      <c r="C4797" s="5" t="str">
        <f>IF(AND(B4797&gt;=$B$3034,B4797&lt;=$B$3035),1,0)</f>
      </c>
      <c r="D4797" s="5" t="str">
        <f>IF(OR(D4796=1,C4797=1),1,0)</f>
      </c>
      <c r="E4797" s="5" t="str">
        <f>IF(C4797=1,0,IF(D4796=1,E4796+1,0))</f>
      </c>
      <c r="F4797" s="5" t="str">
        <f>IF(AND(C4797=1,D4796=1),MIN(E4796,3),"")</f>
      </c>
    </row>
    <row r="4798">
      <c r="A4798" s="6">
        <v>1760</v>
      </c>
      <c r="B4798" s="6" t="str">
        <f>'Lineal Mixto'!$C$1764</f>
      </c>
      <c r="C4798" s="6" t="str">
        <f>IF(AND(B4798&gt;=$B$3034,B4798&lt;=$B$3035),1,0)</f>
      </c>
      <c r="D4798" s="6" t="str">
        <f>IF(OR(D4797=1,C4798=1),1,0)</f>
      </c>
      <c r="E4798" s="6" t="str">
        <f>IF(C4798=1,0,IF(D4797=1,E4797+1,0))</f>
      </c>
      <c r="F4798" s="6" t="str">
        <f>IF(AND(C4798=1,D4797=1),MIN(E4797,3),"")</f>
      </c>
    </row>
    <row r="4799">
      <c r="A4799" s="5">
        <v>1761</v>
      </c>
      <c r="B4799" s="5" t="str">
        <f>'Lineal Mixto'!$C$1765</f>
      </c>
      <c r="C4799" s="5" t="str">
        <f>IF(AND(B4799&gt;=$B$3034,B4799&lt;=$B$3035),1,0)</f>
      </c>
      <c r="D4799" s="5" t="str">
        <f>IF(OR(D4798=1,C4799=1),1,0)</f>
      </c>
      <c r="E4799" s="5" t="str">
        <f>IF(C4799=1,0,IF(D4798=1,E4798+1,0))</f>
      </c>
      <c r="F4799" s="5" t="str">
        <f>IF(AND(C4799=1,D4798=1),MIN(E4798,3),"")</f>
      </c>
    </row>
    <row r="4800">
      <c r="A4800" s="6">
        <v>1762</v>
      </c>
      <c r="B4800" s="6" t="str">
        <f>'Lineal Mixto'!$C$1766</f>
      </c>
      <c r="C4800" s="6" t="str">
        <f>IF(AND(B4800&gt;=$B$3034,B4800&lt;=$B$3035),1,0)</f>
      </c>
      <c r="D4800" s="6" t="str">
        <f>IF(OR(D4799=1,C4800=1),1,0)</f>
      </c>
      <c r="E4800" s="6" t="str">
        <f>IF(C4800=1,0,IF(D4799=1,E4799+1,0))</f>
      </c>
      <c r="F4800" s="6" t="str">
        <f>IF(AND(C4800=1,D4799=1),MIN(E4799,3),"")</f>
      </c>
    </row>
    <row r="4801">
      <c r="A4801" s="5">
        <v>1763</v>
      </c>
      <c r="B4801" s="5" t="str">
        <f>'Lineal Mixto'!$C$1767</f>
      </c>
      <c r="C4801" s="5" t="str">
        <f>IF(AND(B4801&gt;=$B$3034,B4801&lt;=$B$3035),1,0)</f>
      </c>
      <c r="D4801" s="5" t="str">
        <f>IF(OR(D4800=1,C4801=1),1,0)</f>
      </c>
      <c r="E4801" s="5" t="str">
        <f>IF(C4801=1,0,IF(D4800=1,E4800+1,0))</f>
      </c>
      <c r="F4801" s="5" t="str">
        <f>IF(AND(C4801=1,D4800=1),MIN(E4800,3),"")</f>
      </c>
    </row>
    <row r="4802">
      <c r="A4802" s="6">
        <v>1764</v>
      </c>
      <c r="B4802" s="6" t="str">
        <f>'Lineal Mixto'!$C$1768</f>
      </c>
      <c r="C4802" s="6" t="str">
        <f>IF(AND(B4802&gt;=$B$3034,B4802&lt;=$B$3035),1,0)</f>
      </c>
      <c r="D4802" s="6" t="str">
        <f>IF(OR(D4801=1,C4802=1),1,0)</f>
      </c>
      <c r="E4802" s="6" t="str">
        <f>IF(C4802=1,0,IF(D4801=1,E4801+1,0))</f>
      </c>
      <c r="F4802" s="6" t="str">
        <f>IF(AND(C4802=1,D4801=1),MIN(E4801,3),"")</f>
      </c>
    </row>
    <row r="4803">
      <c r="A4803" s="5">
        <v>1765</v>
      </c>
      <c r="B4803" s="5" t="str">
        <f>'Lineal Mixto'!$C$1769</f>
      </c>
      <c r="C4803" s="5" t="str">
        <f>IF(AND(B4803&gt;=$B$3034,B4803&lt;=$B$3035),1,0)</f>
      </c>
      <c r="D4803" s="5" t="str">
        <f>IF(OR(D4802=1,C4803=1),1,0)</f>
      </c>
      <c r="E4803" s="5" t="str">
        <f>IF(C4803=1,0,IF(D4802=1,E4802+1,0))</f>
      </c>
      <c r="F4803" s="5" t="str">
        <f>IF(AND(C4803=1,D4802=1),MIN(E4802,3),"")</f>
      </c>
    </row>
    <row r="4804">
      <c r="A4804" s="6">
        <v>1766</v>
      </c>
      <c r="B4804" s="6" t="str">
        <f>'Lineal Mixto'!$C$1770</f>
      </c>
      <c r="C4804" s="6" t="str">
        <f>IF(AND(B4804&gt;=$B$3034,B4804&lt;=$B$3035),1,0)</f>
      </c>
      <c r="D4804" s="6" t="str">
        <f>IF(OR(D4803=1,C4804=1),1,0)</f>
      </c>
      <c r="E4804" s="6" t="str">
        <f>IF(C4804=1,0,IF(D4803=1,E4803+1,0))</f>
      </c>
      <c r="F4804" s="6" t="str">
        <f>IF(AND(C4804=1,D4803=1),MIN(E4803,3),"")</f>
      </c>
    </row>
    <row r="4805">
      <c r="A4805" s="5">
        <v>1767</v>
      </c>
      <c r="B4805" s="5" t="str">
        <f>'Lineal Mixto'!$C$1771</f>
      </c>
      <c r="C4805" s="5" t="str">
        <f>IF(AND(B4805&gt;=$B$3034,B4805&lt;=$B$3035),1,0)</f>
      </c>
      <c r="D4805" s="5" t="str">
        <f>IF(OR(D4804=1,C4805=1),1,0)</f>
      </c>
      <c r="E4805" s="5" t="str">
        <f>IF(C4805=1,0,IF(D4804=1,E4804+1,0))</f>
      </c>
      <c r="F4805" s="5" t="str">
        <f>IF(AND(C4805=1,D4804=1),MIN(E4804,3),"")</f>
      </c>
    </row>
    <row r="4806">
      <c r="A4806" s="6">
        <v>1768</v>
      </c>
      <c r="B4806" s="6" t="str">
        <f>'Lineal Mixto'!$C$1772</f>
      </c>
      <c r="C4806" s="6" t="str">
        <f>IF(AND(B4806&gt;=$B$3034,B4806&lt;=$B$3035),1,0)</f>
      </c>
      <c r="D4806" s="6" t="str">
        <f>IF(OR(D4805=1,C4806=1),1,0)</f>
      </c>
      <c r="E4806" s="6" t="str">
        <f>IF(C4806=1,0,IF(D4805=1,E4805+1,0))</f>
      </c>
      <c r="F4806" s="6" t="str">
        <f>IF(AND(C4806=1,D4805=1),MIN(E4805,3),"")</f>
      </c>
    </row>
    <row r="4807">
      <c r="A4807" s="5">
        <v>1769</v>
      </c>
      <c r="B4807" s="5" t="str">
        <f>'Lineal Mixto'!$C$1773</f>
      </c>
      <c r="C4807" s="5" t="str">
        <f>IF(AND(B4807&gt;=$B$3034,B4807&lt;=$B$3035),1,0)</f>
      </c>
      <c r="D4807" s="5" t="str">
        <f>IF(OR(D4806=1,C4807=1),1,0)</f>
      </c>
      <c r="E4807" s="5" t="str">
        <f>IF(C4807=1,0,IF(D4806=1,E4806+1,0))</f>
      </c>
      <c r="F4807" s="5" t="str">
        <f>IF(AND(C4807=1,D4806=1),MIN(E4806,3),"")</f>
      </c>
    </row>
    <row r="4808">
      <c r="A4808" s="6">
        <v>1770</v>
      </c>
      <c r="B4808" s="6" t="str">
        <f>'Lineal Mixto'!$C$1774</f>
      </c>
      <c r="C4808" s="6" t="str">
        <f>IF(AND(B4808&gt;=$B$3034,B4808&lt;=$B$3035),1,0)</f>
      </c>
      <c r="D4808" s="6" t="str">
        <f>IF(OR(D4807=1,C4808=1),1,0)</f>
      </c>
      <c r="E4808" s="6" t="str">
        <f>IF(C4808=1,0,IF(D4807=1,E4807+1,0))</f>
      </c>
      <c r="F4808" s="6" t="str">
        <f>IF(AND(C4808=1,D4807=1),MIN(E4807,3),"")</f>
      </c>
    </row>
    <row r="4809">
      <c r="A4809" s="5">
        <v>1771</v>
      </c>
      <c r="B4809" s="5" t="str">
        <f>'Lineal Mixto'!$C$1775</f>
      </c>
      <c r="C4809" s="5" t="str">
        <f>IF(AND(B4809&gt;=$B$3034,B4809&lt;=$B$3035),1,0)</f>
      </c>
      <c r="D4809" s="5" t="str">
        <f>IF(OR(D4808=1,C4809=1),1,0)</f>
      </c>
      <c r="E4809" s="5" t="str">
        <f>IF(C4809=1,0,IF(D4808=1,E4808+1,0))</f>
      </c>
      <c r="F4809" s="5" t="str">
        <f>IF(AND(C4809=1,D4808=1),MIN(E4808,3),"")</f>
      </c>
    </row>
    <row r="4810">
      <c r="A4810" s="6">
        <v>1772</v>
      </c>
      <c r="B4810" s="6" t="str">
        <f>'Lineal Mixto'!$C$1776</f>
      </c>
      <c r="C4810" s="6" t="str">
        <f>IF(AND(B4810&gt;=$B$3034,B4810&lt;=$B$3035),1,0)</f>
      </c>
      <c r="D4810" s="6" t="str">
        <f>IF(OR(D4809=1,C4810=1),1,0)</f>
      </c>
      <c r="E4810" s="6" t="str">
        <f>IF(C4810=1,0,IF(D4809=1,E4809+1,0))</f>
      </c>
      <c r="F4810" s="6" t="str">
        <f>IF(AND(C4810=1,D4809=1),MIN(E4809,3),"")</f>
      </c>
    </row>
    <row r="4811">
      <c r="A4811" s="5">
        <v>1773</v>
      </c>
      <c r="B4811" s="5" t="str">
        <f>'Lineal Mixto'!$C$1777</f>
      </c>
      <c r="C4811" s="5" t="str">
        <f>IF(AND(B4811&gt;=$B$3034,B4811&lt;=$B$3035),1,0)</f>
      </c>
      <c r="D4811" s="5" t="str">
        <f>IF(OR(D4810=1,C4811=1),1,0)</f>
      </c>
      <c r="E4811" s="5" t="str">
        <f>IF(C4811=1,0,IF(D4810=1,E4810+1,0))</f>
      </c>
      <c r="F4811" s="5" t="str">
        <f>IF(AND(C4811=1,D4810=1),MIN(E4810,3),"")</f>
      </c>
    </row>
    <row r="4812">
      <c r="A4812" s="6">
        <v>1774</v>
      </c>
      <c r="B4812" s="6" t="str">
        <f>'Lineal Mixto'!$C$1778</f>
      </c>
      <c r="C4812" s="6" t="str">
        <f>IF(AND(B4812&gt;=$B$3034,B4812&lt;=$B$3035),1,0)</f>
      </c>
      <c r="D4812" s="6" t="str">
        <f>IF(OR(D4811=1,C4812=1),1,0)</f>
      </c>
      <c r="E4812" s="6" t="str">
        <f>IF(C4812=1,0,IF(D4811=1,E4811+1,0))</f>
      </c>
      <c r="F4812" s="6" t="str">
        <f>IF(AND(C4812=1,D4811=1),MIN(E4811,3),"")</f>
      </c>
    </row>
    <row r="4813">
      <c r="A4813" s="5">
        <v>1775</v>
      </c>
      <c r="B4813" s="5" t="str">
        <f>'Lineal Mixto'!$C$1779</f>
      </c>
      <c r="C4813" s="5" t="str">
        <f>IF(AND(B4813&gt;=$B$3034,B4813&lt;=$B$3035),1,0)</f>
      </c>
      <c r="D4813" s="5" t="str">
        <f>IF(OR(D4812=1,C4813=1),1,0)</f>
      </c>
      <c r="E4813" s="5" t="str">
        <f>IF(C4813=1,0,IF(D4812=1,E4812+1,0))</f>
      </c>
      <c r="F4813" s="5" t="str">
        <f>IF(AND(C4813=1,D4812=1),MIN(E4812,3),"")</f>
      </c>
    </row>
    <row r="4814">
      <c r="A4814" s="6">
        <v>1776</v>
      </c>
      <c r="B4814" s="6" t="str">
        <f>'Lineal Mixto'!$C$1780</f>
      </c>
      <c r="C4814" s="6" t="str">
        <f>IF(AND(B4814&gt;=$B$3034,B4814&lt;=$B$3035),1,0)</f>
      </c>
      <c r="D4814" s="6" t="str">
        <f>IF(OR(D4813=1,C4814=1),1,0)</f>
      </c>
      <c r="E4814" s="6" t="str">
        <f>IF(C4814=1,0,IF(D4813=1,E4813+1,0))</f>
      </c>
      <c r="F4814" s="6" t="str">
        <f>IF(AND(C4814=1,D4813=1),MIN(E4813,3),"")</f>
      </c>
    </row>
    <row r="4815">
      <c r="A4815" s="5">
        <v>1777</v>
      </c>
      <c r="B4815" s="5" t="str">
        <f>'Lineal Mixto'!$C$1781</f>
      </c>
      <c r="C4815" s="5" t="str">
        <f>IF(AND(B4815&gt;=$B$3034,B4815&lt;=$B$3035),1,0)</f>
      </c>
      <c r="D4815" s="5" t="str">
        <f>IF(OR(D4814=1,C4815=1),1,0)</f>
      </c>
      <c r="E4815" s="5" t="str">
        <f>IF(C4815=1,0,IF(D4814=1,E4814+1,0))</f>
      </c>
      <c r="F4815" s="5" t="str">
        <f>IF(AND(C4815=1,D4814=1),MIN(E4814,3),"")</f>
      </c>
    </row>
    <row r="4816">
      <c r="A4816" s="6">
        <v>1778</v>
      </c>
      <c r="B4816" s="6" t="str">
        <f>'Lineal Mixto'!$C$1782</f>
      </c>
      <c r="C4816" s="6" t="str">
        <f>IF(AND(B4816&gt;=$B$3034,B4816&lt;=$B$3035),1,0)</f>
      </c>
      <c r="D4816" s="6" t="str">
        <f>IF(OR(D4815=1,C4816=1),1,0)</f>
      </c>
      <c r="E4816" s="6" t="str">
        <f>IF(C4816=1,0,IF(D4815=1,E4815+1,0))</f>
      </c>
      <c r="F4816" s="6" t="str">
        <f>IF(AND(C4816=1,D4815=1),MIN(E4815,3),"")</f>
      </c>
    </row>
    <row r="4817">
      <c r="A4817" s="5">
        <v>1779</v>
      </c>
      <c r="B4817" s="5" t="str">
        <f>'Lineal Mixto'!$C$1783</f>
      </c>
      <c r="C4817" s="5" t="str">
        <f>IF(AND(B4817&gt;=$B$3034,B4817&lt;=$B$3035),1,0)</f>
      </c>
      <c r="D4817" s="5" t="str">
        <f>IF(OR(D4816=1,C4817=1),1,0)</f>
      </c>
      <c r="E4817" s="5" t="str">
        <f>IF(C4817=1,0,IF(D4816=1,E4816+1,0))</f>
      </c>
      <c r="F4817" s="5" t="str">
        <f>IF(AND(C4817=1,D4816=1),MIN(E4816,3),"")</f>
      </c>
    </row>
    <row r="4818">
      <c r="A4818" s="6">
        <v>1780</v>
      </c>
      <c r="B4818" s="6" t="str">
        <f>'Lineal Mixto'!$C$1784</f>
      </c>
      <c r="C4818" s="6" t="str">
        <f>IF(AND(B4818&gt;=$B$3034,B4818&lt;=$B$3035),1,0)</f>
      </c>
      <c r="D4818" s="6" t="str">
        <f>IF(OR(D4817=1,C4818=1),1,0)</f>
      </c>
      <c r="E4818" s="6" t="str">
        <f>IF(C4818=1,0,IF(D4817=1,E4817+1,0))</f>
      </c>
      <c r="F4818" s="6" t="str">
        <f>IF(AND(C4818=1,D4817=1),MIN(E4817,3),"")</f>
      </c>
    </row>
    <row r="4819">
      <c r="A4819" s="5">
        <v>1781</v>
      </c>
      <c r="B4819" s="5" t="str">
        <f>'Lineal Mixto'!$C$1785</f>
      </c>
      <c r="C4819" s="5" t="str">
        <f>IF(AND(B4819&gt;=$B$3034,B4819&lt;=$B$3035),1,0)</f>
      </c>
      <c r="D4819" s="5" t="str">
        <f>IF(OR(D4818=1,C4819=1),1,0)</f>
      </c>
      <c r="E4819" s="5" t="str">
        <f>IF(C4819=1,0,IF(D4818=1,E4818+1,0))</f>
      </c>
      <c r="F4819" s="5" t="str">
        <f>IF(AND(C4819=1,D4818=1),MIN(E4818,3),"")</f>
      </c>
    </row>
    <row r="4820">
      <c r="A4820" s="6">
        <v>1782</v>
      </c>
      <c r="B4820" s="6" t="str">
        <f>'Lineal Mixto'!$C$1786</f>
      </c>
      <c r="C4820" s="6" t="str">
        <f>IF(AND(B4820&gt;=$B$3034,B4820&lt;=$B$3035),1,0)</f>
      </c>
      <c r="D4820" s="6" t="str">
        <f>IF(OR(D4819=1,C4820=1),1,0)</f>
      </c>
      <c r="E4820" s="6" t="str">
        <f>IF(C4820=1,0,IF(D4819=1,E4819+1,0))</f>
      </c>
      <c r="F4820" s="6" t="str">
        <f>IF(AND(C4820=1,D4819=1),MIN(E4819,3),"")</f>
      </c>
    </row>
    <row r="4821">
      <c r="A4821" s="5">
        <v>1783</v>
      </c>
      <c r="B4821" s="5" t="str">
        <f>'Lineal Mixto'!$C$1787</f>
      </c>
      <c r="C4821" s="5" t="str">
        <f>IF(AND(B4821&gt;=$B$3034,B4821&lt;=$B$3035),1,0)</f>
      </c>
      <c r="D4821" s="5" t="str">
        <f>IF(OR(D4820=1,C4821=1),1,0)</f>
      </c>
      <c r="E4821" s="5" t="str">
        <f>IF(C4821=1,0,IF(D4820=1,E4820+1,0))</f>
      </c>
      <c r="F4821" s="5" t="str">
        <f>IF(AND(C4821=1,D4820=1),MIN(E4820,3),"")</f>
      </c>
    </row>
    <row r="4822">
      <c r="A4822" s="6">
        <v>1784</v>
      </c>
      <c r="B4822" s="6" t="str">
        <f>'Lineal Mixto'!$C$1788</f>
      </c>
      <c r="C4822" s="6" t="str">
        <f>IF(AND(B4822&gt;=$B$3034,B4822&lt;=$B$3035),1,0)</f>
      </c>
      <c r="D4822" s="6" t="str">
        <f>IF(OR(D4821=1,C4822=1),1,0)</f>
      </c>
      <c r="E4822" s="6" t="str">
        <f>IF(C4822=1,0,IF(D4821=1,E4821+1,0))</f>
      </c>
      <c r="F4822" s="6" t="str">
        <f>IF(AND(C4822=1,D4821=1),MIN(E4821,3),"")</f>
      </c>
    </row>
    <row r="4823">
      <c r="A4823" s="5">
        <v>1785</v>
      </c>
      <c r="B4823" s="5" t="str">
        <f>'Lineal Mixto'!$C$1789</f>
      </c>
      <c r="C4823" s="5" t="str">
        <f>IF(AND(B4823&gt;=$B$3034,B4823&lt;=$B$3035),1,0)</f>
      </c>
      <c r="D4823" s="5" t="str">
        <f>IF(OR(D4822=1,C4823=1),1,0)</f>
      </c>
      <c r="E4823" s="5" t="str">
        <f>IF(C4823=1,0,IF(D4822=1,E4822+1,0))</f>
      </c>
      <c r="F4823" s="5" t="str">
        <f>IF(AND(C4823=1,D4822=1),MIN(E4822,3),"")</f>
      </c>
    </row>
    <row r="4824">
      <c r="A4824" s="6">
        <v>1786</v>
      </c>
      <c r="B4824" s="6" t="str">
        <f>'Lineal Mixto'!$C$1790</f>
      </c>
      <c r="C4824" s="6" t="str">
        <f>IF(AND(B4824&gt;=$B$3034,B4824&lt;=$B$3035),1,0)</f>
      </c>
      <c r="D4824" s="6" t="str">
        <f>IF(OR(D4823=1,C4824=1),1,0)</f>
      </c>
      <c r="E4824" s="6" t="str">
        <f>IF(C4824=1,0,IF(D4823=1,E4823+1,0))</f>
      </c>
      <c r="F4824" s="6" t="str">
        <f>IF(AND(C4824=1,D4823=1),MIN(E4823,3),"")</f>
      </c>
    </row>
    <row r="4825">
      <c r="A4825" s="5">
        <v>1787</v>
      </c>
      <c r="B4825" s="5" t="str">
        <f>'Lineal Mixto'!$C$1791</f>
      </c>
      <c r="C4825" s="5" t="str">
        <f>IF(AND(B4825&gt;=$B$3034,B4825&lt;=$B$3035),1,0)</f>
      </c>
      <c r="D4825" s="5" t="str">
        <f>IF(OR(D4824=1,C4825=1),1,0)</f>
      </c>
      <c r="E4825" s="5" t="str">
        <f>IF(C4825=1,0,IF(D4824=1,E4824+1,0))</f>
      </c>
      <c r="F4825" s="5" t="str">
        <f>IF(AND(C4825=1,D4824=1),MIN(E4824,3),"")</f>
      </c>
    </row>
    <row r="4826">
      <c r="A4826" s="6">
        <v>1788</v>
      </c>
      <c r="B4826" s="6" t="str">
        <f>'Lineal Mixto'!$C$1792</f>
      </c>
      <c r="C4826" s="6" t="str">
        <f>IF(AND(B4826&gt;=$B$3034,B4826&lt;=$B$3035),1,0)</f>
      </c>
      <c r="D4826" s="6" t="str">
        <f>IF(OR(D4825=1,C4826=1),1,0)</f>
      </c>
      <c r="E4826" s="6" t="str">
        <f>IF(C4826=1,0,IF(D4825=1,E4825+1,0))</f>
      </c>
      <c r="F4826" s="6" t="str">
        <f>IF(AND(C4826=1,D4825=1),MIN(E4825,3),"")</f>
      </c>
    </row>
    <row r="4827">
      <c r="A4827" s="5">
        <v>1789</v>
      </c>
      <c r="B4827" s="5" t="str">
        <f>'Lineal Mixto'!$C$1793</f>
      </c>
      <c r="C4827" s="5" t="str">
        <f>IF(AND(B4827&gt;=$B$3034,B4827&lt;=$B$3035),1,0)</f>
      </c>
      <c r="D4827" s="5" t="str">
        <f>IF(OR(D4826=1,C4827=1),1,0)</f>
      </c>
      <c r="E4827" s="5" t="str">
        <f>IF(C4827=1,0,IF(D4826=1,E4826+1,0))</f>
      </c>
      <c r="F4827" s="5" t="str">
        <f>IF(AND(C4827=1,D4826=1),MIN(E4826,3),"")</f>
      </c>
    </row>
    <row r="4828">
      <c r="A4828" s="6">
        <v>1790</v>
      </c>
      <c r="B4828" s="6" t="str">
        <f>'Lineal Mixto'!$C$1794</f>
      </c>
      <c r="C4828" s="6" t="str">
        <f>IF(AND(B4828&gt;=$B$3034,B4828&lt;=$B$3035),1,0)</f>
      </c>
      <c r="D4828" s="6" t="str">
        <f>IF(OR(D4827=1,C4828=1),1,0)</f>
      </c>
      <c r="E4828" s="6" t="str">
        <f>IF(C4828=1,0,IF(D4827=1,E4827+1,0))</f>
      </c>
      <c r="F4828" s="6" t="str">
        <f>IF(AND(C4828=1,D4827=1),MIN(E4827,3),"")</f>
      </c>
    </row>
    <row r="4829">
      <c r="A4829" s="5">
        <v>1791</v>
      </c>
      <c r="B4829" s="5" t="str">
        <f>'Lineal Mixto'!$C$1795</f>
      </c>
      <c r="C4829" s="5" t="str">
        <f>IF(AND(B4829&gt;=$B$3034,B4829&lt;=$B$3035),1,0)</f>
      </c>
      <c r="D4829" s="5" t="str">
        <f>IF(OR(D4828=1,C4829=1),1,0)</f>
      </c>
      <c r="E4829" s="5" t="str">
        <f>IF(C4829=1,0,IF(D4828=1,E4828+1,0))</f>
      </c>
      <c r="F4829" s="5" t="str">
        <f>IF(AND(C4829=1,D4828=1),MIN(E4828,3),"")</f>
      </c>
    </row>
    <row r="4830">
      <c r="A4830" s="6">
        <v>1792</v>
      </c>
      <c r="B4830" s="6" t="str">
        <f>'Lineal Mixto'!$C$1796</f>
      </c>
      <c r="C4830" s="6" t="str">
        <f>IF(AND(B4830&gt;=$B$3034,B4830&lt;=$B$3035),1,0)</f>
      </c>
      <c r="D4830" s="6" t="str">
        <f>IF(OR(D4829=1,C4830=1),1,0)</f>
      </c>
      <c r="E4830" s="6" t="str">
        <f>IF(C4830=1,0,IF(D4829=1,E4829+1,0))</f>
      </c>
      <c r="F4830" s="6" t="str">
        <f>IF(AND(C4830=1,D4829=1),MIN(E4829,3),"")</f>
      </c>
    </row>
    <row r="4831">
      <c r="A4831" s="5">
        <v>1793</v>
      </c>
      <c r="B4831" s="5" t="str">
        <f>'Lineal Mixto'!$C$1797</f>
      </c>
      <c r="C4831" s="5" t="str">
        <f>IF(AND(B4831&gt;=$B$3034,B4831&lt;=$B$3035),1,0)</f>
      </c>
      <c r="D4831" s="5" t="str">
        <f>IF(OR(D4830=1,C4831=1),1,0)</f>
      </c>
      <c r="E4831" s="5" t="str">
        <f>IF(C4831=1,0,IF(D4830=1,E4830+1,0))</f>
      </c>
      <c r="F4831" s="5" t="str">
        <f>IF(AND(C4831=1,D4830=1),MIN(E4830,3),"")</f>
      </c>
    </row>
    <row r="4832">
      <c r="A4832" s="6">
        <v>1794</v>
      </c>
      <c r="B4832" s="6" t="str">
        <f>'Lineal Mixto'!$C$1798</f>
      </c>
      <c r="C4832" s="6" t="str">
        <f>IF(AND(B4832&gt;=$B$3034,B4832&lt;=$B$3035),1,0)</f>
      </c>
      <c r="D4832" s="6" t="str">
        <f>IF(OR(D4831=1,C4832=1),1,0)</f>
      </c>
      <c r="E4832" s="6" t="str">
        <f>IF(C4832=1,0,IF(D4831=1,E4831+1,0))</f>
      </c>
      <c r="F4832" s="6" t="str">
        <f>IF(AND(C4832=1,D4831=1),MIN(E4831,3),"")</f>
      </c>
    </row>
    <row r="4833">
      <c r="A4833" s="5">
        <v>1795</v>
      </c>
      <c r="B4833" s="5" t="str">
        <f>'Lineal Mixto'!$C$1799</f>
      </c>
      <c r="C4833" s="5" t="str">
        <f>IF(AND(B4833&gt;=$B$3034,B4833&lt;=$B$3035),1,0)</f>
      </c>
      <c r="D4833" s="5" t="str">
        <f>IF(OR(D4832=1,C4833=1),1,0)</f>
      </c>
      <c r="E4833" s="5" t="str">
        <f>IF(C4833=1,0,IF(D4832=1,E4832+1,0))</f>
      </c>
      <c r="F4833" s="5" t="str">
        <f>IF(AND(C4833=1,D4832=1),MIN(E4832,3),"")</f>
      </c>
    </row>
    <row r="4834">
      <c r="A4834" s="6">
        <v>1796</v>
      </c>
      <c r="B4834" s="6" t="str">
        <f>'Lineal Mixto'!$C$1800</f>
      </c>
      <c r="C4834" s="6" t="str">
        <f>IF(AND(B4834&gt;=$B$3034,B4834&lt;=$B$3035),1,0)</f>
      </c>
      <c r="D4834" s="6" t="str">
        <f>IF(OR(D4833=1,C4834=1),1,0)</f>
      </c>
      <c r="E4834" s="6" t="str">
        <f>IF(C4834=1,0,IF(D4833=1,E4833+1,0))</f>
      </c>
      <c r="F4834" s="6" t="str">
        <f>IF(AND(C4834=1,D4833=1),MIN(E4833,3),"")</f>
      </c>
    </row>
    <row r="4835">
      <c r="A4835" s="5">
        <v>1797</v>
      </c>
      <c r="B4835" s="5" t="str">
        <f>'Lineal Mixto'!$C$1801</f>
      </c>
      <c r="C4835" s="5" t="str">
        <f>IF(AND(B4835&gt;=$B$3034,B4835&lt;=$B$3035),1,0)</f>
      </c>
      <c r="D4835" s="5" t="str">
        <f>IF(OR(D4834=1,C4835=1),1,0)</f>
      </c>
      <c r="E4835" s="5" t="str">
        <f>IF(C4835=1,0,IF(D4834=1,E4834+1,0))</f>
      </c>
      <c r="F4835" s="5" t="str">
        <f>IF(AND(C4835=1,D4834=1),MIN(E4834,3),"")</f>
      </c>
    </row>
    <row r="4836">
      <c r="A4836" s="6">
        <v>1798</v>
      </c>
      <c r="B4836" s="6" t="str">
        <f>'Lineal Mixto'!$C$1802</f>
      </c>
      <c r="C4836" s="6" t="str">
        <f>IF(AND(B4836&gt;=$B$3034,B4836&lt;=$B$3035),1,0)</f>
      </c>
      <c r="D4836" s="6" t="str">
        <f>IF(OR(D4835=1,C4836=1),1,0)</f>
      </c>
      <c r="E4836" s="6" t="str">
        <f>IF(C4836=1,0,IF(D4835=1,E4835+1,0))</f>
      </c>
      <c r="F4836" s="6" t="str">
        <f>IF(AND(C4836=1,D4835=1),MIN(E4835,3),"")</f>
      </c>
    </row>
    <row r="4837">
      <c r="A4837" s="5">
        <v>1799</v>
      </c>
      <c r="B4837" s="5" t="str">
        <f>'Lineal Mixto'!$C$1803</f>
      </c>
      <c r="C4837" s="5" t="str">
        <f>IF(AND(B4837&gt;=$B$3034,B4837&lt;=$B$3035),1,0)</f>
      </c>
      <c r="D4837" s="5" t="str">
        <f>IF(OR(D4836=1,C4837=1),1,0)</f>
      </c>
      <c r="E4837" s="5" t="str">
        <f>IF(C4837=1,0,IF(D4836=1,E4836+1,0))</f>
      </c>
      <c r="F4837" s="5" t="str">
        <f>IF(AND(C4837=1,D4836=1),MIN(E4836,3),"")</f>
      </c>
    </row>
    <row r="4838">
      <c r="A4838" s="6">
        <v>1800</v>
      </c>
      <c r="B4838" s="6" t="str">
        <f>'Lineal Mixto'!$C$1804</f>
      </c>
      <c r="C4838" s="6" t="str">
        <f>IF(AND(B4838&gt;=$B$3034,B4838&lt;=$B$3035),1,0)</f>
      </c>
      <c r="D4838" s="6" t="str">
        <f>IF(OR(D4837=1,C4838=1),1,0)</f>
      </c>
      <c r="E4838" s="6" t="str">
        <f>IF(C4838=1,0,IF(D4837=1,E4837+1,0))</f>
      </c>
      <c r="F4838" s="6" t="str">
        <f>IF(AND(C4838=1,D4837=1),MIN(E4837,3),"")</f>
      </c>
    </row>
    <row r="4839">
      <c r="A4839" s="5">
        <v>1801</v>
      </c>
      <c r="B4839" s="5" t="str">
        <f>'Lineal Mixto'!$C$1805</f>
      </c>
      <c r="C4839" s="5" t="str">
        <f>IF(AND(B4839&gt;=$B$3034,B4839&lt;=$B$3035),1,0)</f>
      </c>
      <c r="D4839" s="5" t="str">
        <f>IF(OR(D4838=1,C4839=1),1,0)</f>
      </c>
      <c r="E4839" s="5" t="str">
        <f>IF(C4839=1,0,IF(D4838=1,E4838+1,0))</f>
      </c>
      <c r="F4839" s="5" t="str">
        <f>IF(AND(C4839=1,D4838=1),MIN(E4838,3),"")</f>
      </c>
    </row>
    <row r="4840">
      <c r="A4840" s="6">
        <v>1802</v>
      </c>
      <c r="B4840" s="6" t="str">
        <f>'Lineal Mixto'!$C$1806</f>
      </c>
      <c r="C4840" s="6" t="str">
        <f>IF(AND(B4840&gt;=$B$3034,B4840&lt;=$B$3035),1,0)</f>
      </c>
      <c r="D4840" s="6" t="str">
        <f>IF(OR(D4839=1,C4840=1),1,0)</f>
      </c>
      <c r="E4840" s="6" t="str">
        <f>IF(C4840=1,0,IF(D4839=1,E4839+1,0))</f>
      </c>
      <c r="F4840" s="6" t="str">
        <f>IF(AND(C4840=1,D4839=1),MIN(E4839,3),"")</f>
      </c>
    </row>
    <row r="4841">
      <c r="A4841" s="5">
        <v>1803</v>
      </c>
      <c r="B4841" s="5" t="str">
        <f>'Lineal Mixto'!$C$1807</f>
      </c>
      <c r="C4841" s="5" t="str">
        <f>IF(AND(B4841&gt;=$B$3034,B4841&lt;=$B$3035),1,0)</f>
      </c>
      <c r="D4841" s="5" t="str">
        <f>IF(OR(D4840=1,C4841=1),1,0)</f>
      </c>
      <c r="E4841" s="5" t="str">
        <f>IF(C4841=1,0,IF(D4840=1,E4840+1,0))</f>
      </c>
      <c r="F4841" s="5" t="str">
        <f>IF(AND(C4841=1,D4840=1),MIN(E4840,3),"")</f>
      </c>
    </row>
    <row r="4842">
      <c r="A4842" s="6">
        <v>1804</v>
      </c>
      <c r="B4842" s="6" t="str">
        <f>'Lineal Mixto'!$C$1808</f>
      </c>
      <c r="C4842" s="6" t="str">
        <f>IF(AND(B4842&gt;=$B$3034,B4842&lt;=$B$3035),1,0)</f>
      </c>
      <c r="D4842" s="6" t="str">
        <f>IF(OR(D4841=1,C4842=1),1,0)</f>
      </c>
      <c r="E4842" s="6" t="str">
        <f>IF(C4842=1,0,IF(D4841=1,E4841+1,0))</f>
      </c>
      <c r="F4842" s="6" t="str">
        <f>IF(AND(C4842=1,D4841=1),MIN(E4841,3),"")</f>
      </c>
    </row>
    <row r="4843">
      <c r="A4843" s="5">
        <v>1805</v>
      </c>
      <c r="B4843" s="5" t="str">
        <f>'Lineal Mixto'!$C$1809</f>
      </c>
      <c r="C4843" s="5" t="str">
        <f>IF(AND(B4843&gt;=$B$3034,B4843&lt;=$B$3035),1,0)</f>
      </c>
      <c r="D4843" s="5" t="str">
        <f>IF(OR(D4842=1,C4843=1),1,0)</f>
      </c>
      <c r="E4843" s="5" t="str">
        <f>IF(C4843=1,0,IF(D4842=1,E4842+1,0))</f>
      </c>
      <c r="F4843" s="5" t="str">
        <f>IF(AND(C4843=1,D4842=1),MIN(E4842,3),"")</f>
      </c>
    </row>
    <row r="4844">
      <c r="A4844" s="6">
        <v>1806</v>
      </c>
      <c r="B4844" s="6" t="str">
        <f>'Lineal Mixto'!$C$1810</f>
      </c>
      <c r="C4844" s="6" t="str">
        <f>IF(AND(B4844&gt;=$B$3034,B4844&lt;=$B$3035),1,0)</f>
      </c>
      <c r="D4844" s="6" t="str">
        <f>IF(OR(D4843=1,C4844=1),1,0)</f>
      </c>
      <c r="E4844" s="6" t="str">
        <f>IF(C4844=1,0,IF(D4843=1,E4843+1,0))</f>
      </c>
      <c r="F4844" s="6" t="str">
        <f>IF(AND(C4844=1,D4843=1),MIN(E4843,3),"")</f>
      </c>
    </row>
    <row r="4845">
      <c r="A4845" s="5">
        <v>1807</v>
      </c>
      <c r="B4845" s="5" t="str">
        <f>'Lineal Mixto'!$C$1811</f>
      </c>
      <c r="C4845" s="5" t="str">
        <f>IF(AND(B4845&gt;=$B$3034,B4845&lt;=$B$3035),1,0)</f>
      </c>
      <c r="D4845" s="5" t="str">
        <f>IF(OR(D4844=1,C4845=1),1,0)</f>
      </c>
      <c r="E4845" s="5" t="str">
        <f>IF(C4845=1,0,IF(D4844=1,E4844+1,0))</f>
      </c>
      <c r="F4845" s="5" t="str">
        <f>IF(AND(C4845=1,D4844=1),MIN(E4844,3),"")</f>
      </c>
    </row>
    <row r="4846">
      <c r="A4846" s="6">
        <v>1808</v>
      </c>
      <c r="B4846" s="6" t="str">
        <f>'Lineal Mixto'!$C$1812</f>
      </c>
      <c r="C4846" s="6" t="str">
        <f>IF(AND(B4846&gt;=$B$3034,B4846&lt;=$B$3035),1,0)</f>
      </c>
      <c r="D4846" s="6" t="str">
        <f>IF(OR(D4845=1,C4846=1),1,0)</f>
      </c>
      <c r="E4846" s="6" t="str">
        <f>IF(C4846=1,0,IF(D4845=1,E4845+1,0))</f>
      </c>
      <c r="F4846" s="6" t="str">
        <f>IF(AND(C4846=1,D4845=1),MIN(E4845,3),"")</f>
      </c>
    </row>
    <row r="4847">
      <c r="A4847" s="5">
        <v>1809</v>
      </c>
      <c r="B4847" s="5" t="str">
        <f>'Lineal Mixto'!$C$1813</f>
      </c>
      <c r="C4847" s="5" t="str">
        <f>IF(AND(B4847&gt;=$B$3034,B4847&lt;=$B$3035),1,0)</f>
      </c>
      <c r="D4847" s="5" t="str">
        <f>IF(OR(D4846=1,C4847=1),1,0)</f>
      </c>
      <c r="E4847" s="5" t="str">
        <f>IF(C4847=1,0,IF(D4846=1,E4846+1,0))</f>
      </c>
      <c r="F4847" s="5" t="str">
        <f>IF(AND(C4847=1,D4846=1),MIN(E4846,3),"")</f>
      </c>
    </row>
    <row r="4848">
      <c r="A4848" s="6">
        <v>1810</v>
      </c>
      <c r="B4848" s="6" t="str">
        <f>'Lineal Mixto'!$C$1814</f>
      </c>
      <c r="C4848" s="6" t="str">
        <f>IF(AND(B4848&gt;=$B$3034,B4848&lt;=$B$3035),1,0)</f>
      </c>
      <c r="D4848" s="6" t="str">
        <f>IF(OR(D4847=1,C4848=1),1,0)</f>
      </c>
      <c r="E4848" s="6" t="str">
        <f>IF(C4848=1,0,IF(D4847=1,E4847+1,0))</f>
      </c>
      <c r="F4848" s="6" t="str">
        <f>IF(AND(C4848=1,D4847=1),MIN(E4847,3),"")</f>
      </c>
    </row>
    <row r="4849">
      <c r="A4849" s="5">
        <v>1811</v>
      </c>
      <c r="B4849" s="5" t="str">
        <f>'Lineal Mixto'!$C$1815</f>
      </c>
      <c r="C4849" s="5" t="str">
        <f>IF(AND(B4849&gt;=$B$3034,B4849&lt;=$B$3035),1,0)</f>
      </c>
      <c r="D4849" s="5" t="str">
        <f>IF(OR(D4848=1,C4849=1),1,0)</f>
      </c>
      <c r="E4849" s="5" t="str">
        <f>IF(C4849=1,0,IF(D4848=1,E4848+1,0))</f>
      </c>
      <c r="F4849" s="5" t="str">
        <f>IF(AND(C4849=1,D4848=1),MIN(E4848,3),"")</f>
      </c>
    </row>
    <row r="4850">
      <c r="A4850" s="6">
        <v>1812</v>
      </c>
      <c r="B4850" s="6" t="str">
        <f>'Lineal Mixto'!$C$1816</f>
      </c>
      <c r="C4850" s="6" t="str">
        <f>IF(AND(B4850&gt;=$B$3034,B4850&lt;=$B$3035),1,0)</f>
      </c>
      <c r="D4850" s="6" t="str">
        <f>IF(OR(D4849=1,C4850=1),1,0)</f>
      </c>
      <c r="E4850" s="6" t="str">
        <f>IF(C4850=1,0,IF(D4849=1,E4849+1,0))</f>
      </c>
      <c r="F4850" s="6" t="str">
        <f>IF(AND(C4850=1,D4849=1),MIN(E4849,3),"")</f>
      </c>
    </row>
    <row r="4851">
      <c r="A4851" s="5">
        <v>1813</v>
      </c>
      <c r="B4851" s="5" t="str">
        <f>'Lineal Mixto'!$C$1817</f>
      </c>
      <c r="C4851" s="5" t="str">
        <f>IF(AND(B4851&gt;=$B$3034,B4851&lt;=$B$3035),1,0)</f>
      </c>
      <c r="D4851" s="5" t="str">
        <f>IF(OR(D4850=1,C4851=1),1,0)</f>
      </c>
      <c r="E4851" s="5" t="str">
        <f>IF(C4851=1,0,IF(D4850=1,E4850+1,0))</f>
      </c>
      <c r="F4851" s="5" t="str">
        <f>IF(AND(C4851=1,D4850=1),MIN(E4850,3),"")</f>
      </c>
    </row>
    <row r="4852">
      <c r="A4852" s="6">
        <v>1814</v>
      </c>
      <c r="B4852" s="6" t="str">
        <f>'Lineal Mixto'!$C$1818</f>
      </c>
      <c r="C4852" s="6" t="str">
        <f>IF(AND(B4852&gt;=$B$3034,B4852&lt;=$B$3035),1,0)</f>
      </c>
      <c r="D4852" s="6" t="str">
        <f>IF(OR(D4851=1,C4852=1),1,0)</f>
      </c>
      <c r="E4852" s="6" t="str">
        <f>IF(C4852=1,0,IF(D4851=1,E4851+1,0))</f>
      </c>
      <c r="F4852" s="6" t="str">
        <f>IF(AND(C4852=1,D4851=1),MIN(E4851,3),"")</f>
      </c>
    </row>
    <row r="4853">
      <c r="A4853" s="5">
        <v>1815</v>
      </c>
      <c r="B4853" s="5" t="str">
        <f>'Lineal Mixto'!$C$1819</f>
      </c>
      <c r="C4853" s="5" t="str">
        <f>IF(AND(B4853&gt;=$B$3034,B4853&lt;=$B$3035),1,0)</f>
      </c>
      <c r="D4853" s="5" t="str">
        <f>IF(OR(D4852=1,C4853=1),1,0)</f>
      </c>
      <c r="E4853" s="5" t="str">
        <f>IF(C4853=1,0,IF(D4852=1,E4852+1,0))</f>
      </c>
      <c r="F4853" s="5" t="str">
        <f>IF(AND(C4853=1,D4852=1),MIN(E4852,3),"")</f>
      </c>
    </row>
    <row r="4854">
      <c r="A4854" s="6">
        <v>1816</v>
      </c>
      <c r="B4854" s="6" t="str">
        <f>'Lineal Mixto'!$C$1820</f>
      </c>
      <c r="C4854" s="6" t="str">
        <f>IF(AND(B4854&gt;=$B$3034,B4854&lt;=$B$3035),1,0)</f>
      </c>
      <c r="D4854" s="6" t="str">
        <f>IF(OR(D4853=1,C4854=1),1,0)</f>
      </c>
      <c r="E4854" s="6" t="str">
        <f>IF(C4854=1,0,IF(D4853=1,E4853+1,0))</f>
      </c>
      <c r="F4854" s="6" t="str">
        <f>IF(AND(C4854=1,D4853=1),MIN(E4853,3),"")</f>
      </c>
    </row>
    <row r="4855">
      <c r="A4855" s="5">
        <v>1817</v>
      </c>
      <c r="B4855" s="5" t="str">
        <f>'Lineal Mixto'!$C$1821</f>
      </c>
      <c r="C4855" s="5" t="str">
        <f>IF(AND(B4855&gt;=$B$3034,B4855&lt;=$B$3035),1,0)</f>
      </c>
      <c r="D4855" s="5" t="str">
        <f>IF(OR(D4854=1,C4855=1),1,0)</f>
      </c>
      <c r="E4855" s="5" t="str">
        <f>IF(C4855=1,0,IF(D4854=1,E4854+1,0))</f>
      </c>
      <c r="F4855" s="5" t="str">
        <f>IF(AND(C4855=1,D4854=1),MIN(E4854,3),"")</f>
      </c>
    </row>
    <row r="4856">
      <c r="A4856" s="6">
        <v>1818</v>
      </c>
      <c r="B4856" s="6" t="str">
        <f>'Lineal Mixto'!$C$1822</f>
      </c>
      <c r="C4856" s="6" t="str">
        <f>IF(AND(B4856&gt;=$B$3034,B4856&lt;=$B$3035),1,0)</f>
      </c>
      <c r="D4856" s="6" t="str">
        <f>IF(OR(D4855=1,C4856=1),1,0)</f>
      </c>
      <c r="E4856" s="6" t="str">
        <f>IF(C4856=1,0,IF(D4855=1,E4855+1,0))</f>
      </c>
      <c r="F4856" s="6" t="str">
        <f>IF(AND(C4856=1,D4855=1),MIN(E4855,3),"")</f>
      </c>
    </row>
    <row r="4857">
      <c r="A4857" s="5">
        <v>1819</v>
      </c>
      <c r="B4857" s="5" t="str">
        <f>'Lineal Mixto'!$C$1823</f>
      </c>
      <c r="C4857" s="5" t="str">
        <f>IF(AND(B4857&gt;=$B$3034,B4857&lt;=$B$3035),1,0)</f>
      </c>
      <c r="D4857" s="5" t="str">
        <f>IF(OR(D4856=1,C4857=1),1,0)</f>
      </c>
      <c r="E4857" s="5" t="str">
        <f>IF(C4857=1,0,IF(D4856=1,E4856+1,0))</f>
      </c>
      <c r="F4857" s="5" t="str">
        <f>IF(AND(C4857=1,D4856=1),MIN(E4856,3),"")</f>
      </c>
    </row>
    <row r="4858">
      <c r="A4858" s="6">
        <v>1820</v>
      </c>
      <c r="B4858" s="6" t="str">
        <f>'Lineal Mixto'!$C$1824</f>
      </c>
      <c r="C4858" s="6" t="str">
        <f>IF(AND(B4858&gt;=$B$3034,B4858&lt;=$B$3035),1,0)</f>
      </c>
      <c r="D4858" s="6" t="str">
        <f>IF(OR(D4857=1,C4858=1),1,0)</f>
      </c>
      <c r="E4858" s="6" t="str">
        <f>IF(C4858=1,0,IF(D4857=1,E4857+1,0))</f>
      </c>
      <c r="F4858" s="6" t="str">
        <f>IF(AND(C4858=1,D4857=1),MIN(E4857,3),"")</f>
      </c>
    </row>
    <row r="4859">
      <c r="A4859" s="5">
        <v>1821</v>
      </c>
      <c r="B4859" s="5" t="str">
        <f>'Lineal Mixto'!$C$1825</f>
      </c>
      <c r="C4859" s="5" t="str">
        <f>IF(AND(B4859&gt;=$B$3034,B4859&lt;=$B$3035),1,0)</f>
      </c>
      <c r="D4859" s="5" t="str">
        <f>IF(OR(D4858=1,C4859=1),1,0)</f>
      </c>
      <c r="E4859" s="5" t="str">
        <f>IF(C4859=1,0,IF(D4858=1,E4858+1,0))</f>
      </c>
      <c r="F4859" s="5" t="str">
        <f>IF(AND(C4859=1,D4858=1),MIN(E4858,3),"")</f>
      </c>
    </row>
    <row r="4860">
      <c r="A4860" s="6">
        <v>1822</v>
      </c>
      <c r="B4860" s="6" t="str">
        <f>'Lineal Mixto'!$C$1826</f>
      </c>
      <c r="C4860" s="6" t="str">
        <f>IF(AND(B4860&gt;=$B$3034,B4860&lt;=$B$3035),1,0)</f>
      </c>
      <c r="D4860" s="6" t="str">
        <f>IF(OR(D4859=1,C4860=1),1,0)</f>
      </c>
      <c r="E4860" s="6" t="str">
        <f>IF(C4860=1,0,IF(D4859=1,E4859+1,0))</f>
      </c>
      <c r="F4860" s="6" t="str">
        <f>IF(AND(C4860=1,D4859=1),MIN(E4859,3),"")</f>
      </c>
    </row>
    <row r="4861">
      <c r="A4861" s="5">
        <v>1823</v>
      </c>
      <c r="B4861" s="5" t="str">
        <f>'Lineal Mixto'!$C$1827</f>
      </c>
      <c r="C4861" s="5" t="str">
        <f>IF(AND(B4861&gt;=$B$3034,B4861&lt;=$B$3035),1,0)</f>
      </c>
      <c r="D4861" s="5" t="str">
        <f>IF(OR(D4860=1,C4861=1),1,0)</f>
      </c>
      <c r="E4861" s="5" t="str">
        <f>IF(C4861=1,0,IF(D4860=1,E4860+1,0))</f>
      </c>
      <c r="F4861" s="5" t="str">
        <f>IF(AND(C4861=1,D4860=1),MIN(E4860,3),"")</f>
      </c>
    </row>
    <row r="4862">
      <c r="A4862" s="6">
        <v>1824</v>
      </c>
      <c r="B4862" s="6" t="str">
        <f>'Lineal Mixto'!$C$1828</f>
      </c>
      <c r="C4862" s="6" t="str">
        <f>IF(AND(B4862&gt;=$B$3034,B4862&lt;=$B$3035),1,0)</f>
      </c>
      <c r="D4862" s="6" t="str">
        <f>IF(OR(D4861=1,C4862=1),1,0)</f>
      </c>
      <c r="E4862" s="6" t="str">
        <f>IF(C4862=1,0,IF(D4861=1,E4861+1,0))</f>
      </c>
      <c r="F4862" s="6" t="str">
        <f>IF(AND(C4862=1,D4861=1),MIN(E4861,3),"")</f>
      </c>
    </row>
    <row r="4863">
      <c r="A4863" s="5">
        <v>1825</v>
      </c>
      <c r="B4863" s="5" t="str">
        <f>'Lineal Mixto'!$C$1829</f>
      </c>
      <c r="C4863" s="5" t="str">
        <f>IF(AND(B4863&gt;=$B$3034,B4863&lt;=$B$3035),1,0)</f>
      </c>
      <c r="D4863" s="5" t="str">
        <f>IF(OR(D4862=1,C4863=1),1,0)</f>
      </c>
      <c r="E4863" s="5" t="str">
        <f>IF(C4863=1,0,IF(D4862=1,E4862+1,0))</f>
      </c>
      <c r="F4863" s="5" t="str">
        <f>IF(AND(C4863=1,D4862=1),MIN(E4862,3),"")</f>
      </c>
    </row>
    <row r="4864">
      <c r="A4864" s="6">
        <v>1826</v>
      </c>
      <c r="B4864" s="6" t="str">
        <f>'Lineal Mixto'!$C$1830</f>
      </c>
      <c r="C4864" s="6" t="str">
        <f>IF(AND(B4864&gt;=$B$3034,B4864&lt;=$B$3035),1,0)</f>
      </c>
      <c r="D4864" s="6" t="str">
        <f>IF(OR(D4863=1,C4864=1),1,0)</f>
      </c>
      <c r="E4864" s="6" t="str">
        <f>IF(C4864=1,0,IF(D4863=1,E4863+1,0))</f>
      </c>
      <c r="F4864" s="6" t="str">
        <f>IF(AND(C4864=1,D4863=1),MIN(E4863,3),"")</f>
      </c>
    </row>
    <row r="4865">
      <c r="A4865" s="5">
        <v>1827</v>
      </c>
      <c r="B4865" s="5" t="str">
        <f>'Lineal Mixto'!$C$1831</f>
      </c>
      <c r="C4865" s="5" t="str">
        <f>IF(AND(B4865&gt;=$B$3034,B4865&lt;=$B$3035),1,0)</f>
      </c>
      <c r="D4865" s="5" t="str">
        <f>IF(OR(D4864=1,C4865=1),1,0)</f>
      </c>
      <c r="E4865" s="5" t="str">
        <f>IF(C4865=1,0,IF(D4864=1,E4864+1,0))</f>
      </c>
      <c r="F4865" s="5" t="str">
        <f>IF(AND(C4865=1,D4864=1),MIN(E4864,3),"")</f>
      </c>
    </row>
    <row r="4866">
      <c r="A4866" s="6">
        <v>1828</v>
      </c>
      <c r="B4866" s="6" t="str">
        <f>'Lineal Mixto'!$C$1832</f>
      </c>
      <c r="C4866" s="6" t="str">
        <f>IF(AND(B4866&gt;=$B$3034,B4866&lt;=$B$3035),1,0)</f>
      </c>
      <c r="D4866" s="6" t="str">
        <f>IF(OR(D4865=1,C4866=1),1,0)</f>
      </c>
      <c r="E4866" s="6" t="str">
        <f>IF(C4866=1,0,IF(D4865=1,E4865+1,0))</f>
      </c>
      <c r="F4866" s="6" t="str">
        <f>IF(AND(C4866=1,D4865=1),MIN(E4865,3),"")</f>
      </c>
    </row>
    <row r="4867">
      <c r="A4867" s="5">
        <v>1829</v>
      </c>
      <c r="B4867" s="5" t="str">
        <f>'Lineal Mixto'!$C$1833</f>
      </c>
      <c r="C4867" s="5" t="str">
        <f>IF(AND(B4867&gt;=$B$3034,B4867&lt;=$B$3035),1,0)</f>
      </c>
      <c r="D4867" s="5" t="str">
        <f>IF(OR(D4866=1,C4867=1),1,0)</f>
      </c>
      <c r="E4867" s="5" t="str">
        <f>IF(C4867=1,0,IF(D4866=1,E4866+1,0))</f>
      </c>
      <c r="F4867" s="5" t="str">
        <f>IF(AND(C4867=1,D4866=1),MIN(E4866,3),"")</f>
      </c>
    </row>
    <row r="4868">
      <c r="A4868" s="6">
        <v>1830</v>
      </c>
      <c r="B4868" s="6" t="str">
        <f>'Lineal Mixto'!$C$1834</f>
      </c>
      <c r="C4868" s="6" t="str">
        <f>IF(AND(B4868&gt;=$B$3034,B4868&lt;=$B$3035),1,0)</f>
      </c>
      <c r="D4868" s="6" t="str">
        <f>IF(OR(D4867=1,C4868=1),1,0)</f>
      </c>
      <c r="E4868" s="6" t="str">
        <f>IF(C4868=1,0,IF(D4867=1,E4867+1,0))</f>
      </c>
      <c r="F4868" s="6" t="str">
        <f>IF(AND(C4868=1,D4867=1),MIN(E4867,3),"")</f>
      </c>
    </row>
    <row r="4869">
      <c r="A4869" s="5">
        <v>1831</v>
      </c>
      <c r="B4869" s="5" t="str">
        <f>'Lineal Mixto'!$C$1835</f>
      </c>
      <c r="C4869" s="5" t="str">
        <f>IF(AND(B4869&gt;=$B$3034,B4869&lt;=$B$3035),1,0)</f>
      </c>
      <c r="D4869" s="5" t="str">
        <f>IF(OR(D4868=1,C4869=1),1,0)</f>
      </c>
      <c r="E4869" s="5" t="str">
        <f>IF(C4869=1,0,IF(D4868=1,E4868+1,0))</f>
      </c>
      <c r="F4869" s="5" t="str">
        <f>IF(AND(C4869=1,D4868=1),MIN(E4868,3),"")</f>
      </c>
    </row>
    <row r="4870">
      <c r="A4870" s="6">
        <v>1832</v>
      </c>
      <c r="B4870" s="6" t="str">
        <f>'Lineal Mixto'!$C$1836</f>
      </c>
      <c r="C4870" s="6" t="str">
        <f>IF(AND(B4870&gt;=$B$3034,B4870&lt;=$B$3035),1,0)</f>
      </c>
      <c r="D4870" s="6" t="str">
        <f>IF(OR(D4869=1,C4870=1),1,0)</f>
      </c>
      <c r="E4870" s="6" t="str">
        <f>IF(C4870=1,0,IF(D4869=1,E4869+1,0))</f>
      </c>
      <c r="F4870" s="6" t="str">
        <f>IF(AND(C4870=1,D4869=1),MIN(E4869,3),"")</f>
      </c>
    </row>
    <row r="4871">
      <c r="A4871" s="5">
        <v>1833</v>
      </c>
      <c r="B4871" s="5" t="str">
        <f>'Lineal Mixto'!$C$1837</f>
      </c>
      <c r="C4871" s="5" t="str">
        <f>IF(AND(B4871&gt;=$B$3034,B4871&lt;=$B$3035),1,0)</f>
      </c>
      <c r="D4871" s="5" t="str">
        <f>IF(OR(D4870=1,C4871=1),1,0)</f>
      </c>
      <c r="E4871" s="5" t="str">
        <f>IF(C4871=1,0,IF(D4870=1,E4870+1,0))</f>
      </c>
      <c r="F4871" s="5" t="str">
        <f>IF(AND(C4871=1,D4870=1),MIN(E4870,3),"")</f>
      </c>
    </row>
    <row r="4872">
      <c r="A4872" s="6">
        <v>1834</v>
      </c>
      <c r="B4872" s="6" t="str">
        <f>'Lineal Mixto'!$C$1838</f>
      </c>
      <c r="C4872" s="6" t="str">
        <f>IF(AND(B4872&gt;=$B$3034,B4872&lt;=$B$3035),1,0)</f>
      </c>
      <c r="D4872" s="6" t="str">
        <f>IF(OR(D4871=1,C4872=1),1,0)</f>
      </c>
      <c r="E4872" s="6" t="str">
        <f>IF(C4872=1,0,IF(D4871=1,E4871+1,0))</f>
      </c>
      <c r="F4872" s="6" t="str">
        <f>IF(AND(C4872=1,D4871=1),MIN(E4871,3),"")</f>
      </c>
    </row>
    <row r="4873">
      <c r="A4873" s="5">
        <v>1835</v>
      </c>
      <c r="B4873" s="5" t="str">
        <f>'Lineal Mixto'!$C$1839</f>
      </c>
      <c r="C4873" s="5" t="str">
        <f>IF(AND(B4873&gt;=$B$3034,B4873&lt;=$B$3035),1,0)</f>
      </c>
      <c r="D4873" s="5" t="str">
        <f>IF(OR(D4872=1,C4873=1),1,0)</f>
      </c>
      <c r="E4873" s="5" t="str">
        <f>IF(C4873=1,0,IF(D4872=1,E4872+1,0))</f>
      </c>
      <c r="F4873" s="5" t="str">
        <f>IF(AND(C4873=1,D4872=1),MIN(E4872,3),"")</f>
      </c>
    </row>
    <row r="4874">
      <c r="A4874" s="6">
        <v>1836</v>
      </c>
      <c r="B4874" s="6" t="str">
        <f>'Lineal Mixto'!$C$1840</f>
      </c>
      <c r="C4874" s="6" t="str">
        <f>IF(AND(B4874&gt;=$B$3034,B4874&lt;=$B$3035),1,0)</f>
      </c>
      <c r="D4874" s="6" t="str">
        <f>IF(OR(D4873=1,C4874=1),1,0)</f>
      </c>
      <c r="E4874" s="6" t="str">
        <f>IF(C4874=1,0,IF(D4873=1,E4873+1,0))</f>
      </c>
      <c r="F4874" s="6" t="str">
        <f>IF(AND(C4874=1,D4873=1),MIN(E4873,3),"")</f>
      </c>
    </row>
    <row r="4875">
      <c r="A4875" s="5">
        <v>1837</v>
      </c>
      <c r="B4875" s="5" t="str">
        <f>'Lineal Mixto'!$C$1841</f>
      </c>
      <c r="C4875" s="5" t="str">
        <f>IF(AND(B4875&gt;=$B$3034,B4875&lt;=$B$3035),1,0)</f>
      </c>
      <c r="D4875" s="5" t="str">
        <f>IF(OR(D4874=1,C4875=1),1,0)</f>
      </c>
      <c r="E4875" s="5" t="str">
        <f>IF(C4875=1,0,IF(D4874=1,E4874+1,0))</f>
      </c>
      <c r="F4875" s="5" t="str">
        <f>IF(AND(C4875=1,D4874=1),MIN(E4874,3),"")</f>
      </c>
    </row>
    <row r="4876">
      <c r="A4876" s="6">
        <v>1838</v>
      </c>
      <c r="B4876" s="6" t="str">
        <f>'Lineal Mixto'!$C$1842</f>
      </c>
      <c r="C4876" s="6" t="str">
        <f>IF(AND(B4876&gt;=$B$3034,B4876&lt;=$B$3035),1,0)</f>
      </c>
      <c r="D4876" s="6" t="str">
        <f>IF(OR(D4875=1,C4876=1),1,0)</f>
      </c>
      <c r="E4876" s="6" t="str">
        <f>IF(C4876=1,0,IF(D4875=1,E4875+1,0))</f>
      </c>
      <c r="F4876" s="6" t="str">
        <f>IF(AND(C4876=1,D4875=1),MIN(E4875,3),"")</f>
      </c>
    </row>
    <row r="4877">
      <c r="A4877" s="5">
        <v>1839</v>
      </c>
      <c r="B4877" s="5" t="str">
        <f>'Lineal Mixto'!$C$1843</f>
      </c>
      <c r="C4877" s="5" t="str">
        <f>IF(AND(B4877&gt;=$B$3034,B4877&lt;=$B$3035),1,0)</f>
      </c>
      <c r="D4877" s="5" t="str">
        <f>IF(OR(D4876=1,C4877=1),1,0)</f>
      </c>
      <c r="E4877" s="5" t="str">
        <f>IF(C4877=1,0,IF(D4876=1,E4876+1,0))</f>
      </c>
      <c r="F4877" s="5" t="str">
        <f>IF(AND(C4877=1,D4876=1),MIN(E4876,3),"")</f>
      </c>
    </row>
    <row r="4878">
      <c r="A4878" s="6">
        <v>1840</v>
      </c>
      <c r="B4878" s="6" t="str">
        <f>'Lineal Mixto'!$C$1844</f>
      </c>
      <c r="C4878" s="6" t="str">
        <f>IF(AND(B4878&gt;=$B$3034,B4878&lt;=$B$3035),1,0)</f>
      </c>
      <c r="D4878" s="6" t="str">
        <f>IF(OR(D4877=1,C4878=1),1,0)</f>
      </c>
      <c r="E4878" s="6" t="str">
        <f>IF(C4878=1,0,IF(D4877=1,E4877+1,0))</f>
      </c>
      <c r="F4878" s="6" t="str">
        <f>IF(AND(C4878=1,D4877=1),MIN(E4877,3),"")</f>
      </c>
    </row>
    <row r="4879">
      <c r="A4879" s="5">
        <v>1841</v>
      </c>
      <c r="B4879" s="5" t="str">
        <f>'Lineal Mixto'!$C$1845</f>
      </c>
      <c r="C4879" s="5" t="str">
        <f>IF(AND(B4879&gt;=$B$3034,B4879&lt;=$B$3035),1,0)</f>
      </c>
      <c r="D4879" s="5" t="str">
        <f>IF(OR(D4878=1,C4879=1),1,0)</f>
      </c>
      <c r="E4879" s="5" t="str">
        <f>IF(C4879=1,0,IF(D4878=1,E4878+1,0))</f>
      </c>
      <c r="F4879" s="5" t="str">
        <f>IF(AND(C4879=1,D4878=1),MIN(E4878,3),"")</f>
      </c>
    </row>
    <row r="4880">
      <c r="A4880" s="6">
        <v>1842</v>
      </c>
      <c r="B4880" s="6" t="str">
        <f>'Lineal Mixto'!$C$1846</f>
      </c>
      <c r="C4880" s="6" t="str">
        <f>IF(AND(B4880&gt;=$B$3034,B4880&lt;=$B$3035),1,0)</f>
      </c>
      <c r="D4880" s="6" t="str">
        <f>IF(OR(D4879=1,C4880=1),1,0)</f>
      </c>
      <c r="E4880" s="6" t="str">
        <f>IF(C4880=1,0,IF(D4879=1,E4879+1,0))</f>
      </c>
      <c r="F4880" s="6" t="str">
        <f>IF(AND(C4880=1,D4879=1),MIN(E4879,3),"")</f>
      </c>
    </row>
    <row r="4881">
      <c r="A4881" s="5">
        <v>1843</v>
      </c>
      <c r="B4881" s="5" t="str">
        <f>'Lineal Mixto'!$C$1847</f>
      </c>
      <c r="C4881" s="5" t="str">
        <f>IF(AND(B4881&gt;=$B$3034,B4881&lt;=$B$3035),1,0)</f>
      </c>
      <c r="D4881" s="5" t="str">
        <f>IF(OR(D4880=1,C4881=1),1,0)</f>
      </c>
      <c r="E4881" s="5" t="str">
        <f>IF(C4881=1,0,IF(D4880=1,E4880+1,0))</f>
      </c>
      <c r="F4881" s="5" t="str">
        <f>IF(AND(C4881=1,D4880=1),MIN(E4880,3),"")</f>
      </c>
    </row>
    <row r="4882">
      <c r="A4882" s="6">
        <v>1844</v>
      </c>
      <c r="B4882" s="6" t="str">
        <f>'Lineal Mixto'!$C$1848</f>
      </c>
      <c r="C4882" s="6" t="str">
        <f>IF(AND(B4882&gt;=$B$3034,B4882&lt;=$B$3035),1,0)</f>
      </c>
      <c r="D4882" s="6" t="str">
        <f>IF(OR(D4881=1,C4882=1),1,0)</f>
      </c>
      <c r="E4882" s="6" t="str">
        <f>IF(C4882=1,0,IF(D4881=1,E4881+1,0))</f>
      </c>
      <c r="F4882" s="6" t="str">
        <f>IF(AND(C4882=1,D4881=1),MIN(E4881,3),"")</f>
      </c>
    </row>
    <row r="4883">
      <c r="A4883" s="5">
        <v>1845</v>
      </c>
      <c r="B4883" s="5" t="str">
        <f>'Lineal Mixto'!$C$1849</f>
      </c>
      <c r="C4883" s="5" t="str">
        <f>IF(AND(B4883&gt;=$B$3034,B4883&lt;=$B$3035),1,0)</f>
      </c>
      <c r="D4883" s="5" t="str">
        <f>IF(OR(D4882=1,C4883=1),1,0)</f>
      </c>
      <c r="E4883" s="5" t="str">
        <f>IF(C4883=1,0,IF(D4882=1,E4882+1,0))</f>
      </c>
      <c r="F4883" s="5" t="str">
        <f>IF(AND(C4883=1,D4882=1),MIN(E4882,3),"")</f>
      </c>
    </row>
    <row r="4884">
      <c r="A4884" s="6">
        <v>1846</v>
      </c>
      <c r="B4884" s="6" t="str">
        <f>'Lineal Mixto'!$C$1850</f>
      </c>
      <c r="C4884" s="6" t="str">
        <f>IF(AND(B4884&gt;=$B$3034,B4884&lt;=$B$3035),1,0)</f>
      </c>
      <c r="D4884" s="6" t="str">
        <f>IF(OR(D4883=1,C4884=1),1,0)</f>
      </c>
      <c r="E4884" s="6" t="str">
        <f>IF(C4884=1,0,IF(D4883=1,E4883+1,0))</f>
      </c>
      <c r="F4884" s="6" t="str">
        <f>IF(AND(C4884=1,D4883=1),MIN(E4883,3),"")</f>
      </c>
    </row>
    <row r="4885">
      <c r="A4885" s="5">
        <v>1847</v>
      </c>
      <c r="B4885" s="5" t="str">
        <f>'Lineal Mixto'!$C$1851</f>
      </c>
      <c r="C4885" s="5" t="str">
        <f>IF(AND(B4885&gt;=$B$3034,B4885&lt;=$B$3035),1,0)</f>
      </c>
      <c r="D4885" s="5" t="str">
        <f>IF(OR(D4884=1,C4885=1),1,0)</f>
      </c>
      <c r="E4885" s="5" t="str">
        <f>IF(C4885=1,0,IF(D4884=1,E4884+1,0))</f>
      </c>
      <c r="F4885" s="5" t="str">
        <f>IF(AND(C4885=1,D4884=1),MIN(E4884,3),"")</f>
      </c>
    </row>
    <row r="4886">
      <c r="A4886" s="6">
        <v>1848</v>
      </c>
      <c r="B4886" s="6" t="str">
        <f>'Lineal Mixto'!$C$1852</f>
      </c>
      <c r="C4886" s="6" t="str">
        <f>IF(AND(B4886&gt;=$B$3034,B4886&lt;=$B$3035),1,0)</f>
      </c>
      <c r="D4886" s="6" t="str">
        <f>IF(OR(D4885=1,C4886=1),1,0)</f>
      </c>
      <c r="E4886" s="6" t="str">
        <f>IF(C4886=1,0,IF(D4885=1,E4885+1,0))</f>
      </c>
      <c r="F4886" s="6" t="str">
        <f>IF(AND(C4886=1,D4885=1),MIN(E4885,3),"")</f>
      </c>
    </row>
    <row r="4887">
      <c r="A4887" s="5">
        <v>1849</v>
      </c>
      <c r="B4887" s="5" t="str">
        <f>'Lineal Mixto'!$C$1853</f>
      </c>
      <c r="C4887" s="5" t="str">
        <f>IF(AND(B4887&gt;=$B$3034,B4887&lt;=$B$3035),1,0)</f>
      </c>
      <c r="D4887" s="5" t="str">
        <f>IF(OR(D4886=1,C4887=1),1,0)</f>
      </c>
      <c r="E4887" s="5" t="str">
        <f>IF(C4887=1,0,IF(D4886=1,E4886+1,0))</f>
      </c>
      <c r="F4887" s="5" t="str">
        <f>IF(AND(C4887=1,D4886=1),MIN(E4886,3),"")</f>
      </c>
    </row>
    <row r="4888">
      <c r="A4888" s="6">
        <v>1850</v>
      </c>
      <c r="B4888" s="6" t="str">
        <f>'Lineal Mixto'!$C$1854</f>
      </c>
      <c r="C4888" s="6" t="str">
        <f>IF(AND(B4888&gt;=$B$3034,B4888&lt;=$B$3035),1,0)</f>
      </c>
      <c r="D4888" s="6" t="str">
        <f>IF(OR(D4887=1,C4888=1),1,0)</f>
      </c>
      <c r="E4888" s="6" t="str">
        <f>IF(C4888=1,0,IF(D4887=1,E4887+1,0))</f>
      </c>
      <c r="F4888" s="6" t="str">
        <f>IF(AND(C4888=1,D4887=1),MIN(E4887,3),"")</f>
      </c>
    </row>
    <row r="4889">
      <c r="A4889" s="5">
        <v>1851</v>
      </c>
      <c r="B4889" s="5" t="str">
        <f>'Lineal Mixto'!$C$1855</f>
      </c>
      <c r="C4889" s="5" t="str">
        <f>IF(AND(B4889&gt;=$B$3034,B4889&lt;=$B$3035),1,0)</f>
      </c>
      <c r="D4889" s="5" t="str">
        <f>IF(OR(D4888=1,C4889=1),1,0)</f>
      </c>
      <c r="E4889" s="5" t="str">
        <f>IF(C4889=1,0,IF(D4888=1,E4888+1,0))</f>
      </c>
      <c r="F4889" s="5" t="str">
        <f>IF(AND(C4889=1,D4888=1),MIN(E4888,3),"")</f>
      </c>
    </row>
    <row r="4890">
      <c r="A4890" s="6">
        <v>1852</v>
      </c>
      <c r="B4890" s="6" t="str">
        <f>'Lineal Mixto'!$C$1856</f>
      </c>
      <c r="C4890" s="6" t="str">
        <f>IF(AND(B4890&gt;=$B$3034,B4890&lt;=$B$3035),1,0)</f>
      </c>
      <c r="D4890" s="6" t="str">
        <f>IF(OR(D4889=1,C4890=1),1,0)</f>
      </c>
      <c r="E4890" s="6" t="str">
        <f>IF(C4890=1,0,IF(D4889=1,E4889+1,0))</f>
      </c>
      <c r="F4890" s="6" t="str">
        <f>IF(AND(C4890=1,D4889=1),MIN(E4889,3),"")</f>
      </c>
    </row>
    <row r="4891">
      <c r="A4891" s="5">
        <v>1853</v>
      </c>
      <c r="B4891" s="5" t="str">
        <f>'Lineal Mixto'!$C$1857</f>
      </c>
      <c r="C4891" s="5" t="str">
        <f>IF(AND(B4891&gt;=$B$3034,B4891&lt;=$B$3035),1,0)</f>
      </c>
      <c r="D4891" s="5" t="str">
        <f>IF(OR(D4890=1,C4891=1),1,0)</f>
      </c>
      <c r="E4891" s="5" t="str">
        <f>IF(C4891=1,0,IF(D4890=1,E4890+1,0))</f>
      </c>
      <c r="F4891" s="5" t="str">
        <f>IF(AND(C4891=1,D4890=1),MIN(E4890,3),"")</f>
      </c>
    </row>
    <row r="4892">
      <c r="A4892" s="6">
        <v>1854</v>
      </c>
      <c r="B4892" s="6" t="str">
        <f>'Lineal Mixto'!$C$1858</f>
      </c>
      <c r="C4892" s="6" t="str">
        <f>IF(AND(B4892&gt;=$B$3034,B4892&lt;=$B$3035),1,0)</f>
      </c>
      <c r="D4892" s="6" t="str">
        <f>IF(OR(D4891=1,C4892=1),1,0)</f>
      </c>
      <c r="E4892" s="6" t="str">
        <f>IF(C4892=1,0,IF(D4891=1,E4891+1,0))</f>
      </c>
      <c r="F4892" s="6" t="str">
        <f>IF(AND(C4892=1,D4891=1),MIN(E4891,3),"")</f>
      </c>
    </row>
    <row r="4893">
      <c r="A4893" s="5">
        <v>1855</v>
      </c>
      <c r="B4893" s="5" t="str">
        <f>'Lineal Mixto'!$C$1859</f>
      </c>
      <c r="C4893" s="5" t="str">
        <f>IF(AND(B4893&gt;=$B$3034,B4893&lt;=$B$3035),1,0)</f>
      </c>
      <c r="D4893" s="5" t="str">
        <f>IF(OR(D4892=1,C4893=1),1,0)</f>
      </c>
      <c r="E4893" s="5" t="str">
        <f>IF(C4893=1,0,IF(D4892=1,E4892+1,0))</f>
      </c>
      <c r="F4893" s="5" t="str">
        <f>IF(AND(C4893=1,D4892=1),MIN(E4892,3),"")</f>
      </c>
    </row>
    <row r="4894">
      <c r="A4894" s="6">
        <v>1856</v>
      </c>
      <c r="B4894" s="6" t="str">
        <f>'Lineal Mixto'!$C$1860</f>
      </c>
      <c r="C4894" s="6" t="str">
        <f>IF(AND(B4894&gt;=$B$3034,B4894&lt;=$B$3035),1,0)</f>
      </c>
      <c r="D4894" s="6" t="str">
        <f>IF(OR(D4893=1,C4894=1),1,0)</f>
      </c>
      <c r="E4894" s="6" t="str">
        <f>IF(C4894=1,0,IF(D4893=1,E4893+1,0))</f>
      </c>
      <c r="F4894" s="6" t="str">
        <f>IF(AND(C4894=1,D4893=1),MIN(E4893,3),"")</f>
      </c>
    </row>
    <row r="4895">
      <c r="A4895" s="5">
        <v>1857</v>
      </c>
      <c r="B4895" s="5" t="str">
        <f>'Lineal Mixto'!$C$1861</f>
      </c>
      <c r="C4895" s="5" t="str">
        <f>IF(AND(B4895&gt;=$B$3034,B4895&lt;=$B$3035),1,0)</f>
      </c>
      <c r="D4895" s="5" t="str">
        <f>IF(OR(D4894=1,C4895=1),1,0)</f>
      </c>
      <c r="E4895" s="5" t="str">
        <f>IF(C4895=1,0,IF(D4894=1,E4894+1,0))</f>
      </c>
      <c r="F4895" s="5" t="str">
        <f>IF(AND(C4895=1,D4894=1),MIN(E4894,3),"")</f>
      </c>
    </row>
    <row r="4896">
      <c r="A4896" s="6">
        <v>1858</v>
      </c>
      <c r="B4896" s="6" t="str">
        <f>'Lineal Mixto'!$C$1862</f>
      </c>
      <c r="C4896" s="6" t="str">
        <f>IF(AND(B4896&gt;=$B$3034,B4896&lt;=$B$3035),1,0)</f>
      </c>
      <c r="D4896" s="6" t="str">
        <f>IF(OR(D4895=1,C4896=1),1,0)</f>
      </c>
      <c r="E4896" s="6" t="str">
        <f>IF(C4896=1,0,IF(D4895=1,E4895+1,0))</f>
      </c>
      <c r="F4896" s="6" t="str">
        <f>IF(AND(C4896=1,D4895=1),MIN(E4895,3),"")</f>
      </c>
    </row>
    <row r="4897">
      <c r="A4897" s="5">
        <v>1859</v>
      </c>
      <c r="B4897" s="5" t="str">
        <f>'Lineal Mixto'!$C$1863</f>
      </c>
      <c r="C4897" s="5" t="str">
        <f>IF(AND(B4897&gt;=$B$3034,B4897&lt;=$B$3035),1,0)</f>
      </c>
      <c r="D4897" s="5" t="str">
        <f>IF(OR(D4896=1,C4897=1),1,0)</f>
      </c>
      <c r="E4897" s="5" t="str">
        <f>IF(C4897=1,0,IF(D4896=1,E4896+1,0))</f>
      </c>
      <c r="F4897" s="5" t="str">
        <f>IF(AND(C4897=1,D4896=1),MIN(E4896,3),"")</f>
      </c>
    </row>
    <row r="4898">
      <c r="A4898" s="6">
        <v>1860</v>
      </c>
      <c r="B4898" s="6" t="str">
        <f>'Lineal Mixto'!$C$1864</f>
      </c>
      <c r="C4898" s="6" t="str">
        <f>IF(AND(B4898&gt;=$B$3034,B4898&lt;=$B$3035),1,0)</f>
      </c>
      <c r="D4898" s="6" t="str">
        <f>IF(OR(D4897=1,C4898=1),1,0)</f>
      </c>
      <c r="E4898" s="6" t="str">
        <f>IF(C4898=1,0,IF(D4897=1,E4897+1,0))</f>
      </c>
      <c r="F4898" s="6" t="str">
        <f>IF(AND(C4898=1,D4897=1),MIN(E4897,3),"")</f>
      </c>
    </row>
    <row r="4899">
      <c r="A4899" s="5">
        <v>1861</v>
      </c>
      <c r="B4899" s="5" t="str">
        <f>'Lineal Mixto'!$C$1865</f>
      </c>
      <c r="C4899" s="5" t="str">
        <f>IF(AND(B4899&gt;=$B$3034,B4899&lt;=$B$3035),1,0)</f>
      </c>
      <c r="D4899" s="5" t="str">
        <f>IF(OR(D4898=1,C4899=1),1,0)</f>
      </c>
      <c r="E4899" s="5" t="str">
        <f>IF(C4899=1,0,IF(D4898=1,E4898+1,0))</f>
      </c>
      <c r="F4899" s="5" t="str">
        <f>IF(AND(C4899=1,D4898=1),MIN(E4898,3),"")</f>
      </c>
    </row>
    <row r="4900">
      <c r="A4900" s="6">
        <v>1862</v>
      </c>
      <c r="B4900" s="6" t="str">
        <f>'Lineal Mixto'!$C$1866</f>
      </c>
      <c r="C4900" s="6" t="str">
        <f>IF(AND(B4900&gt;=$B$3034,B4900&lt;=$B$3035),1,0)</f>
      </c>
      <c r="D4900" s="6" t="str">
        <f>IF(OR(D4899=1,C4900=1),1,0)</f>
      </c>
      <c r="E4900" s="6" t="str">
        <f>IF(C4900=1,0,IF(D4899=1,E4899+1,0))</f>
      </c>
      <c r="F4900" s="6" t="str">
        <f>IF(AND(C4900=1,D4899=1),MIN(E4899,3),"")</f>
      </c>
    </row>
    <row r="4901">
      <c r="A4901" s="5">
        <v>1863</v>
      </c>
      <c r="B4901" s="5" t="str">
        <f>'Lineal Mixto'!$C$1867</f>
      </c>
      <c r="C4901" s="5" t="str">
        <f>IF(AND(B4901&gt;=$B$3034,B4901&lt;=$B$3035),1,0)</f>
      </c>
      <c r="D4901" s="5" t="str">
        <f>IF(OR(D4900=1,C4901=1),1,0)</f>
      </c>
      <c r="E4901" s="5" t="str">
        <f>IF(C4901=1,0,IF(D4900=1,E4900+1,0))</f>
      </c>
      <c r="F4901" s="5" t="str">
        <f>IF(AND(C4901=1,D4900=1),MIN(E4900,3),"")</f>
      </c>
    </row>
    <row r="4902">
      <c r="A4902" s="6">
        <v>1864</v>
      </c>
      <c r="B4902" s="6" t="str">
        <f>'Lineal Mixto'!$C$1868</f>
      </c>
      <c r="C4902" s="6" t="str">
        <f>IF(AND(B4902&gt;=$B$3034,B4902&lt;=$B$3035),1,0)</f>
      </c>
      <c r="D4902" s="6" t="str">
        <f>IF(OR(D4901=1,C4902=1),1,0)</f>
      </c>
      <c r="E4902" s="6" t="str">
        <f>IF(C4902=1,0,IF(D4901=1,E4901+1,0))</f>
      </c>
      <c r="F4902" s="6" t="str">
        <f>IF(AND(C4902=1,D4901=1),MIN(E4901,3),"")</f>
      </c>
    </row>
    <row r="4903">
      <c r="A4903" s="5">
        <v>1865</v>
      </c>
      <c r="B4903" s="5" t="str">
        <f>'Lineal Mixto'!$C$1869</f>
      </c>
      <c r="C4903" s="5" t="str">
        <f>IF(AND(B4903&gt;=$B$3034,B4903&lt;=$B$3035),1,0)</f>
      </c>
      <c r="D4903" s="5" t="str">
        <f>IF(OR(D4902=1,C4903=1),1,0)</f>
      </c>
      <c r="E4903" s="5" t="str">
        <f>IF(C4903=1,0,IF(D4902=1,E4902+1,0))</f>
      </c>
      <c r="F4903" s="5" t="str">
        <f>IF(AND(C4903=1,D4902=1),MIN(E4902,3),"")</f>
      </c>
    </row>
    <row r="4904">
      <c r="A4904" s="6">
        <v>1866</v>
      </c>
      <c r="B4904" s="6" t="str">
        <f>'Lineal Mixto'!$C$1870</f>
      </c>
      <c r="C4904" s="6" t="str">
        <f>IF(AND(B4904&gt;=$B$3034,B4904&lt;=$B$3035),1,0)</f>
      </c>
      <c r="D4904" s="6" t="str">
        <f>IF(OR(D4903=1,C4904=1),1,0)</f>
      </c>
      <c r="E4904" s="6" t="str">
        <f>IF(C4904=1,0,IF(D4903=1,E4903+1,0))</f>
      </c>
      <c r="F4904" s="6" t="str">
        <f>IF(AND(C4904=1,D4903=1),MIN(E4903,3),"")</f>
      </c>
    </row>
    <row r="4905">
      <c r="A4905" s="5">
        <v>1867</v>
      </c>
      <c r="B4905" s="5" t="str">
        <f>'Lineal Mixto'!$C$1871</f>
      </c>
      <c r="C4905" s="5" t="str">
        <f>IF(AND(B4905&gt;=$B$3034,B4905&lt;=$B$3035),1,0)</f>
      </c>
      <c r="D4905" s="5" t="str">
        <f>IF(OR(D4904=1,C4905=1),1,0)</f>
      </c>
      <c r="E4905" s="5" t="str">
        <f>IF(C4905=1,0,IF(D4904=1,E4904+1,0))</f>
      </c>
      <c r="F4905" s="5" t="str">
        <f>IF(AND(C4905=1,D4904=1),MIN(E4904,3),"")</f>
      </c>
    </row>
    <row r="4906">
      <c r="A4906" s="6">
        <v>1868</v>
      </c>
      <c r="B4906" s="6" t="str">
        <f>'Lineal Mixto'!$C$1872</f>
      </c>
      <c r="C4906" s="6" t="str">
        <f>IF(AND(B4906&gt;=$B$3034,B4906&lt;=$B$3035),1,0)</f>
      </c>
      <c r="D4906" s="6" t="str">
        <f>IF(OR(D4905=1,C4906=1),1,0)</f>
      </c>
      <c r="E4906" s="6" t="str">
        <f>IF(C4906=1,0,IF(D4905=1,E4905+1,0))</f>
      </c>
      <c r="F4906" s="6" t="str">
        <f>IF(AND(C4906=1,D4905=1),MIN(E4905,3),"")</f>
      </c>
    </row>
    <row r="4907">
      <c r="A4907" s="5">
        <v>1869</v>
      </c>
      <c r="B4907" s="5" t="str">
        <f>'Lineal Mixto'!$C$1873</f>
      </c>
      <c r="C4907" s="5" t="str">
        <f>IF(AND(B4907&gt;=$B$3034,B4907&lt;=$B$3035),1,0)</f>
      </c>
      <c r="D4907" s="5" t="str">
        <f>IF(OR(D4906=1,C4907=1),1,0)</f>
      </c>
      <c r="E4907" s="5" t="str">
        <f>IF(C4907=1,0,IF(D4906=1,E4906+1,0))</f>
      </c>
      <c r="F4907" s="5" t="str">
        <f>IF(AND(C4907=1,D4906=1),MIN(E4906,3),"")</f>
      </c>
    </row>
    <row r="4908">
      <c r="A4908" s="6">
        <v>1870</v>
      </c>
      <c r="B4908" s="6" t="str">
        <f>'Lineal Mixto'!$C$1874</f>
      </c>
      <c r="C4908" s="6" t="str">
        <f>IF(AND(B4908&gt;=$B$3034,B4908&lt;=$B$3035),1,0)</f>
      </c>
      <c r="D4908" s="6" t="str">
        <f>IF(OR(D4907=1,C4908=1),1,0)</f>
      </c>
      <c r="E4908" s="6" t="str">
        <f>IF(C4908=1,0,IF(D4907=1,E4907+1,0))</f>
      </c>
      <c r="F4908" s="6" t="str">
        <f>IF(AND(C4908=1,D4907=1),MIN(E4907,3),"")</f>
      </c>
    </row>
    <row r="4909">
      <c r="A4909" s="5">
        <v>1871</v>
      </c>
      <c r="B4909" s="5" t="str">
        <f>'Lineal Mixto'!$C$1875</f>
      </c>
      <c r="C4909" s="5" t="str">
        <f>IF(AND(B4909&gt;=$B$3034,B4909&lt;=$B$3035),1,0)</f>
      </c>
      <c r="D4909" s="5" t="str">
        <f>IF(OR(D4908=1,C4909=1),1,0)</f>
      </c>
      <c r="E4909" s="5" t="str">
        <f>IF(C4909=1,0,IF(D4908=1,E4908+1,0))</f>
      </c>
      <c r="F4909" s="5" t="str">
        <f>IF(AND(C4909=1,D4908=1),MIN(E4908,3),"")</f>
      </c>
    </row>
    <row r="4910">
      <c r="A4910" s="6">
        <v>1872</v>
      </c>
      <c r="B4910" s="6" t="str">
        <f>'Lineal Mixto'!$C$1876</f>
      </c>
      <c r="C4910" s="6" t="str">
        <f>IF(AND(B4910&gt;=$B$3034,B4910&lt;=$B$3035),1,0)</f>
      </c>
      <c r="D4910" s="6" t="str">
        <f>IF(OR(D4909=1,C4910=1),1,0)</f>
      </c>
      <c r="E4910" s="6" t="str">
        <f>IF(C4910=1,0,IF(D4909=1,E4909+1,0))</f>
      </c>
      <c r="F4910" s="6" t="str">
        <f>IF(AND(C4910=1,D4909=1),MIN(E4909,3),"")</f>
      </c>
    </row>
    <row r="4911">
      <c r="A4911" s="5">
        <v>1873</v>
      </c>
      <c r="B4911" s="5" t="str">
        <f>'Lineal Mixto'!$C$1877</f>
      </c>
      <c r="C4911" s="5" t="str">
        <f>IF(AND(B4911&gt;=$B$3034,B4911&lt;=$B$3035),1,0)</f>
      </c>
      <c r="D4911" s="5" t="str">
        <f>IF(OR(D4910=1,C4911=1),1,0)</f>
      </c>
      <c r="E4911" s="5" t="str">
        <f>IF(C4911=1,0,IF(D4910=1,E4910+1,0))</f>
      </c>
      <c r="F4911" s="5" t="str">
        <f>IF(AND(C4911=1,D4910=1),MIN(E4910,3),"")</f>
      </c>
    </row>
    <row r="4912">
      <c r="A4912" s="6">
        <v>1874</v>
      </c>
      <c r="B4912" s="6" t="str">
        <f>'Lineal Mixto'!$C$1878</f>
      </c>
      <c r="C4912" s="6" t="str">
        <f>IF(AND(B4912&gt;=$B$3034,B4912&lt;=$B$3035),1,0)</f>
      </c>
      <c r="D4912" s="6" t="str">
        <f>IF(OR(D4911=1,C4912=1),1,0)</f>
      </c>
      <c r="E4912" s="6" t="str">
        <f>IF(C4912=1,0,IF(D4911=1,E4911+1,0))</f>
      </c>
      <c r="F4912" s="6" t="str">
        <f>IF(AND(C4912=1,D4911=1),MIN(E4911,3),"")</f>
      </c>
    </row>
    <row r="4913">
      <c r="A4913" s="5">
        <v>1875</v>
      </c>
      <c r="B4913" s="5" t="str">
        <f>'Lineal Mixto'!$C$1879</f>
      </c>
      <c r="C4913" s="5" t="str">
        <f>IF(AND(B4913&gt;=$B$3034,B4913&lt;=$B$3035),1,0)</f>
      </c>
      <c r="D4913" s="5" t="str">
        <f>IF(OR(D4912=1,C4913=1),1,0)</f>
      </c>
      <c r="E4913" s="5" t="str">
        <f>IF(C4913=1,0,IF(D4912=1,E4912+1,0))</f>
      </c>
      <c r="F4913" s="5" t="str">
        <f>IF(AND(C4913=1,D4912=1),MIN(E4912,3),"")</f>
      </c>
    </row>
    <row r="4914">
      <c r="A4914" s="6">
        <v>1876</v>
      </c>
      <c r="B4914" s="6" t="str">
        <f>'Lineal Mixto'!$C$1880</f>
      </c>
      <c r="C4914" s="6" t="str">
        <f>IF(AND(B4914&gt;=$B$3034,B4914&lt;=$B$3035),1,0)</f>
      </c>
      <c r="D4914" s="6" t="str">
        <f>IF(OR(D4913=1,C4914=1),1,0)</f>
      </c>
      <c r="E4914" s="6" t="str">
        <f>IF(C4914=1,0,IF(D4913=1,E4913+1,0))</f>
      </c>
      <c r="F4914" s="6" t="str">
        <f>IF(AND(C4914=1,D4913=1),MIN(E4913,3),"")</f>
      </c>
    </row>
    <row r="4915">
      <c r="A4915" s="5">
        <v>1877</v>
      </c>
      <c r="B4915" s="5" t="str">
        <f>'Lineal Mixto'!$C$1881</f>
      </c>
      <c r="C4915" s="5" t="str">
        <f>IF(AND(B4915&gt;=$B$3034,B4915&lt;=$B$3035),1,0)</f>
      </c>
      <c r="D4915" s="5" t="str">
        <f>IF(OR(D4914=1,C4915=1),1,0)</f>
      </c>
      <c r="E4915" s="5" t="str">
        <f>IF(C4915=1,0,IF(D4914=1,E4914+1,0))</f>
      </c>
      <c r="F4915" s="5" t="str">
        <f>IF(AND(C4915=1,D4914=1),MIN(E4914,3),"")</f>
      </c>
    </row>
    <row r="4916">
      <c r="A4916" s="6">
        <v>1878</v>
      </c>
      <c r="B4916" s="6" t="str">
        <f>'Lineal Mixto'!$C$1882</f>
      </c>
      <c r="C4916" s="6" t="str">
        <f>IF(AND(B4916&gt;=$B$3034,B4916&lt;=$B$3035),1,0)</f>
      </c>
      <c r="D4916" s="6" t="str">
        <f>IF(OR(D4915=1,C4916=1),1,0)</f>
      </c>
      <c r="E4916" s="6" t="str">
        <f>IF(C4916=1,0,IF(D4915=1,E4915+1,0))</f>
      </c>
      <c r="F4916" s="6" t="str">
        <f>IF(AND(C4916=1,D4915=1),MIN(E4915,3),"")</f>
      </c>
    </row>
    <row r="4917">
      <c r="A4917" s="5">
        <v>1879</v>
      </c>
      <c r="B4917" s="5" t="str">
        <f>'Lineal Mixto'!$C$1883</f>
      </c>
      <c r="C4917" s="5" t="str">
        <f>IF(AND(B4917&gt;=$B$3034,B4917&lt;=$B$3035),1,0)</f>
      </c>
      <c r="D4917" s="5" t="str">
        <f>IF(OR(D4916=1,C4917=1),1,0)</f>
      </c>
      <c r="E4917" s="5" t="str">
        <f>IF(C4917=1,0,IF(D4916=1,E4916+1,0))</f>
      </c>
      <c r="F4917" s="5" t="str">
        <f>IF(AND(C4917=1,D4916=1),MIN(E4916,3),"")</f>
      </c>
    </row>
    <row r="4918">
      <c r="A4918" s="6">
        <v>1880</v>
      </c>
      <c r="B4918" s="6" t="str">
        <f>'Lineal Mixto'!$C$1884</f>
      </c>
      <c r="C4918" s="6" t="str">
        <f>IF(AND(B4918&gt;=$B$3034,B4918&lt;=$B$3035),1,0)</f>
      </c>
      <c r="D4918" s="6" t="str">
        <f>IF(OR(D4917=1,C4918=1),1,0)</f>
      </c>
      <c r="E4918" s="6" t="str">
        <f>IF(C4918=1,0,IF(D4917=1,E4917+1,0))</f>
      </c>
      <c r="F4918" s="6" t="str">
        <f>IF(AND(C4918=1,D4917=1),MIN(E4917,3),"")</f>
      </c>
    </row>
    <row r="4919">
      <c r="A4919" s="5">
        <v>1881</v>
      </c>
      <c r="B4919" s="5" t="str">
        <f>'Lineal Mixto'!$C$1885</f>
      </c>
      <c r="C4919" s="5" t="str">
        <f>IF(AND(B4919&gt;=$B$3034,B4919&lt;=$B$3035),1,0)</f>
      </c>
      <c r="D4919" s="5" t="str">
        <f>IF(OR(D4918=1,C4919=1),1,0)</f>
      </c>
      <c r="E4919" s="5" t="str">
        <f>IF(C4919=1,0,IF(D4918=1,E4918+1,0))</f>
      </c>
      <c r="F4919" s="5" t="str">
        <f>IF(AND(C4919=1,D4918=1),MIN(E4918,3),"")</f>
      </c>
    </row>
    <row r="4920">
      <c r="A4920" s="6">
        <v>1882</v>
      </c>
      <c r="B4920" s="6" t="str">
        <f>'Lineal Mixto'!$C$1886</f>
      </c>
      <c r="C4920" s="6" t="str">
        <f>IF(AND(B4920&gt;=$B$3034,B4920&lt;=$B$3035),1,0)</f>
      </c>
      <c r="D4920" s="6" t="str">
        <f>IF(OR(D4919=1,C4920=1),1,0)</f>
      </c>
      <c r="E4920" s="6" t="str">
        <f>IF(C4920=1,0,IF(D4919=1,E4919+1,0))</f>
      </c>
      <c r="F4920" s="6" t="str">
        <f>IF(AND(C4920=1,D4919=1),MIN(E4919,3),"")</f>
      </c>
    </row>
    <row r="4921">
      <c r="A4921" s="5">
        <v>1883</v>
      </c>
      <c r="B4921" s="5" t="str">
        <f>'Lineal Mixto'!$C$1887</f>
      </c>
      <c r="C4921" s="5" t="str">
        <f>IF(AND(B4921&gt;=$B$3034,B4921&lt;=$B$3035),1,0)</f>
      </c>
      <c r="D4921" s="5" t="str">
        <f>IF(OR(D4920=1,C4921=1),1,0)</f>
      </c>
      <c r="E4921" s="5" t="str">
        <f>IF(C4921=1,0,IF(D4920=1,E4920+1,0))</f>
      </c>
      <c r="F4921" s="5" t="str">
        <f>IF(AND(C4921=1,D4920=1),MIN(E4920,3),"")</f>
      </c>
    </row>
    <row r="4922">
      <c r="A4922" s="6">
        <v>1884</v>
      </c>
      <c r="B4922" s="6" t="str">
        <f>'Lineal Mixto'!$C$1888</f>
      </c>
      <c r="C4922" s="6" t="str">
        <f>IF(AND(B4922&gt;=$B$3034,B4922&lt;=$B$3035),1,0)</f>
      </c>
      <c r="D4922" s="6" t="str">
        <f>IF(OR(D4921=1,C4922=1),1,0)</f>
      </c>
      <c r="E4922" s="6" t="str">
        <f>IF(C4922=1,0,IF(D4921=1,E4921+1,0))</f>
      </c>
      <c r="F4922" s="6" t="str">
        <f>IF(AND(C4922=1,D4921=1),MIN(E4921,3),"")</f>
      </c>
    </row>
    <row r="4923">
      <c r="A4923" s="5">
        <v>1885</v>
      </c>
      <c r="B4923" s="5" t="str">
        <f>'Lineal Mixto'!$C$1889</f>
      </c>
      <c r="C4923" s="5" t="str">
        <f>IF(AND(B4923&gt;=$B$3034,B4923&lt;=$B$3035),1,0)</f>
      </c>
      <c r="D4923" s="5" t="str">
        <f>IF(OR(D4922=1,C4923=1),1,0)</f>
      </c>
      <c r="E4923" s="5" t="str">
        <f>IF(C4923=1,0,IF(D4922=1,E4922+1,0))</f>
      </c>
      <c r="F4923" s="5" t="str">
        <f>IF(AND(C4923=1,D4922=1),MIN(E4922,3),"")</f>
      </c>
    </row>
    <row r="4924">
      <c r="A4924" s="6">
        <v>1886</v>
      </c>
      <c r="B4924" s="6" t="str">
        <f>'Lineal Mixto'!$C$1890</f>
      </c>
      <c r="C4924" s="6" t="str">
        <f>IF(AND(B4924&gt;=$B$3034,B4924&lt;=$B$3035),1,0)</f>
      </c>
      <c r="D4924" s="6" t="str">
        <f>IF(OR(D4923=1,C4924=1),1,0)</f>
      </c>
      <c r="E4924" s="6" t="str">
        <f>IF(C4924=1,0,IF(D4923=1,E4923+1,0))</f>
      </c>
      <c r="F4924" s="6" t="str">
        <f>IF(AND(C4924=1,D4923=1),MIN(E4923,3),"")</f>
      </c>
    </row>
    <row r="4925">
      <c r="A4925" s="5">
        <v>1887</v>
      </c>
      <c r="B4925" s="5" t="str">
        <f>'Lineal Mixto'!$C$1891</f>
      </c>
      <c r="C4925" s="5" t="str">
        <f>IF(AND(B4925&gt;=$B$3034,B4925&lt;=$B$3035),1,0)</f>
      </c>
      <c r="D4925" s="5" t="str">
        <f>IF(OR(D4924=1,C4925=1),1,0)</f>
      </c>
      <c r="E4925" s="5" t="str">
        <f>IF(C4925=1,0,IF(D4924=1,E4924+1,0))</f>
      </c>
      <c r="F4925" s="5" t="str">
        <f>IF(AND(C4925=1,D4924=1),MIN(E4924,3),"")</f>
      </c>
    </row>
    <row r="4926">
      <c r="A4926" s="6">
        <v>1888</v>
      </c>
      <c r="B4926" s="6" t="str">
        <f>'Lineal Mixto'!$C$1892</f>
      </c>
      <c r="C4926" s="6" t="str">
        <f>IF(AND(B4926&gt;=$B$3034,B4926&lt;=$B$3035),1,0)</f>
      </c>
      <c r="D4926" s="6" t="str">
        <f>IF(OR(D4925=1,C4926=1),1,0)</f>
      </c>
      <c r="E4926" s="6" t="str">
        <f>IF(C4926=1,0,IF(D4925=1,E4925+1,0))</f>
      </c>
      <c r="F4926" s="6" t="str">
        <f>IF(AND(C4926=1,D4925=1),MIN(E4925,3),"")</f>
      </c>
    </row>
    <row r="4927">
      <c r="A4927" s="5">
        <v>1889</v>
      </c>
      <c r="B4927" s="5" t="str">
        <f>'Lineal Mixto'!$C$1893</f>
      </c>
      <c r="C4927" s="5" t="str">
        <f>IF(AND(B4927&gt;=$B$3034,B4927&lt;=$B$3035),1,0)</f>
      </c>
      <c r="D4927" s="5" t="str">
        <f>IF(OR(D4926=1,C4927=1),1,0)</f>
      </c>
      <c r="E4927" s="5" t="str">
        <f>IF(C4927=1,0,IF(D4926=1,E4926+1,0))</f>
      </c>
      <c r="F4927" s="5" t="str">
        <f>IF(AND(C4927=1,D4926=1),MIN(E4926,3),"")</f>
      </c>
    </row>
    <row r="4928">
      <c r="A4928" s="6">
        <v>1890</v>
      </c>
      <c r="B4928" s="6" t="str">
        <f>'Lineal Mixto'!$C$1894</f>
      </c>
      <c r="C4928" s="6" t="str">
        <f>IF(AND(B4928&gt;=$B$3034,B4928&lt;=$B$3035),1,0)</f>
      </c>
      <c r="D4928" s="6" t="str">
        <f>IF(OR(D4927=1,C4928=1),1,0)</f>
      </c>
      <c r="E4928" s="6" t="str">
        <f>IF(C4928=1,0,IF(D4927=1,E4927+1,0))</f>
      </c>
      <c r="F4928" s="6" t="str">
        <f>IF(AND(C4928=1,D4927=1),MIN(E4927,3),"")</f>
      </c>
    </row>
    <row r="4929">
      <c r="A4929" s="5">
        <v>1891</v>
      </c>
      <c r="B4929" s="5" t="str">
        <f>'Lineal Mixto'!$C$1895</f>
      </c>
      <c r="C4929" s="5" t="str">
        <f>IF(AND(B4929&gt;=$B$3034,B4929&lt;=$B$3035),1,0)</f>
      </c>
      <c r="D4929" s="5" t="str">
        <f>IF(OR(D4928=1,C4929=1),1,0)</f>
      </c>
      <c r="E4929" s="5" t="str">
        <f>IF(C4929=1,0,IF(D4928=1,E4928+1,0))</f>
      </c>
      <c r="F4929" s="5" t="str">
        <f>IF(AND(C4929=1,D4928=1),MIN(E4928,3),"")</f>
      </c>
    </row>
    <row r="4930">
      <c r="A4930" s="6">
        <v>1892</v>
      </c>
      <c r="B4930" s="6" t="str">
        <f>'Lineal Mixto'!$C$1896</f>
      </c>
      <c r="C4930" s="6" t="str">
        <f>IF(AND(B4930&gt;=$B$3034,B4930&lt;=$B$3035),1,0)</f>
      </c>
      <c r="D4930" s="6" t="str">
        <f>IF(OR(D4929=1,C4930=1),1,0)</f>
      </c>
      <c r="E4930" s="6" t="str">
        <f>IF(C4930=1,0,IF(D4929=1,E4929+1,0))</f>
      </c>
      <c r="F4930" s="6" t="str">
        <f>IF(AND(C4930=1,D4929=1),MIN(E4929,3),"")</f>
      </c>
    </row>
    <row r="4931">
      <c r="A4931" s="5">
        <v>1893</v>
      </c>
      <c r="B4931" s="5" t="str">
        <f>'Lineal Mixto'!$C$1897</f>
      </c>
      <c r="C4931" s="5" t="str">
        <f>IF(AND(B4931&gt;=$B$3034,B4931&lt;=$B$3035),1,0)</f>
      </c>
      <c r="D4931" s="5" t="str">
        <f>IF(OR(D4930=1,C4931=1),1,0)</f>
      </c>
      <c r="E4931" s="5" t="str">
        <f>IF(C4931=1,0,IF(D4930=1,E4930+1,0))</f>
      </c>
      <c r="F4931" s="5" t="str">
        <f>IF(AND(C4931=1,D4930=1),MIN(E4930,3),"")</f>
      </c>
    </row>
    <row r="4932">
      <c r="A4932" s="6">
        <v>1894</v>
      </c>
      <c r="B4932" s="6" t="str">
        <f>'Lineal Mixto'!$C$1898</f>
      </c>
      <c r="C4932" s="6" t="str">
        <f>IF(AND(B4932&gt;=$B$3034,B4932&lt;=$B$3035),1,0)</f>
      </c>
      <c r="D4932" s="6" t="str">
        <f>IF(OR(D4931=1,C4932=1),1,0)</f>
      </c>
      <c r="E4932" s="6" t="str">
        <f>IF(C4932=1,0,IF(D4931=1,E4931+1,0))</f>
      </c>
      <c r="F4932" s="6" t="str">
        <f>IF(AND(C4932=1,D4931=1),MIN(E4931,3),"")</f>
      </c>
    </row>
    <row r="4933">
      <c r="A4933" s="5">
        <v>1895</v>
      </c>
      <c r="B4933" s="5" t="str">
        <f>'Lineal Mixto'!$C$1899</f>
      </c>
      <c r="C4933" s="5" t="str">
        <f>IF(AND(B4933&gt;=$B$3034,B4933&lt;=$B$3035),1,0)</f>
      </c>
      <c r="D4933" s="5" t="str">
        <f>IF(OR(D4932=1,C4933=1),1,0)</f>
      </c>
      <c r="E4933" s="5" t="str">
        <f>IF(C4933=1,0,IF(D4932=1,E4932+1,0))</f>
      </c>
      <c r="F4933" s="5" t="str">
        <f>IF(AND(C4933=1,D4932=1),MIN(E4932,3),"")</f>
      </c>
    </row>
    <row r="4934">
      <c r="A4934" s="6">
        <v>1896</v>
      </c>
      <c r="B4934" s="6" t="str">
        <f>'Lineal Mixto'!$C$1900</f>
      </c>
      <c r="C4934" s="6" t="str">
        <f>IF(AND(B4934&gt;=$B$3034,B4934&lt;=$B$3035),1,0)</f>
      </c>
      <c r="D4934" s="6" t="str">
        <f>IF(OR(D4933=1,C4934=1),1,0)</f>
      </c>
      <c r="E4934" s="6" t="str">
        <f>IF(C4934=1,0,IF(D4933=1,E4933+1,0))</f>
      </c>
      <c r="F4934" s="6" t="str">
        <f>IF(AND(C4934=1,D4933=1),MIN(E4933,3),"")</f>
      </c>
    </row>
    <row r="4935">
      <c r="A4935" s="5">
        <v>1897</v>
      </c>
      <c r="B4935" s="5" t="str">
        <f>'Lineal Mixto'!$C$1901</f>
      </c>
      <c r="C4935" s="5" t="str">
        <f>IF(AND(B4935&gt;=$B$3034,B4935&lt;=$B$3035),1,0)</f>
      </c>
      <c r="D4935" s="5" t="str">
        <f>IF(OR(D4934=1,C4935=1),1,0)</f>
      </c>
      <c r="E4935" s="5" t="str">
        <f>IF(C4935=1,0,IF(D4934=1,E4934+1,0))</f>
      </c>
      <c r="F4935" s="5" t="str">
        <f>IF(AND(C4935=1,D4934=1),MIN(E4934,3),"")</f>
      </c>
    </row>
    <row r="4936">
      <c r="A4936" s="6">
        <v>1898</v>
      </c>
      <c r="B4936" s="6" t="str">
        <f>'Lineal Mixto'!$C$1902</f>
      </c>
      <c r="C4936" s="6" t="str">
        <f>IF(AND(B4936&gt;=$B$3034,B4936&lt;=$B$3035),1,0)</f>
      </c>
      <c r="D4936" s="6" t="str">
        <f>IF(OR(D4935=1,C4936=1),1,0)</f>
      </c>
      <c r="E4936" s="6" t="str">
        <f>IF(C4936=1,0,IF(D4935=1,E4935+1,0))</f>
      </c>
      <c r="F4936" s="6" t="str">
        <f>IF(AND(C4936=1,D4935=1),MIN(E4935,3),"")</f>
      </c>
    </row>
    <row r="4937">
      <c r="A4937" s="5">
        <v>1899</v>
      </c>
      <c r="B4937" s="5" t="str">
        <f>'Lineal Mixto'!$C$1903</f>
      </c>
      <c r="C4937" s="5" t="str">
        <f>IF(AND(B4937&gt;=$B$3034,B4937&lt;=$B$3035),1,0)</f>
      </c>
      <c r="D4937" s="5" t="str">
        <f>IF(OR(D4936=1,C4937=1),1,0)</f>
      </c>
      <c r="E4937" s="5" t="str">
        <f>IF(C4937=1,0,IF(D4936=1,E4936+1,0))</f>
      </c>
      <c r="F4937" s="5" t="str">
        <f>IF(AND(C4937=1,D4936=1),MIN(E4936,3),"")</f>
      </c>
    </row>
    <row r="4938">
      <c r="A4938" s="6">
        <v>1900</v>
      </c>
      <c r="B4938" s="6" t="str">
        <f>'Lineal Mixto'!$C$1904</f>
      </c>
      <c r="C4938" s="6" t="str">
        <f>IF(AND(B4938&gt;=$B$3034,B4938&lt;=$B$3035),1,0)</f>
      </c>
      <c r="D4938" s="6" t="str">
        <f>IF(OR(D4937=1,C4938=1),1,0)</f>
      </c>
      <c r="E4938" s="6" t="str">
        <f>IF(C4938=1,0,IF(D4937=1,E4937+1,0))</f>
      </c>
      <c r="F4938" s="6" t="str">
        <f>IF(AND(C4938=1,D4937=1),MIN(E4937,3),"")</f>
      </c>
    </row>
    <row r="4939">
      <c r="A4939" s="5">
        <v>1901</v>
      </c>
      <c r="B4939" s="5" t="str">
        <f>'Lineal Mixto'!$C$1905</f>
      </c>
      <c r="C4939" s="5" t="str">
        <f>IF(AND(B4939&gt;=$B$3034,B4939&lt;=$B$3035),1,0)</f>
      </c>
      <c r="D4939" s="5" t="str">
        <f>IF(OR(D4938=1,C4939=1),1,0)</f>
      </c>
      <c r="E4939" s="5" t="str">
        <f>IF(C4939=1,0,IF(D4938=1,E4938+1,0))</f>
      </c>
      <c r="F4939" s="5" t="str">
        <f>IF(AND(C4939=1,D4938=1),MIN(E4938,3),"")</f>
      </c>
    </row>
    <row r="4940">
      <c r="A4940" s="6">
        <v>1902</v>
      </c>
      <c r="B4940" s="6" t="str">
        <f>'Lineal Mixto'!$C$1906</f>
      </c>
      <c r="C4940" s="6" t="str">
        <f>IF(AND(B4940&gt;=$B$3034,B4940&lt;=$B$3035),1,0)</f>
      </c>
      <c r="D4940" s="6" t="str">
        <f>IF(OR(D4939=1,C4940=1),1,0)</f>
      </c>
      <c r="E4940" s="6" t="str">
        <f>IF(C4940=1,0,IF(D4939=1,E4939+1,0))</f>
      </c>
      <c r="F4940" s="6" t="str">
        <f>IF(AND(C4940=1,D4939=1),MIN(E4939,3),"")</f>
      </c>
    </row>
    <row r="4941">
      <c r="A4941" s="5">
        <v>1903</v>
      </c>
      <c r="B4941" s="5" t="str">
        <f>'Lineal Mixto'!$C$1907</f>
      </c>
      <c r="C4941" s="5" t="str">
        <f>IF(AND(B4941&gt;=$B$3034,B4941&lt;=$B$3035),1,0)</f>
      </c>
      <c r="D4941" s="5" t="str">
        <f>IF(OR(D4940=1,C4941=1),1,0)</f>
      </c>
      <c r="E4941" s="5" t="str">
        <f>IF(C4941=1,0,IF(D4940=1,E4940+1,0))</f>
      </c>
      <c r="F4941" s="5" t="str">
        <f>IF(AND(C4941=1,D4940=1),MIN(E4940,3),"")</f>
      </c>
    </row>
    <row r="4942">
      <c r="A4942" s="6">
        <v>1904</v>
      </c>
      <c r="B4942" s="6" t="str">
        <f>'Lineal Mixto'!$C$1908</f>
      </c>
      <c r="C4942" s="6" t="str">
        <f>IF(AND(B4942&gt;=$B$3034,B4942&lt;=$B$3035),1,0)</f>
      </c>
      <c r="D4942" s="6" t="str">
        <f>IF(OR(D4941=1,C4942=1),1,0)</f>
      </c>
      <c r="E4942" s="6" t="str">
        <f>IF(C4942=1,0,IF(D4941=1,E4941+1,0))</f>
      </c>
      <c r="F4942" s="6" t="str">
        <f>IF(AND(C4942=1,D4941=1),MIN(E4941,3),"")</f>
      </c>
    </row>
    <row r="4943">
      <c r="A4943" s="5">
        <v>1905</v>
      </c>
      <c r="B4943" s="5" t="str">
        <f>'Lineal Mixto'!$C$1909</f>
      </c>
      <c r="C4943" s="5" t="str">
        <f>IF(AND(B4943&gt;=$B$3034,B4943&lt;=$B$3035),1,0)</f>
      </c>
      <c r="D4943" s="5" t="str">
        <f>IF(OR(D4942=1,C4943=1),1,0)</f>
      </c>
      <c r="E4943" s="5" t="str">
        <f>IF(C4943=1,0,IF(D4942=1,E4942+1,0))</f>
      </c>
      <c r="F4943" s="5" t="str">
        <f>IF(AND(C4943=1,D4942=1),MIN(E4942,3),"")</f>
      </c>
    </row>
    <row r="4944">
      <c r="A4944" s="6">
        <v>1906</v>
      </c>
      <c r="B4944" s="6" t="str">
        <f>'Lineal Mixto'!$C$1910</f>
      </c>
      <c r="C4944" s="6" t="str">
        <f>IF(AND(B4944&gt;=$B$3034,B4944&lt;=$B$3035),1,0)</f>
      </c>
      <c r="D4944" s="6" t="str">
        <f>IF(OR(D4943=1,C4944=1),1,0)</f>
      </c>
      <c r="E4944" s="6" t="str">
        <f>IF(C4944=1,0,IF(D4943=1,E4943+1,0))</f>
      </c>
      <c r="F4944" s="6" t="str">
        <f>IF(AND(C4944=1,D4943=1),MIN(E4943,3),"")</f>
      </c>
    </row>
    <row r="4945">
      <c r="A4945" s="5">
        <v>1907</v>
      </c>
      <c r="B4945" s="5" t="str">
        <f>'Lineal Mixto'!$C$1911</f>
      </c>
      <c r="C4945" s="5" t="str">
        <f>IF(AND(B4945&gt;=$B$3034,B4945&lt;=$B$3035),1,0)</f>
      </c>
      <c r="D4945" s="5" t="str">
        <f>IF(OR(D4944=1,C4945=1),1,0)</f>
      </c>
      <c r="E4945" s="5" t="str">
        <f>IF(C4945=1,0,IF(D4944=1,E4944+1,0))</f>
      </c>
      <c r="F4945" s="5" t="str">
        <f>IF(AND(C4945=1,D4944=1),MIN(E4944,3),"")</f>
      </c>
    </row>
    <row r="4946">
      <c r="A4946" s="6">
        <v>1908</v>
      </c>
      <c r="B4946" s="6" t="str">
        <f>'Lineal Mixto'!$C$1912</f>
      </c>
      <c r="C4946" s="6" t="str">
        <f>IF(AND(B4946&gt;=$B$3034,B4946&lt;=$B$3035),1,0)</f>
      </c>
      <c r="D4946" s="6" t="str">
        <f>IF(OR(D4945=1,C4946=1),1,0)</f>
      </c>
      <c r="E4946" s="6" t="str">
        <f>IF(C4946=1,0,IF(D4945=1,E4945+1,0))</f>
      </c>
      <c r="F4946" s="6" t="str">
        <f>IF(AND(C4946=1,D4945=1),MIN(E4945,3),"")</f>
      </c>
    </row>
    <row r="4947">
      <c r="A4947" s="5">
        <v>1909</v>
      </c>
      <c r="B4947" s="5" t="str">
        <f>'Lineal Mixto'!$C$1913</f>
      </c>
      <c r="C4947" s="5" t="str">
        <f>IF(AND(B4947&gt;=$B$3034,B4947&lt;=$B$3035),1,0)</f>
      </c>
      <c r="D4947" s="5" t="str">
        <f>IF(OR(D4946=1,C4947=1),1,0)</f>
      </c>
      <c r="E4947" s="5" t="str">
        <f>IF(C4947=1,0,IF(D4946=1,E4946+1,0))</f>
      </c>
      <c r="F4947" s="5" t="str">
        <f>IF(AND(C4947=1,D4946=1),MIN(E4946,3),"")</f>
      </c>
    </row>
    <row r="4948">
      <c r="A4948" s="6">
        <v>1910</v>
      </c>
      <c r="B4948" s="6" t="str">
        <f>'Lineal Mixto'!$C$1914</f>
      </c>
      <c r="C4948" s="6" t="str">
        <f>IF(AND(B4948&gt;=$B$3034,B4948&lt;=$B$3035),1,0)</f>
      </c>
      <c r="D4948" s="6" t="str">
        <f>IF(OR(D4947=1,C4948=1),1,0)</f>
      </c>
      <c r="E4948" s="6" t="str">
        <f>IF(C4948=1,0,IF(D4947=1,E4947+1,0))</f>
      </c>
      <c r="F4948" s="6" t="str">
        <f>IF(AND(C4948=1,D4947=1),MIN(E4947,3),"")</f>
      </c>
    </row>
    <row r="4949">
      <c r="A4949" s="5">
        <v>1911</v>
      </c>
      <c r="B4949" s="5" t="str">
        <f>'Lineal Mixto'!$C$1915</f>
      </c>
      <c r="C4949" s="5" t="str">
        <f>IF(AND(B4949&gt;=$B$3034,B4949&lt;=$B$3035),1,0)</f>
      </c>
      <c r="D4949" s="5" t="str">
        <f>IF(OR(D4948=1,C4949=1),1,0)</f>
      </c>
      <c r="E4949" s="5" t="str">
        <f>IF(C4949=1,0,IF(D4948=1,E4948+1,0))</f>
      </c>
      <c r="F4949" s="5" t="str">
        <f>IF(AND(C4949=1,D4948=1),MIN(E4948,3),"")</f>
      </c>
    </row>
    <row r="4950">
      <c r="A4950" s="6">
        <v>1912</v>
      </c>
      <c r="B4950" s="6" t="str">
        <f>'Lineal Mixto'!$C$1916</f>
      </c>
      <c r="C4950" s="6" t="str">
        <f>IF(AND(B4950&gt;=$B$3034,B4950&lt;=$B$3035),1,0)</f>
      </c>
      <c r="D4950" s="6" t="str">
        <f>IF(OR(D4949=1,C4950=1),1,0)</f>
      </c>
      <c r="E4950" s="6" t="str">
        <f>IF(C4950=1,0,IF(D4949=1,E4949+1,0))</f>
      </c>
      <c r="F4950" s="6" t="str">
        <f>IF(AND(C4950=1,D4949=1),MIN(E4949,3),"")</f>
      </c>
    </row>
    <row r="4951">
      <c r="A4951" s="5">
        <v>1913</v>
      </c>
      <c r="B4951" s="5" t="str">
        <f>'Lineal Mixto'!$C$1917</f>
      </c>
      <c r="C4951" s="5" t="str">
        <f>IF(AND(B4951&gt;=$B$3034,B4951&lt;=$B$3035),1,0)</f>
      </c>
      <c r="D4951" s="5" t="str">
        <f>IF(OR(D4950=1,C4951=1),1,0)</f>
      </c>
      <c r="E4951" s="5" t="str">
        <f>IF(C4951=1,0,IF(D4950=1,E4950+1,0))</f>
      </c>
      <c r="F4951" s="5" t="str">
        <f>IF(AND(C4951=1,D4950=1),MIN(E4950,3),"")</f>
      </c>
    </row>
    <row r="4952">
      <c r="A4952" s="6">
        <v>1914</v>
      </c>
      <c r="B4952" s="6" t="str">
        <f>'Lineal Mixto'!$C$1918</f>
      </c>
      <c r="C4952" s="6" t="str">
        <f>IF(AND(B4952&gt;=$B$3034,B4952&lt;=$B$3035),1,0)</f>
      </c>
      <c r="D4952" s="6" t="str">
        <f>IF(OR(D4951=1,C4952=1),1,0)</f>
      </c>
      <c r="E4952" s="6" t="str">
        <f>IF(C4952=1,0,IF(D4951=1,E4951+1,0))</f>
      </c>
      <c r="F4952" s="6" t="str">
        <f>IF(AND(C4952=1,D4951=1),MIN(E4951,3),"")</f>
      </c>
    </row>
    <row r="4953">
      <c r="A4953" s="5">
        <v>1915</v>
      </c>
      <c r="B4953" s="5" t="str">
        <f>'Lineal Mixto'!$C$1919</f>
      </c>
      <c r="C4953" s="5" t="str">
        <f>IF(AND(B4953&gt;=$B$3034,B4953&lt;=$B$3035),1,0)</f>
      </c>
      <c r="D4953" s="5" t="str">
        <f>IF(OR(D4952=1,C4953=1),1,0)</f>
      </c>
      <c r="E4953" s="5" t="str">
        <f>IF(C4953=1,0,IF(D4952=1,E4952+1,0))</f>
      </c>
      <c r="F4953" s="5" t="str">
        <f>IF(AND(C4953=1,D4952=1),MIN(E4952,3),"")</f>
      </c>
    </row>
    <row r="4954">
      <c r="A4954" s="6">
        <v>1916</v>
      </c>
      <c r="B4954" s="6" t="str">
        <f>'Lineal Mixto'!$C$1920</f>
      </c>
      <c r="C4954" s="6" t="str">
        <f>IF(AND(B4954&gt;=$B$3034,B4954&lt;=$B$3035),1,0)</f>
      </c>
      <c r="D4954" s="6" t="str">
        <f>IF(OR(D4953=1,C4954=1),1,0)</f>
      </c>
      <c r="E4954" s="6" t="str">
        <f>IF(C4954=1,0,IF(D4953=1,E4953+1,0))</f>
      </c>
      <c r="F4954" s="6" t="str">
        <f>IF(AND(C4954=1,D4953=1),MIN(E4953,3),"")</f>
      </c>
    </row>
    <row r="4955">
      <c r="A4955" s="5">
        <v>1917</v>
      </c>
      <c r="B4955" s="5" t="str">
        <f>'Lineal Mixto'!$C$1921</f>
      </c>
      <c r="C4955" s="5" t="str">
        <f>IF(AND(B4955&gt;=$B$3034,B4955&lt;=$B$3035),1,0)</f>
      </c>
      <c r="D4955" s="5" t="str">
        <f>IF(OR(D4954=1,C4955=1),1,0)</f>
      </c>
      <c r="E4955" s="5" t="str">
        <f>IF(C4955=1,0,IF(D4954=1,E4954+1,0))</f>
      </c>
      <c r="F4955" s="5" t="str">
        <f>IF(AND(C4955=1,D4954=1),MIN(E4954,3),"")</f>
      </c>
    </row>
    <row r="4956">
      <c r="A4956" s="6">
        <v>1918</v>
      </c>
      <c r="B4956" s="6" t="str">
        <f>'Lineal Mixto'!$C$1922</f>
      </c>
      <c r="C4956" s="6" t="str">
        <f>IF(AND(B4956&gt;=$B$3034,B4956&lt;=$B$3035),1,0)</f>
      </c>
      <c r="D4956" s="6" t="str">
        <f>IF(OR(D4955=1,C4956=1),1,0)</f>
      </c>
      <c r="E4956" s="6" t="str">
        <f>IF(C4956=1,0,IF(D4955=1,E4955+1,0))</f>
      </c>
      <c r="F4956" s="6" t="str">
        <f>IF(AND(C4956=1,D4955=1),MIN(E4955,3),"")</f>
      </c>
    </row>
    <row r="4957">
      <c r="A4957" s="5">
        <v>1919</v>
      </c>
      <c r="B4957" s="5" t="str">
        <f>'Lineal Mixto'!$C$1923</f>
      </c>
      <c r="C4957" s="5" t="str">
        <f>IF(AND(B4957&gt;=$B$3034,B4957&lt;=$B$3035),1,0)</f>
      </c>
      <c r="D4957" s="5" t="str">
        <f>IF(OR(D4956=1,C4957=1),1,0)</f>
      </c>
      <c r="E4957" s="5" t="str">
        <f>IF(C4957=1,0,IF(D4956=1,E4956+1,0))</f>
      </c>
      <c r="F4957" s="5" t="str">
        <f>IF(AND(C4957=1,D4956=1),MIN(E4956,3),"")</f>
      </c>
    </row>
    <row r="4958">
      <c r="A4958" s="6">
        <v>1920</v>
      </c>
      <c r="B4958" s="6" t="str">
        <f>'Lineal Mixto'!$C$1924</f>
      </c>
      <c r="C4958" s="6" t="str">
        <f>IF(AND(B4958&gt;=$B$3034,B4958&lt;=$B$3035),1,0)</f>
      </c>
      <c r="D4958" s="6" t="str">
        <f>IF(OR(D4957=1,C4958=1),1,0)</f>
      </c>
      <c r="E4958" s="6" t="str">
        <f>IF(C4958=1,0,IF(D4957=1,E4957+1,0))</f>
      </c>
      <c r="F4958" s="6" t="str">
        <f>IF(AND(C4958=1,D4957=1),MIN(E4957,3),"")</f>
      </c>
    </row>
    <row r="4959">
      <c r="A4959" s="5">
        <v>1921</v>
      </c>
      <c r="B4959" s="5" t="str">
        <f>'Lineal Mixto'!$C$1925</f>
      </c>
      <c r="C4959" s="5" t="str">
        <f>IF(AND(B4959&gt;=$B$3034,B4959&lt;=$B$3035),1,0)</f>
      </c>
      <c r="D4959" s="5" t="str">
        <f>IF(OR(D4958=1,C4959=1),1,0)</f>
      </c>
      <c r="E4959" s="5" t="str">
        <f>IF(C4959=1,0,IF(D4958=1,E4958+1,0))</f>
      </c>
      <c r="F4959" s="5" t="str">
        <f>IF(AND(C4959=1,D4958=1),MIN(E4958,3),"")</f>
      </c>
    </row>
    <row r="4960">
      <c r="A4960" s="6">
        <v>1922</v>
      </c>
      <c r="B4960" s="6" t="str">
        <f>'Lineal Mixto'!$C$1926</f>
      </c>
      <c r="C4960" s="6" t="str">
        <f>IF(AND(B4960&gt;=$B$3034,B4960&lt;=$B$3035),1,0)</f>
      </c>
      <c r="D4960" s="6" t="str">
        <f>IF(OR(D4959=1,C4960=1),1,0)</f>
      </c>
      <c r="E4960" s="6" t="str">
        <f>IF(C4960=1,0,IF(D4959=1,E4959+1,0))</f>
      </c>
      <c r="F4960" s="6" t="str">
        <f>IF(AND(C4960=1,D4959=1),MIN(E4959,3),"")</f>
      </c>
    </row>
    <row r="4961">
      <c r="A4961" s="5">
        <v>1923</v>
      </c>
      <c r="B4961" s="5" t="str">
        <f>'Lineal Mixto'!$C$1927</f>
      </c>
      <c r="C4961" s="5" t="str">
        <f>IF(AND(B4961&gt;=$B$3034,B4961&lt;=$B$3035),1,0)</f>
      </c>
      <c r="D4961" s="5" t="str">
        <f>IF(OR(D4960=1,C4961=1),1,0)</f>
      </c>
      <c r="E4961" s="5" t="str">
        <f>IF(C4961=1,0,IF(D4960=1,E4960+1,0))</f>
      </c>
      <c r="F4961" s="5" t="str">
        <f>IF(AND(C4961=1,D4960=1),MIN(E4960,3),"")</f>
      </c>
    </row>
    <row r="4962">
      <c r="A4962" s="6">
        <v>1924</v>
      </c>
      <c r="B4962" s="6" t="str">
        <f>'Lineal Mixto'!$C$1928</f>
      </c>
      <c r="C4962" s="6" t="str">
        <f>IF(AND(B4962&gt;=$B$3034,B4962&lt;=$B$3035),1,0)</f>
      </c>
      <c r="D4962" s="6" t="str">
        <f>IF(OR(D4961=1,C4962=1),1,0)</f>
      </c>
      <c r="E4962" s="6" t="str">
        <f>IF(C4962=1,0,IF(D4961=1,E4961+1,0))</f>
      </c>
      <c r="F4962" s="6" t="str">
        <f>IF(AND(C4962=1,D4961=1),MIN(E4961,3),"")</f>
      </c>
    </row>
    <row r="4963">
      <c r="A4963" s="5">
        <v>1925</v>
      </c>
      <c r="B4963" s="5" t="str">
        <f>'Lineal Mixto'!$C$1929</f>
      </c>
      <c r="C4963" s="5" t="str">
        <f>IF(AND(B4963&gt;=$B$3034,B4963&lt;=$B$3035),1,0)</f>
      </c>
      <c r="D4963" s="5" t="str">
        <f>IF(OR(D4962=1,C4963=1),1,0)</f>
      </c>
      <c r="E4963" s="5" t="str">
        <f>IF(C4963=1,0,IF(D4962=1,E4962+1,0))</f>
      </c>
      <c r="F4963" s="5" t="str">
        <f>IF(AND(C4963=1,D4962=1),MIN(E4962,3),"")</f>
      </c>
    </row>
    <row r="4964">
      <c r="A4964" s="6">
        <v>1926</v>
      </c>
      <c r="B4964" s="6" t="str">
        <f>'Lineal Mixto'!$C$1930</f>
      </c>
      <c r="C4964" s="6" t="str">
        <f>IF(AND(B4964&gt;=$B$3034,B4964&lt;=$B$3035),1,0)</f>
      </c>
      <c r="D4964" s="6" t="str">
        <f>IF(OR(D4963=1,C4964=1),1,0)</f>
      </c>
      <c r="E4964" s="6" t="str">
        <f>IF(C4964=1,0,IF(D4963=1,E4963+1,0))</f>
      </c>
      <c r="F4964" s="6" t="str">
        <f>IF(AND(C4964=1,D4963=1),MIN(E4963,3),"")</f>
      </c>
    </row>
    <row r="4965">
      <c r="A4965" s="5">
        <v>1927</v>
      </c>
      <c r="B4965" s="5" t="str">
        <f>'Lineal Mixto'!$C$1931</f>
      </c>
      <c r="C4965" s="5" t="str">
        <f>IF(AND(B4965&gt;=$B$3034,B4965&lt;=$B$3035),1,0)</f>
      </c>
      <c r="D4965" s="5" t="str">
        <f>IF(OR(D4964=1,C4965=1),1,0)</f>
      </c>
      <c r="E4965" s="5" t="str">
        <f>IF(C4965=1,0,IF(D4964=1,E4964+1,0))</f>
      </c>
      <c r="F4965" s="5" t="str">
        <f>IF(AND(C4965=1,D4964=1),MIN(E4964,3),"")</f>
      </c>
    </row>
    <row r="4966">
      <c r="A4966" s="6">
        <v>1928</v>
      </c>
      <c r="B4966" s="6" t="str">
        <f>'Lineal Mixto'!$C$1932</f>
      </c>
      <c r="C4966" s="6" t="str">
        <f>IF(AND(B4966&gt;=$B$3034,B4966&lt;=$B$3035),1,0)</f>
      </c>
      <c r="D4966" s="6" t="str">
        <f>IF(OR(D4965=1,C4966=1),1,0)</f>
      </c>
      <c r="E4966" s="6" t="str">
        <f>IF(C4966=1,0,IF(D4965=1,E4965+1,0))</f>
      </c>
      <c r="F4966" s="6" t="str">
        <f>IF(AND(C4966=1,D4965=1),MIN(E4965,3),"")</f>
      </c>
    </row>
    <row r="4967">
      <c r="A4967" s="5">
        <v>1929</v>
      </c>
      <c r="B4967" s="5" t="str">
        <f>'Lineal Mixto'!$C$1933</f>
      </c>
      <c r="C4967" s="5" t="str">
        <f>IF(AND(B4967&gt;=$B$3034,B4967&lt;=$B$3035),1,0)</f>
      </c>
      <c r="D4967" s="5" t="str">
        <f>IF(OR(D4966=1,C4967=1),1,0)</f>
      </c>
      <c r="E4967" s="5" t="str">
        <f>IF(C4967=1,0,IF(D4966=1,E4966+1,0))</f>
      </c>
      <c r="F4967" s="5" t="str">
        <f>IF(AND(C4967=1,D4966=1),MIN(E4966,3),"")</f>
      </c>
    </row>
    <row r="4968">
      <c r="A4968" s="6">
        <v>1930</v>
      </c>
      <c r="B4968" s="6" t="str">
        <f>'Lineal Mixto'!$C$1934</f>
      </c>
      <c r="C4968" s="6" t="str">
        <f>IF(AND(B4968&gt;=$B$3034,B4968&lt;=$B$3035),1,0)</f>
      </c>
      <c r="D4968" s="6" t="str">
        <f>IF(OR(D4967=1,C4968=1),1,0)</f>
      </c>
      <c r="E4968" s="6" t="str">
        <f>IF(C4968=1,0,IF(D4967=1,E4967+1,0))</f>
      </c>
      <c r="F4968" s="6" t="str">
        <f>IF(AND(C4968=1,D4967=1),MIN(E4967,3),"")</f>
      </c>
    </row>
    <row r="4969">
      <c r="A4969" s="5">
        <v>1931</v>
      </c>
      <c r="B4969" s="5" t="str">
        <f>'Lineal Mixto'!$C$1935</f>
      </c>
      <c r="C4969" s="5" t="str">
        <f>IF(AND(B4969&gt;=$B$3034,B4969&lt;=$B$3035),1,0)</f>
      </c>
      <c r="D4969" s="5" t="str">
        <f>IF(OR(D4968=1,C4969=1),1,0)</f>
      </c>
      <c r="E4969" s="5" t="str">
        <f>IF(C4969=1,0,IF(D4968=1,E4968+1,0))</f>
      </c>
      <c r="F4969" s="5" t="str">
        <f>IF(AND(C4969=1,D4968=1),MIN(E4968,3),"")</f>
      </c>
    </row>
    <row r="4970">
      <c r="A4970" s="6">
        <v>1932</v>
      </c>
      <c r="B4970" s="6" t="str">
        <f>'Lineal Mixto'!$C$1936</f>
      </c>
      <c r="C4970" s="6" t="str">
        <f>IF(AND(B4970&gt;=$B$3034,B4970&lt;=$B$3035),1,0)</f>
      </c>
      <c r="D4970" s="6" t="str">
        <f>IF(OR(D4969=1,C4970=1),1,0)</f>
      </c>
      <c r="E4970" s="6" t="str">
        <f>IF(C4970=1,0,IF(D4969=1,E4969+1,0))</f>
      </c>
      <c r="F4970" s="6" t="str">
        <f>IF(AND(C4970=1,D4969=1),MIN(E4969,3),"")</f>
      </c>
    </row>
    <row r="4971">
      <c r="A4971" s="5">
        <v>1933</v>
      </c>
      <c r="B4971" s="5" t="str">
        <f>'Lineal Mixto'!$C$1937</f>
      </c>
      <c r="C4971" s="5" t="str">
        <f>IF(AND(B4971&gt;=$B$3034,B4971&lt;=$B$3035),1,0)</f>
      </c>
      <c r="D4971" s="5" t="str">
        <f>IF(OR(D4970=1,C4971=1),1,0)</f>
      </c>
      <c r="E4971" s="5" t="str">
        <f>IF(C4971=1,0,IF(D4970=1,E4970+1,0))</f>
      </c>
      <c r="F4971" s="5" t="str">
        <f>IF(AND(C4971=1,D4970=1),MIN(E4970,3),"")</f>
      </c>
    </row>
    <row r="4972">
      <c r="A4972" s="6">
        <v>1934</v>
      </c>
      <c r="B4972" s="6" t="str">
        <f>'Lineal Mixto'!$C$1938</f>
      </c>
      <c r="C4972" s="6" t="str">
        <f>IF(AND(B4972&gt;=$B$3034,B4972&lt;=$B$3035),1,0)</f>
      </c>
      <c r="D4972" s="6" t="str">
        <f>IF(OR(D4971=1,C4972=1),1,0)</f>
      </c>
      <c r="E4972" s="6" t="str">
        <f>IF(C4972=1,0,IF(D4971=1,E4971+1,0))</f>
      </c>
      <c r="F4972" s="6" t="str">
        <f>IF(AND(C4972=1,D4971=1),MIN(E4971,3),"")</f>
      </c>
    </row>
    <row r="4973">
      <c r="A4973" s="5">
        <v>1935</v>
      </c>
      <c r="B4973" s="5" t="str">
        <f>'Lineal Mixto'!$C$1939</f>
      </c>
      <c r="C4973" s="5" t="str">
        <f>IF(AND(B4973&gt;=$B$3034,B4973&lt;=$B$3035),1,0)</f>
      </c>
      <c r="D4973" s="5" t="str">
        <f>IF(OR(D4972=1,C4973=1),1,0)</f>
      </c>
      <c r="E4973" s="5" t="str">
        <f>IF(C4973=1,0,IF(D4972=1,E4972+1,0))</f>
      </c>
      <c r="F4973" s="5" t="str">
        <f>IF(AND(C4973=1,D4972=1),MIN(E4972,3),"")</f>
      </c>
    </row>
    <row r="4974">
      <c r="A4974" s="6">
        <v>1936</v>
      </c>
      <c r="B4974" s="6" t="str">
        <f>'Lineal Mixto'!$C$1940</f>
      </c>
      <c r="C4974" s="6" t="str">
        <f>IF(AND(B4974&gt;=$B$3034,B4974&lt;=$B$3035),1,0)</f>
      </c>
      <c r="D4974" s="6" t="str">
        <f>IF(OR(D4973=1,C4974=1),1,0)</f>
      </c>
      <c r="E4974" s="6" t="str">
        <f>IF(C4974=1,0,IF(D4973=1,E4973+1,0))</f>
      </c>
      <c r="F4974" s="6" t="str">
        <f>IF(AND(C4974=1,D4973=1),MIN(E4973,3),"")</f>
      </c>
    </row>
    <row r="4975">
      <c r="A4975" s="5">
        <v>1937</v>
      </c>
      <c r="B4975" s="5" t="str">
        <f>'Lineal Mixto'!$C$1941</f>
      </c>
      <c r="C4975" s="5" t="str">
        <f>IF(AND(B4975&gt;=$B$3034,B4975&lt;=$B$3035),1,0)</f>
      </c>
      <c r="D4975" s="5" t="str">
        <f>IF(OR(D4974=1,C4975=1),1,0)</f>
      </c>
      <c r="E4975" s="5" t="str">
        <f>IF(C4975=1,0,IF(D4974=1,E4974+1,0))</f>
      </c>
      <c r="F4975" s="5" t="str">
        <f>IF(AND(C4975=1,D4974=1),MIN(E4974,3),"")</f>
      </c>
    </row>
    <row r="4976">
      <c r="A4976" s="6">
        <v>1938</v>
      </c>
      <c r="B4976" s="6" t="str">
        <f>'Lineal Mixto'!$C$1942</f>
      </c>
      <c r="C4976" s="6" t="str">
        <f>IF(AND(B4976&gt;=$B$3034,B4976&lt;=$B$3035),1,0)</f>
      </c>
      <c r="D4976" s="6" t="str">
        <f>IF(OR(D4975=1,C4976=1),1,0)</f>
      </c>
      <c r="E4976" s="6" t="str">
        <f>IF(C4976=1,0,IF(D4975=1,E4975+1,0))</f>
      </c>
      <c r="F4976" s="6" t="str">
        <f>IF(AND(C4976=1,D4975=1),MIN(E4975,3),"")</f>
      </c>
    </row>
    <row r="4977">
      <c r="A4977" s="5">
        <v>1939</v>
      </c>
      <c r="B4977" s="5" t="str">
        <f>'Lineal Mixto'!$C$1943</f>
      </c>
      <c r="C4977" s="5" t="str">
        <f>IF(AND(B4977&gt;=$B$3034,B4977&lt;=$B$3035),1,0)</f>
      </c>
      <c r="D4977" s="5" t="str">
        <f>IF(OR(D4976=1,C4977=1),1,0)</f>
      </c>
      <c r="E4977" s="5" t="str">
        <f>IF(C4977=1,0,IF(D4976=1,E4976+1,0))</f>
      </c>
      <c r="F4977" s="5" t="str">
        <f>IF(AND(C4977=1,D4976=1),MIN(E4976,3),"")</f>
      </c>
    </row>
    <row r="4978">
      <c r="A4978" s="6">
        <v>1940</v>
      </c>
      <c r="B4978" s="6" t="str">
        <f>'Lineal Mixto'!$C$1944</f>
      </c>
      <c r="C4978" s="6" t="str">
        <f>IF(AND(B4978&gt;=$B$3034,B4978&lt;=$B$3035),1,0)</f>
      </c>
      <c r="D4978" s="6" t="str">
        <f>IF(OR(D4977=1,C4978=1),1,0)</f>
      </c>
      <c r="E4978" s="6" t="str">
        <f>IF(C4978=1,0,IF(D4977=1,E4977+1,0))</f>
      </c>
      <c r="F4978" s="6" t="str">
        <f>IF(AND(C4978=1,D4977=1),MIN(E4977,3),"")</f>
      </c>
    </row>
    <row r="4979">
      <c r="A4979" s="5">
        <v>1941</v>
      </c>
      <c r="B4979" s="5" t="str">
        <f>'Lineal Mixto'!$C$1945</f>
      </c>
      <c r="C4979" s="5" t="str">
        <f>IF(AND(B4979&gt;=$B$3034,B4979&lt;=$B$3035),1,0)</f>
      </c>
      <c r="D4979" s="5" t="str">
        <f>IF(OR(D4978=1,C4979=1),1,0)</f>
      </c>
      <c r="E4979" s="5" t="str">
        <f>IF(C4979=1,0,IF(D4978=1,E4978+1,0))</f>
      </c>
      <c r="F4979" s="5" t="str">
        <f>IF(AND(C4979=1,D4978=1),MIN(E4978,3),"")</f>
      </c>
    </row>
    <row r="4980">
      <c r="A4980" s="6">
        <v>1942</v>
      </c>
      <c r="B4980" s="6" t="str">
        <f>'Lineal Mixto'!$C$1946</f>
      </c>
      <c r="C4980" s="6" t="str">
        <f>IF(AND(B4980&gt;=$B$3034,B4980&lt;=$B$3035),1,0)</f>
      </c>
      <c r="D4980" s="6" t="str">
        <f>IF(OR(D4979=1,C4980=1),1,0)</f>
      </c>
      <c r="E4980" s="6" t="str">
        <f>IF(C4980=1,0,IF(D4979=1,E4979+1,0))</f>
      </c>
      <c r="F4980" s="6" t="str">
        <f>IF(AND(C4980=1,D4979=1),MIN(E4979,3),"")</f>
      </c>
    </row>
    <row r="4981">
      <c r="A4981" s="5">
        <v>1943</v>
      </c>
      <c r="B4981" s="5" t="str">
        <f>'Lineal Mixto'!$C$1947</f>
      </c>
      <c r="C4981" s="5" t="str">
        <f>IF(AND(B4981&gt;=$B$3034,B4981&lt;=$B$3035),1,0)</f>
      </c>
      <c r="D4981" s="5" t="str">
        <f>IF(OR(D4980=1,C4981=1),1,0)</f>
      </c>
      <c r="E4981" s="5" t="str">
        <f>IF(C4981=1,0,IF(D4980=1,E4980+1,0))</f>
      </c>
      <c r="F4981" s="5" t="str">
        <f>IF(AND(C4981=1,D4980=1),MIN(E4980,3),"")</f>
      </c>
    </row>
    <row r="4982">
      <c r="A4982" s="6">
        <v>1944</v>
      </c>
      <c r="B4982" s="6" t="str">
        <f>'Lineal Mixto'!$C$1948</f>
      </c>
      <c r="C4982" s="6" t="str">
        <f>IF(AND(B4982&gt;=$B$3034,B4982&lt;=$B$3035),1,0)</f>
      </c>
      <c r="D4982" s="6" t="str">
        <f>IF(OR(D4981=1,C4982=1),1,0)</f>
      </c>
      <c r="E4982" s="6" t="str">
        <f>IF(C4982=1,0,IF(D4981=1,E4981+1,0))</f>
      </c>
      <c r="F4982" s="6" t="str">
        <f>IF(AND(C4982=1,D4981=1),MIN(E4981,3),"")</f>
      </c>
    </row>
    <row r="4983">
      <c r="A4983" s="5">
        <v>1945</v>
      </c>
      <c r="B4983" s="5" t="str">
        <f>'Lineal Mixto'!$C$1949</f>
      </c>
      <c r="C4983" s="5" t="str">
        <f>IF(AND(B4983&gt;=$B$3034,B4983&lt;=$B$3035),1,0)</f>
      </c>
      <c r="D4983" s="5" t="str">
        <f>IF(OR(D4982=1,C4983=1),1,0)</f>
      </c>
      <c r="E4983" s="5" t="str">
        <f>IF(C4983=1,0,IF(D4982=1,E4982+1,0))</f>
      </c>
      <c r="F4983" s="5" t="str">
        <f>IF(AND(C4983=1,D4982=1),MIN(E4982,3),"")</f>
      </c>
    </row>
    <row r="4984">
      <c r="A4984" s="6">
        <v>1946</v>
      </c>
      <c r="B4984" s="6" t="str">
        <f>'Lineal Mixto'!$C$1950</f>
      </c>
      <c r="C4984" s="6" t="str">
        <f>IF(AND(B4984&gt;=$B$3034,B4984&lt;=$B$3035),1,0)</f>
      </c>
      <c r="D4984" s="6" t="str">
        <f>IF(OR(D4983=1,C4984=1),1,0)</f>
      </c>
      <c r="E4984" s="6" t="str">
        <f>IF(C4984=1,0,IF(D4983=1,E4983+1,0))</f>
      </c>
      <c r="F4984" s="6" t="str">
        <f>IF(AND(C4984=1,D4983=1),MIN(E4983,3),"")</f>
      </c>
    </row>
    <row r="4985">
      <c r="A4985" s="5">
        <v>1947</v>
      </c>
      <c r="B4985" s="5" t="str">
        <f>'Lineal Mixto'!$C$1951</f>
      </c>
      <c r="C4985" s="5" t="str">
        <f>IF(AND(B4985&gt;=$B$3034,B4985&lt;=$B$3035),1,0)</f>
      </c>
      <c r="D4985" s="5" t="str">
        <f>IF(OR(D4984=1,C4985=1),1,0)</f>
      </c>
      <c r="E4985" s="5" t="str">
        <f>IF(C4985=1,0,IF(D4984=1,E4984+1,0))</f>
      </c>
      <c r="F4985" s="5" t="str">
        <f>IF(AND(C4985=1,D4984=1),MIN(E4984,3),"")</f>
      </c>
    </row>
    <row r="4986">
      <c r="A4986" s="6">
        <v>1948</v>
      </c>
      <c r="B4986" s="6" t="str">
        <f>'Lineal Mixto'!$C$1952</f>
      </c>
      <c r="C4986" s="6" t="str">
        <f>IF(AND(B4986&gt;=$B$3034,B4986&lt;=$B$3035),1,0)</f>
      </c>
      <c r="D4986" s="6" t="str">
        <f>IF(OR(D4985=1,C4986=1),1,0)</f>
      </c>
      <c r="E4986" s="6" t="str">
        <f>IF(C4986=1,0,IF(D4985=1,E4985+1,0))</f>
      </c>
      <c r="F4986" s="6" t="str">
        <f>IF(AND(C4986=1,D4985=1),MIN(E4985,3),"")</f>
      </c>
    </row>
    <row r="4987">
      <c r="A4987" s="5">
        <v>1949</v>
      </c>
      <c r="B4987" s="5" t="str">
        <f>'Lineal Mixto'!$C$1953</f>
      </c>
      <c r="C4987" s="5" t="str">
        <f>IF(AND(B4987&gt;=$B$3034,B4987&lt;=$B$3035),1,0)</f>
      </c>
      <c r="D4987" s="5" t="str">
        <f>IF(OR(D4986=1,C4987=1),1,0)</f>
      </c>
      <c r="E4987" s="5" t="str">
        <f>IF(C4987=1,0,IF(D4986=1,E4986+1,0))</f>
      </c>
      <c r="F4987" s="5" t="str">
        <f>IF(AND(C4987=1,D4986=1),MIN(E4986,3),"")</f>
      </c>
    </row>
    <row r="4988">
      <c r="A4988" s="6">
        <v>1950</v>
      </c>
      <c r="B4988" s="6" t="str">
        <f>'Lineal Mixto'!$C$1954</f>
      </c>
      <c r="C4988" s="6" t="str">
        <f>IF(AND(B4988&gt;=$B$3034,B4988&lt;=$B$3035),1,0)</f>
      </c>
      <c r="D4988" s="6" t="str">
        <f>IF(OR(D4987=1,C4988=1),1,0)</f>
      </c>
      <c r="E4988" s="6" t="str">
        <f>IF(C4988=1,0,IF(D4987=1,E4987+1,0))</f>
      </c>
      <c r="F4988" s="6" t="str">
        <f>IF(AND(C4988=1,D4987=1),MIN(E4987,3),"")</f>
      </c>
    </row>
    <row r="4989">
      <c r="A4989" s="5">
        <v>1951</v>
      </c>
      <c r="B4989" s="5" t="str">
        <f>'Lineal Mixto'!$C$1955</f>
      </c>
      <c r="C4989" s="5" t="str">
        <f>IF(AND(B4989&gt;=$B$3034,B4989&lt;=$B$3035),1,0)</f>
      </c>
      <c r="D4989" s="5" t="str">
        <f>IF(OR(D4988=1,C4989=1),1,0)</f>
      </c>
      <c r="E4989" s="5" t="str">
        <f>IF(C4989=1,0,IF(D4988=1,E4988+1,0))</f>
      </c>
      <c r="F4989" s="5" t="str">
        <f>IF(AND(C4989=1,D4988=1),MIN(E4988,3),"")</f>
      </c>
    </row>
    <row r="4990">
      <c r="A4990" s="6">
        <v>1952</v>
      </c>
      <c r="B4990" s="6" t="str">
        <f>'Lineal Mixto'!$C$1956</f>
      </c>
      <c r="C4990" s="6" t="str">
        <f>IF(AND(B4990&gt;=$B$3034,B4990&lt;=$B$3035),1,0)</f>
      </c>
      <c r="D4990" s="6" t="str">
        <f>IF(OR(D4989=1,C4990=1),1,0)</f>
      </c>
      <c r="E4990" s="6" t="str">
        <f>IF(C4990=1,0,IF(D4989=1,E4989+1,0))</f>
      </c>
      <c r="F4990" s="6" t="str">
        <f>IF(AND(C4990=1,D4989=1),MIN(E4989,3),"")</f>
      </c>
    </row>
    <row r="4991">
      <c r="A4991" s="5">
        <v>1953</v>
      </c>
      <c r="B4991" s="5" t="str">
        <f>'Lineal Mixto'!$C$1957</f>
      </c>
      <c r="C4991" s="5" t="str">
        <f>IF(AND(B4991&gt;=$B$3034,B4991&lt;=$B$3035),1,0)</f>
      </c>
      <c r="D4991" s="5" t="str">
        <f>IF(OR(D4990=1,C4991=1),1,0)</f>
      </c>
      <c r="E4991" s="5" t="str">
        <f>IF(C4991=1,0,IF(D4990=1,E4990+1,0))</f>
      </c>
      <c r="F4991" s="5" t="str">
        <f>IF(AND(C4991=1,D4990=1),MIN(E4990,3),"")</f>
      </c>
    </row>
    <row r="4992">
      <c r="A4992" s="6">
        <v>1954</v>
      </c>
      <c r="B4992" s="6" t="str">
        <f>'Lineal Mixto'!$C$1958</f>
      </c>
      <c r="C4992" s="6" t="str">
        <f>IF(AND(B4992&gt;=$B$3034,B4992&lt;=$B$3035),1,0)</f>
      </c>
      <c r="D4992" s="6" t="str">
        <f>IF(OR(D4991=1,C4992=1),1,0)</f>
      </c>
      <c r="E4992" s="6" t="str">
        <f>IF(C4992=1,0,IF(D4991=1,E4991+1,0))</f>
      </c>
      <c r="F4992" s="6" t="str">
        <f>IF(AND(C4992=1,D4991=1),MIN(E4991,3),"")</f>
      </c>
    </row>
    <row r="4993">
      <c r="A4993" s="5">
        <v>1955</v>
      </c>
      <c r="B4993" s="5" t="str">
        <f>'Lineal Mixto'!$C$1959</f>
      </c>
      <c r="C4993" s="5" t="str">
        <f>IF(AND(B4993&gt;=$B$3034,B4993&lt;=$B$3035),1,0)</f>
      </c>
      <c r="D4993" s="5" t="str">
        <f>IF(OR(D4992=1,C4993=1),1,0)</f>
      </c>
      <c r="E4993" s="5" t="str">
        <f>IF(C4993=1,0,IF(D4992=1,E4992+1,0))</f>
      </c>
      <c r="F4993" s="5" t="str">
        <f>IF(AND(C4993=1,D4992=1),MIN(E4992,3),"")</f>
      </c>
    </row>
    <row r="4994">
      <c r="A4994" s="6">
        <v>1956</v>
      </c>
      <c r="B4994" s="6" t="str">
        <f>'Lineal Mixto'!$C$1960</f>
      </c>
      <c r="C4994" s="6" t="str">
        <f>IF(AND(B4994&gt;=$B$3034,B4994&lt;=$B$3035),1,0)</f>
      </c>
      <c r="D4994" s="6" t="str">
        <f>IF(OR(D4993=1,C4994=1),1,0)</f>
      </c>
      <c r="E4994" s="6" t="str">
        <f>IF(C4994=1,0,IF(D4993=1,E4993+1,0))</f>
      </c>
      <c r="F4994" s="6" t="str">
        <f>IF(AND(C4994=1,D4993=1),MIN(E4993,3),"")</f>
      </c>
    </row>
    <row r="4995">
      <c r="A4995" s="5">
        <v>1957</v>
      </c>
      <c r="B4995" s="5" t="str">
        <f>'Lineal Mixto'!$C$1961</f>
      </c>
      <c r="C4995" s="5" t="str">
        <f>IF(AND(B4995&gt;=$B$3034,B4995&lt;=$B$3035),1,0)</f>
      </c>
      <c r="D4995" s="5" t="str">
        <f>IF(OR(D4994=1,C4995=1),1,0)</f>
      </c>
      <c r="E4995" s="5" t="str">
        <f>IF(C4995=1,0,IF(D4994=1,E4994+1,0))</f>
      </c>
      <c r="F4995" s="5" t="str">
        <f>IF(AND(C4995=1,D4994=1),MIN(E4994,3),"")</f>
      </c>
    </row>
    <row r="4996">
      <c r="A4996" s="6">
        <v>1958</v>
      </c>
      <c r="B4996" s="6" t="str">
        <f>'Lineal Mixto'!$C$1962</f>
      </c>
      <c r="C4996" s="6" t="str">
        <f>IF(AND(B4996&gt;=$B$3034,B4996&lt;=$B$3035),1,0)</f>
      </c>
      <c r="D4996" s="6" t="str">
        <f>IF(OR(D4995=1,C4996=1),1,0)</f>
      </c>
      <c r="E4996" s="6" t="str">
        <f>IF(C4996=1,0,IF(D4995=1,E4995+1,0))</f>
      </c>
      <c r="F4996" s="6" t="str">
        <f>IF(AND(C4996=1,D4995=1),MIN(E4995,3),"")</f>
      </c>
    </row>
    <row r="4997">
      <c r="A4997" s="5">
        <v>1959</v>
      </c>
      <c r="B4997" s="5" t="str">
        <f>'Lineal Mixto'!$C$1963</f>
      </c>
      <c r="C4997" s="5" t="str">
        <f>IF(AND(B4997&gt;=$B$3034,B4997&lt;=$B$3035),1,0)</f>
      </c>
      <c r="D4997" s="5" t="str">
        <f>IF(OR(D4996=1,C4997=1),1,0)</f>
      </c>
      <c r="E4997" s="5" t="str">
        <f>IF(C4997=1,0,IF(D4996=1,E4996+1,0))</f>
      </c>
      <c r="F4997" s="5" t="str">
        <f>IF(AND(C4997=1,D4996=1),MIN(E4996,3),"")</f>
      </c>
    </row>
    <row r="4998">
      <c r="A4998" s="6">
        <v>1960</v>
      </c>
      <c r="B4998" s="6" t="str">
        <f>'Lineal Mixto'!$C$1964</f>
      </c>
      <c r="C4998" s="6" t="str">
        <f>IF(AND(B4998&gt;=$B$3034,B4998&lt;=$B$3035),1,0)</f>
      </c>
      <c r="D4998" s="6" t="str">
        <f>IF(OR(D4997=1,C4998=1),1,0)</f>
      </c>
      <c r="E4998" s="6" t="str">
        <f>IF(C4998=1,0,IF(D4997=1,E4997+1,0))</f>
      </c>
      <c r="F4998" s="6" t="str">
        <f>IF(AND(C4998=1,D4997=1),MIN(E4997,3),"")</f>
      </c>
    </row>
    <row r="4999">
      <c r="A4999" s="5">
        <v>1961</v>
      </c>
      <c r="B4999" s="5" t="str">
        <f>'Lineal Mixto'!$C$1965</f>
      </c>
      <c r="C4999" s="5" t="str">
        <f>IF(AND(B4999&gt;=$B$3034,B4999&lt;=$B$3035),1,0)</f>
      </c>
      <c r="D4999" s="5" t="str">
        <f>IF(OR(D4998=1,C4999=1),1,0)</f>
      </c>
      <c r="E4999" s="5" t="str">
        <f>IF(C4999=1,0,IF(D4998=1,E4998+1,0))</f>
      </c>
      <c r="F4999" s="5" t="str">
        <f>IF(AND(C4999=1,D4998=1),MIN(E4998,3),"")</f>
      </c>
    </row>
    <row r="5000">
      <c r="A5000" s="6">
        <v>1962</v>
      </c>
      <c r="B5000" s="6" t="str">
        <f>'Lineal Mixto'!$C$1966</f>
      </c>
      <c r="C5000" s="6" t="str">
        <f>IF(AND(B5000&gt;=$B$3034,B5000&lt;=$B$3035),1,0)</f>
      </c>
      <c r="D5000" s="6" t="str">
        <f>IF(OR(D4999=1,C5000=1),1,0)</f>
      </c>
      <c r="E5000" s="6" t="str">
        <f>IF(C5000=1,0,IF(D4999=1,E4999+1,0))</f>
      </c>
      <c r="F5000" s="6" t="str">
        <f>IF(AND(C5000=1,D4999=1),MIN(E4999,3),"")</f>
      </c>
    </row>
    <row r="5001">
      <c r="A5001" s="5">
        <v>1963</v>
      </c>
      <c r="B5001" s="5" t="str">
        <f>'Lineal Mixto'!$C$1967</f>
      </c>
      <c r="C5001" s="5" t="str">
        <f>IF(AND(B5001&gt;=$B$3034,B5001&lt;=$B$3035),1,0)</f>
      </c>
      <c r="D5001" s="5" t="str">
        <f>IF(OR(D5000=1,C5001=1),1,0)</f>
      </c>
      <c r="E5001" s="5" t="str">
        <f>IF(C5001=1,0,IF(D5000=1,E5000+1,0))</f>
      </c>
      <c r="F5001" s="5" t="str">
        <f>IF(AND(C5001=1,D5000=1),MIN(E5000,3),"")</f>
      </c>
    </row>
    <row r="5002">
      <c r="A5002" s="6">
        <v>1964</v>
      </c>
      <c r="B5002" s="6" t="str">
        <f>'Lineal Mixto'!$C$1968</f>
      </c>
      <c r="C5002" s="6" t="str">
        <f>IF(AND(B5002&gt;=$B$3034,B5002&lt;=$B$3035),1,0)</f>
      </c>
      <c r="D5002" s="6" t="str">
        <f>IF(OR(D5001=1,C5002=1),1,0)</f>
      </c>
      <c r="E5002" s="6" t="str">
        <f>IF(C5002=1,0,IF(D5001=1,E5001+1,0))</f>
      </c>
      <c r="F5002" s="6" t="str">
        <f>IF(AND(C5002=1,D5001=1),MIN(E5001,3),"")</f>
      </c>
    </row>
    <row r="5003">
      <c r="A5003" s="5">
        <v>1965</v>
      </c>
      <c r="B5003" s="5" t="str">
        <f>'Lineal Mixto'!$C$1969</f>
      </c>
      <c r="C5003" s="5" t="str">
        <f>IF(AND(B5003&gt;=$B$3034,B5003&lt;=$B$3035),1,0)</f>
      </c>
      <c r="D5003" s="5" t="str">
        <f>IF(OR(D5002=1,C5003=1),1,0)</f>
      </c>
      <c r="E5003" s="5" t="str">
        <f>IF(C5003=1,0,IF(D5002=1,E5002+1,0))</f>
      </c>
      <c r="F5003" s="5" t="str">
        <f>IF(AND(C5003=1,D5002=1),MIN(E5002,3),"")</f>
      </c>
    </row>
    <row r="5004">
      <c r="A5004" s="6">
        <v>1966</v>
      </c>
      <c r="B5004" s="6" t="str">
        <f>'Lineal Mixto'!$C$1970</f>
      </c>
      <c r="C5004" s="6" t="str">
        <f>IF(AND(B5004&gt;=$B$3034,B5004&lt;=$B$3035),1,0)</f>
      </c>
      <c r="D5004" s="6" t="str">
        <f>IF(OR(D5003=1,C5004=1),1,0)</f>
      </c>
      <c r="E5004" s="6" t="str">
        <f>IF(C5004=1,0,IF(D5003=1,E5003+1,0))</f>
      </c>
      <c r="F5004" s="6" t="str">
        <f>IF(AND(C5004=1,D5003=1),MIN(E5003,3),"")</f>
      </c>
    </row>
    <row r="5005">
      <c r="A5005" s="5">
        <v>1967</v>
      </c>
      <c r="B5005" s="5" t="str">
        <f>'Lineal Mixto'!$C$1971</f>
      </c>
      <c r="C5005" s="5" t="str">
        <f>IF(AND(B5005&gt;=$B$3034,B5005&lt;=$B$3035),1,0)</f>
      </c>
      <c r="D5005" s="5" t="str">
        <f>IF(OR(D5004=1,C5005=1),1,0)</f>
      </c>
      <c r="E5005" s="5" t="str">
        <f>IF(C5005=1,0,IF(D5004=1,E5004+1,0))</f>
      </c>
      <c r="F5005" s="5" t="str">
        <f>IF(AND(C5005=1,D5004=1),MIN(E5004,3),"")</f>
      </c>
    </row>
    <row r="5006">
      <c r="A5006" s="6">
        <v>1968</v>
      </c>
      <c r="B5006" s="6" t="str">
        <f>'Lineal Mixto'!$C$1972</f>
      </c>
      <c r="C5006" s="6" t="str">
        <f>IF(AND(B5006&gt;=$B$3034,B5006&lt;=$B$3035),1,0)</f>
      </c>
      <c r="D5006" s="6" t="str">
        <f>IF(OR(D5005=1,C5006=1),1,0)</f>
      </c>
      <c r="E5006" s="6" t="str">
        <f>IF(C5006=1,0,IF(D5005=1,E5005+1,0))</f>
      </c>
      <c r="F5006" s="6" t="str">
        <f>IF(AND(C5006=1,D5005=1),MIN(E5005,3),"")</f>
      </c>
    </row>
    <row r="5007">
      <c r="A5007" s="5">
        <v>1969</v>
      </c>
      <c r="B5007" s="5" t="str">
        <f>'Lineal Mixto'!$C$1973</f>
      </c>
      <c r="C5007" s="5" t="str">
        <f>IF(AND(B5007&gt;=$B$3034,B5007&lt;=$B$3035),1,0)</f>
      </c>
      <c r="D5007" s="5" t="str">
        <f>IF(OR(D5006=1,C5007=1),1,0)</f>
      </c>
      <c r="E5007" s="5" t="str">
        <f>IF(C5007=1,0,IF(D5006=1,E5006+1,0))</f>
      </c>
      <c r="F5007" s="5" t="str">
        <f>IF(AND(C5007=1,D5006=1),MIN(E5006,3),"")</f>
      </c>
    </row>
    <row r="5008">
      <c r="A5008" s="6">
        <v>1970</v>
      </c>
      <c r="B5008" s="6" t="str">
        <f>'Lineal Mixto'!$C$1974</f>
      </c>
      <c r="C5008" s="6" t="str">
        <f>IF(AND(B5008&gt;=$B$3034,B5008&lt;=$B$3035),1,0)</f>
      </c>
      <c r="D5008" s="6" t="str">
        <f>IF(OR(D5007=1,C5008=1),1,0)</f>
      </c>
      <c r="E5008" s="6" t="str">
        <f>IF(C5008=1,0,IF(D5007=1,E5007+1,0))</f>
      </c>
      <c r="F5008" s="6" t="str">
        <f>IF(AND(C5008=1,D5007=1),MIN(E5007,3),"")</f>
      </c>
    </row>
    <row r="5009">
      <c r="A5009" s="5">
        <v>1971</v>
      </c>
      <c r="B5009" s="5" t="str">
        <f>'Lineal Mixto'!$C$1975</f>
      </c>
      <c r="C5009" s="5" t="str">
        <f>IF(AND(B5009&gt;=$B$3034,B5009&lt;=$B$3035),1,0)</f>
      </c>
      <c r="D5009" s="5" t="str">
        <f>IF(OR(D5008=1,C5009=1),1,0)</f>
      </c>
      <c r="E5009" s="5" t="str">
        <f>IF(C5009=1,0,IF(D5008=1,E5008+1,0))</f>
      </c>
      <c r="F5009" s="5" t="str">
        <f>IF(AND(C5009=1,D5008=1),MIN(E5008,3),"")</f>
      </c>
    </row>
    <row r="5010">
      <c r="A5010" s="6">
        <v>1972</v>
      </c>
      <c r="B5010" s="6" t="str">
        <f>'Lineal Mixto'!$C$1976</f>
      </c>
      <c r="C5010" s="6" t="str">
        <f>IF(AND(B5010&gt;=$B$3034,B5010&lt;=$B$3035),1,0)</f>
      </c>
      <c r="D5010" s="6" t="str">
        <f>IF(OR(D5009=1,C5010=1),1,0)</f>
      </c>
      <c r="E5010" s="6" t="str">
        <f>IF(C5010=1,0,IF(D5009=1,E5009+1,0))</f>
      </c>
      <c r="F5010" s="6" t="str">
        <f>IF(AND(C5010=1,D5009=1),MIN(E5009,3),"")</f>
      </c>
    </row>
    <row r="5011">
      <c r="A5011" s="5">
        <v>1973</v>
      </c>
      <c r="B5011" s="5" t="str">
        <f>'Lineal Mixto'!$C$1977</f>
      </c>
      <c r="C5011" s="5" t="str">
        <f>IF(AND(B5011&gt;=$B$3034,B5011&lt;=$B$3035),1,0)</f>
      </c>
      <c r="D5011" s="5" t="str">
        <f>IF(OR(D5010=1,C5011=1),1,0)</f>
      </c>
      <c r="E5011" s="5" t="str">
        <f>IF(C5011=1,0,IF(D5010=1,E5010+1,0))</f>
      </c>
      <c r="F5011" s="5" t="str">
        <f>IF(AND(C5011=1,D5010=1),MIN(E5010,3),"")</f>
      </c>
    </row>
    <row r="5012">
      <c r="A5012" s="6">
        <v>1974</v>
      </c>
      <c r="B5012" s="6" t="str">
        <f>'Lineal Mixto'!$C$1978</f>
      </c>
      <c r="C5012" s="6" t="str">
        <f>IF(AND(B5012&gt;=$B$3034,B5012&lt;=$B$3035),1,0)</f>
      </c>
      <c r="D5012" s="6" t="str">
        <f>IF(OR(D5011=1,C5012=1),1,0)</f>
      </c>
      <c r="E5012" s="6" t="str">
        <f>IF(C5012=1,0,IF(D5011=1,E5011+1,0))</f>
      </c>
      <c r="F5012" s="6" t="str">
        <f>IF(AND(C5012=1,D5011=1),MIN(E5011,3),"")</f>
      </c>
    </row>
    <row r="5013">
      <c r="A5013" s="5">
        <v>1975</v>
      </c>
      <c r="B5013" s="5" t="str">
        <f>'Lineal Mixto'!$C$1979</f>
      </c>
      <c r="C5013" s="5" t="str">
        <f>IF(AND(B5013&gt;=$B$3034,B5013&lt;=$B$3035),1,0)</f>
      </c>
      <c r="D5013" s="5" t="str">
        <f>IF(OR(D5012=1,C5013=1),1,0)</f>
      </c>
      <c r="E5013" s="5" t="str">
        <f>IF(C5013=1,0,IF(D5012=1,E5012+1,0))</f>
      </c>
      <c r="F5013" s="5" t="str">
        <f>IF(AND(C5013=1,D5012=1),MIN(E5012,3),"")</f>
      </c>
    </row>
    <row r="5014">
      <c r="A5014" s="6">
        <v>1976</v>
      </c>
      <c r="B5014" s="6" t="str">
        <f>'Lineal Mixto'!$C$1980</f>
      </c>
      <c r="C5014" s="6" t="str">
        <f>IF(AND(B5014&gt;=$B$3034,B5014&lt;=$B$3035),1,0)</f>
      </c>
      <c r="D5014" s="6" t="str">
        <f>IF(OR(D5013=1,C5014=1),1,0)</f>
      </c>
      <c r="E5014" s="6" t="str">
        <f>IF(C5014=1,0,IF(D5013=1,E5013+1,0))</f>
      </c>
      <c r="F5014" s="6" t="str">
        <f>IF(AND(C5014=1,D5013=1),MIN(E5013,3),"")</f>
      </c>
    </row>
    <row r="5015">
      <c r="A5015" s="5">
        <v>1977</v>
      </c>
      <c r="B5015" s="5" t="str">
        <f>'Lineal Mixto'!$C$1981</f>
      </c>
      <c r="C5015" s="5" t="str">
        <f>IF(AND(B5015&gt;=$B$3034,B5015&lt;=$B$3035),1,0)</f>
      </c>
      <c r="D5015" s="5" t="str">
        <f>IF(OR(D5014=1,C5015=1),1,0)</f>
      </c>
      <c r="E5015" s="5" t="str">
        <f>IF(C5015=1,0,IF(D5014=1,E5014+1,0))</f>
      </c>
      <c r="F5015" s="5" t="str">
        <f>IF(AND(C5015=1,D5014=1),MIN(E5014,3),"")</f>
      </c>
    </row>
    <row r="5016">
      <c r="A5016" s="6">
        <v>1978</v>
      </c>
      <c r="B5016" s="6" t="str">
        <f>'Lineal Mixto'!$C$1982</f>
      </c>
      <c r="C5016" s="6" t="str">
        <f>IF(AND(B5016&gt;=$B$3034,B5016&lt;=$B$3035),1,0)</f>
      </c>
      <c r="D5016" s="6" t="str">
        <f>IF(OR(D5015=1,C5016=1),1,0)</f>
      </c>
      <c r="E5016" s="6" t="str">
        <f>IF(C5016=1,0,IF(D5015=1,E5015+1,0))</f>
      </c>
      <c r="F5016" s="6" t="str">
        <f>IF(AND(C5016=1,D5015=1),MIN(E5015,3),"")</f>
      </c>
    </row>
    <row r="5017">
      <c r="A5017" s="5">
        <v>1979</v>
      </c>
      <c r="B5017" s="5" t="str">
        <f>'Lineal Mixto'!$C$1983</f>
      </c>
      <c r="C5017" s="5" t="str">
        <f>IF(AND(B5017&gt;=$B$3034,B5017&lt;=$B$3035),1,0)</f>
      </c>
      <c r="D5017" s="5" t="str">
        <f>IF(OR(D5016=1,C5017=1),1,0)</f>
      </c>
      <c r="E5017" s="5" t="str">
        <f>IF(C5017=1,0,IF(D5016=1,E5016+1,0))</f>
      </c>
      <c r="F5017" s="5" t="str">
        <f>IF(AND(C5017=1,D5016=1),MIN(E5016,3),"")</f>
      </c>
    </row>
    <row r="5018">
      <c r="A5018" s="6">
        <v>1980</v>
      </c>
      <c r="B5018" s="6" t="str">
        <f>'Lineal Mixto'!$C$1984</f>
      </c>
      <c r="C5018" s="6" t="str">
        <f>IF(AND(B5018&gt;=$B$3034,B5018&lt;=$B$3035),1,0)</f>
      </c>
      <c r="D5018" s="6" t="str">
        <f>IF(OR(D5017=1,C5018=1),1,0)</f>
      </c>
      <c r="E5018" s="6" t="str">
        <f>IF(C5018=1,0,IF(D5017=1,E5017+1,0))</f>
      </c>
      <c r="F5018" s="6" t="str">
        <f>IF(AND(C5018=1,D5017=1),MIN(E5017,3),"")</f>
      </c>
    </row>
    <row r="5019">
      <c r="A5019" s="5">
        <v>1981</v>
      </c>
      <c r="B5019" s="5" t="str">
        <f>'Lineal Mixto'!$C$1985</f>
      </c>
      <c r="C5019" s="5" t="str">
        <f>IF(AND(B5019&gt;=$B$3034,B5019&lt;=$B$3035),1,0)</f>
      </c>
      <c r="D5019" s="5" t="str">
        <f>IF(OR(D5018=1,C5019=1),1,0)</f>
      </c>
      <c r="E5019" s="5" t="str">
        <f>IF(C5019=1,0,IF(D5018=1,E5018+1,0))</f>
      </c>
      <c r="F5019" s="5" t="str">
        <f>IF(AND(C5019=1,D5018=1),MIN(E5018,3),"")</f>
      </c>
    </row>
    <row r="5020">
      <c r="A5020" s="6">
        <v>1982</v>
      </c>
      <c r="B5020" s="6" t="str">
        <f>'Lineal Mixto'!$C$1986</f>
      </c>
      <c r="C5020" s="6" t="str">
        <f>IF(AND(B5020&gt;=$B$3034,B5020&lt;=$B$3035),1,0)</f>
      </c>
      <c r="D5020" s="6" t="str">
        <f>IF(OR(D5019=1,C5020=1),1,0)</f>
      </c>
      <c r="E5020" s="6" t="str">
        <f>IF(C5020=1,0,IF(D5019=1,E5019+1,0))</f>
      </c>
      <c r="F5020" s="6" t="str">
        <f>IF(AND(C5020=1,D5019=1),MIN(E5019,3),"")</f>
      </c>
    </row>
    <row r="5021">
      <c r="A5021" s="5">
        <v>1983</v>
      </c>
      <c r="B5021" s="5" t="str">
        <f>'Lineal Mixto'!$C$1987</f>
      </c>
      <c r="C5021" s="5" t="str">
        <f>IF(AND(B5021&gt;=$B$3034,B5021&lt;=$B$3035),1,0)</f>
      </c>
      <c r="D5021" s="5" t="str">
        <f>IF(OR(D5020=1,C5021=1),1,0)</f>
      </c>
      <c r="E5021" s="5" t="str">
        <f>IF(C5021=1,0,IF(D5020=1,E5020+1,0))</f>
      </c>
      <c r="F5021" s="5" t="str">
        <f>IF(AND(C5021=1,D5020=1),MIN(E5020,3),"")</f>
      </c>
    </row>
    <row r="5022">
      <c r="A5022" s="6">
        <v>1984</v>
      </c>
      <c r="B5022" s="6" t="str">
        <f>'Lineal Mixto'!$C$1988</f>
      </c>
      <c r="C5022" s="6" t="str">
        <f>IF(AND(B5022&gt;=$B$3034,B5022&lt;=$B$3035),1,0)</f>
      </c>
      <c r="D5022" s="6" t="str">
        <f>IF(OR(D5021=1,C5022=1),1,0)</f>
      </c>
      <c r="E5022" s="6" t="str">
        <f>IF(C5022=1,0,IF(D5021=1,E5021+1,0))</f>
      </c>
      <c r="F5022" s="6" t="str">
        <f>IF(AND(C5022=1,D5021=1),MIN(E5021,3),"")</f>
      </c>
    </row>
    <row r="5023">
      <c r="A5023" s="5">
        <v>1985</v>
      </c>
      <c r="B5023" s="5" t="str">
        <f>'Lineal Mixto'!$C$1989</f>
      </c>
      <c r="C5023" s="5" t="str">
        <f>IF(AND(B5023&gt;=$B$3034,B5023&lt;=$B$3035),1,0)</f>
      </c>
      <c r="D5023" s="5" t="str">
        <f>IF(OR(D5022=1,C5023=1),1,0)</f>
      </c>
      <c r="E5023" s="5" t="str">
        <f>IF(C5023=1,0,IF(D5022=1,E5022+1,0))</f>
      </c>
      <c r="F5023" s="5" t="str">
        <f>IF(AND(C5023=1,D5022=1),MIN(E5022,3),"")</f>
      </c>
    </row>
    <row r="5024">
      <c r="A5024" s="6">
        <v>1986</v>
      </c>
      <c r="B5024" s="6" t="str">
        <f>'Lineal Mixto'!$C$1990</f>
      </c>
      <c r="C5024" s="6" t="str">
        <f>IF(AND(B5024&gt;=$B$3034,B5024&lt;=$B$3035),1,0)</f>
      </c>
      <c r="D5024" s="6" t="str">
        <f>IF(OR(D5023=1,C5024=1),1,0)</f>
      </c>
      <c r="E5024" s="6" t="str">
        <f>IF(C5024=1,0,IF(D5023=1,E5023+1,0))</f>
      </c>
      <c r="F5024" s="6" t="str">
        <f>IF(AND(C5024=1,D5023=1),MIN(E5023,3),"")</f>
      </c>
    </row>
    <row r="5025">
      <c r="A5025" s="5">
        <v>1987</v>
      </c>
      <c r="B5025" s="5" t="str">
        <f>'Lineal Mixto'!$C$1991</f>
      </c>
      <c r="C5025" s="5" t="str">
        <f>IF(AND(B5025&gt;=$B$3034,B5025&lt;=$B$3035),1,0)</f>
      </c>
      <c r="D5025" s="5" t="str">
        <f>IF(OR(D5024=1,C5025=1),1,0)</f>
      </c>
      <c r="E5025" s="5" t="str">
        <f>IF(C5025=1,0,IF(D5024=1,E5024+1,0))</f>
      </c>
      <c r="F5025" s="5" t="str">
        <f>IF(AND(C5025=1,D5024=1),MIN(E5024,3),"")</f>
      </c>
    </row>
    <row r="5026">
      <c r="A5026" s="6">
        <v>1988</v>
      </c>
      <c r="B5026" s="6" t="str">
        <f>'Lineal Mixto'!$C$1992</f>
      </c>
      <c r="C5026" s="6" t="str">
        <f>IF(AND(B5026&gt;=$B$3034,B5026&lt;=$B$3035),1,0)</f>
      </c>
      <c r="D5026" s="6" t="str">
        <f>IF(OR(D5025=1,C5026=1),1,0)</f>
      </c>
      <c r="E5026" s="6" t="str">
        <f>IF(C5026=1,0,IF(D5025=1,E5025+1,0))</f>
      </c>
      <c r="F5026" s="6" t="str">
        <f>IF(AND(C5026=1,D5025=1),MIN(E5025,3),"")</f>
      </c>
    </row>
    <row r="5027">
      <c r="A5027" s="5">
        <v>1989</v>
      </c>
      <c r="B5027" s="5" t="str">
        <f>'Lineal Mixto'!$C$1993</f>
      </c>
      <c r="C5027" s="5" t="str">
        <f>IF(AND(B5027&gt;=$B$3034,B5027&lt;=$B$3035),1,0)</f>
      </c>
      <c r="D5027" s="5" t="str">
        <f>IF(OR(D5026=1,C5027=1),1,0)</f>
      </c>
      <c r="E5027" s="5" t="str">
        <f>IF(C5027=1,0,IF(D5026=1,E5026+1,0))</f>
      </c>
      <c r="F5027" s="5" t="str">
        <f>IF(AND(C5027=1,D5026=1),MIN(E5026,3),"")</f>
      </c>
    </row>
    <row r="5028">
      <c r="A5028" s="6">
        <v>1990</v>
      </c>
      <c r="B5028" s="6" t="str">
        <f>'Lineal Mixto'!$C$1994</f>
      </c>
      <c r="C5028" s="6" t="str">
        <f>IF(AND(B5028&gt;=$B$3034,B5028&lt;=$B$3035),1,0)</f>
      </c>
      <c r="D5028" s="6" t="str">
        <f>IF(OR(D5027=1,C5028=1),1,0)</f>
      </c>
      <c r="E5028" s="6" t="str">
        <f>IF(C5028=1,0,IF(D5027=1,E5027+1,0))</f>
      </c>
      <c r="F5028" s="6" t="str">
        <f>IF(AND(C5028=1,D5027=1),MIN(E5027,3),"")</f>
      </c>
    </row>
    <row r="5029">
      <c r="A5029" s="5">
        <v>1991</v>
      </c>
      <c r="B5029" s="5" t="str">
        <f>'Lineal Mixto'!$C$1995</f>
      </c>
      <c r="C5029" s="5" t="str">
        <f>IF(AND(B5029&gt;=$B$3034,B5029&lt;=$B$3035),1,0)</f>
      </c>
      <c r="D5029" s="5" t="str">
        <f>IF(OR(D5028=1,C5029=1),1,0)</f>
      </c>
      <c r="E5029" s="5" t="str">
        <f>IF(C5029=1,0,IF(D5028=1,E5028+1,0))</f>
      </c>
      <c r="F5029" s="5" t="str">
        <f>IF(AND(C5029=1,D5028=1),MIN(E5028,3),"")</f>
      </c>
    </row>
    <row r="5030">
      <c r="A5030" s="6">
        <v>1992</v>
      </c>
      <c r="B5030" s="6" t="str">
        <f>'Lineal Mixto'!$C$1996</f>
      </c>
      <c r="C5030" s="6" t="str">
        <f>IF(AND(B5030&gt;=$B$3034,B5030&lt;=$B$3035),1,0)</f>
      </c>
      <c r="D5030" s="6" t="str">
        <f>IF(OR(D5029=1,C5030=1),1,0)</f>
      </c>
      <c r="E5030" s="6" t="str">
        <f>IF(C5030=1,0,IF(D5029=1,E5029+1,0))</f>
      </c>
      <c r="F5030" s="6" t="str">
        <f>IF(AND(C5030=1,D5029=1),MIN(E5029,3),"")</f>
      </c>
    </row>
    <row r="5031">
      <c r="A5031" s="5">
        <v>1993</v>
      </c>
      <c r="B5031" s="5" t="str">
        <f>'Lineal Mixto'!$C$1997</f>
      </c>
      <c r="C5031" s="5" t="str">
        <f>IF(AND(B5031&gt;=$B$3034,B5031&lt;=$B$3035),1,0)</f>
      </c>
      <c r="D5031" s="5" t="str">
        <f>IF(OR(D5030=1,C5031=1),1,0)</f>
      </c>
      <c r="E5031" s="5" t="str">
        <f>IF(C5031=1,0,IF(D5030=1,E5030+1,0))</f>
      </c>
      <c r="F5031" s="5" t="str">
        <f>IF(AND(C5031=1,D5030=1),MIN(E5030,3),"")</f>
      </c>
    </row>
    <row r="5032">
      <c r="A5032" s="6">
        <v>1994</v>
      </c>
      <c r="B5032" s="6" t="str">
        <f>'Lineal Mixto'!$C$1998</f>
      </c>
      <c r="C5032" s="6" t="str">
        <f>IF(AND(B5032&gt;=$B$3034,B5032&lt;=$B$3035),1,0)</f>
      </c>
      <c r="D5032" s="6" t="str">
        <f>IF(OR(D5031=1,C5032=1),1,0)</f>
      </c>
      <c r="E5032" s="6" t="str">
        <f>IF(C5032=1,0,IF(D5031=1,E5031+1,0))</f>
      </c>
      <c r="F5032" s="6" t="str">
        <f>IF(AND(C5032=1,D5031=1),MIN(E5031,3),"")</f>
      </c>
    </row>
    <row r="5033">
      <c r="A5033" s="5">
        <v>1995</v>
      </c>
      <c r="B5033" s="5" t="str">
        <f>'Lineal Mixto'!$C$1999</f>
      </c>
      <c r="C5033" s="5" t="str">
        <f>IF(AND(B5033&gt;=$B$3034,B5033&lt;=$B$3035),1,0)</f>
      </c>
      <c r="D5033" s="5" t="str">
        <f>IF(OR(D5032=1,C5033=1),1,0)</f>
      </c>
      <c r="E5033" s="5" t="str">
        <f>IF(C5033=1,0,IF(D5032=1,E5032+1,0))</f>
      </c>
      <c r="F5033" s="5" t="str">
        <f>IF(AND(C5033=1,D5032=1),MIN(E5032,3),"")</f>
      </c>
    </row>
    <row r="5034">
      <c r="A5034" s="6">
        <v>1996</v>
      </c>
      <c r="B5034" s="6" t="str">
        <f>'Lineal Mixto'!$C$2000</f>
      </c>
      <c r="C5034" s="6" t="str">
        <f>IF(AND(B5034&gt;=$B$3034,B5034&lt;=$B$3035),1,0)</f>
      </c>
      <c r="D5034" s="6" t="str">
        <f>IF(OR(D5033=1,C5034=1),1,0)</f>
      </c>
      <c r="E5034" s="6" t="str">
        <f>IF(C5034=1,0,IF(D5033=1,E5033+1,0))</f>
      </c>
      <c r="F5034" s="6" t="str">
        <f>IF(AND(C5034=1,D5033=1),MIN(E5033,3),"")</f>
      </c>
    </row>
    <row r="5035">
      <c r="A5035" s="5">
        <v>1997</v>
      </c>
      <c r="B5035" s="5" t="str">
        <f>'Lineal Mixto'!$C$2001</f>
      </c>
      <c r="C5035" s="5" t="str">
        <f>IF(AND(B5035&gt;=$B$3034,B5035&lt;=$B$3035),1,0)</f>
      </c>
      <c r="D5035" s="5" t="str">
        <f>IF(OR(D5034=1,C5035=1),1,0)</f>
      </c>
      <c r="E5035" s="5" t="str">
        <f>IF(C5035=1,0,IF(D5034=1,E5034+1,0))</f>
      </c>
      <c r="F5035" s="5" t="str">
        <f>IF(AND(C5035=1,D5034=1),MIN(E5034,3),"")</f>
      </c>
    </row>
    <row r="5036">
      <c r="A5036" s="6">
        <v>1998</v>
      </c>
      <c r="B5036" s="6" t="str">
        <f>'Lineal Mixto'!$C$2002</f>
      </c>
      <c r="C5036" s="6" t="str">
        <f>IF(AND(B5036&gt;=$B$3034,B5036&lt;=$B$3035),1,0)</f>
      </c>
      <c r="D5036" s="6" t="str">
        <f>IF(OR(D5035=1,C5036=1),1,0)</f>
      </c>
      <c r="E5036" s="6" t="str">
        <f>IF(C5036=1,0,IF(D5035=1,E5035+1,0))</f>
      </c>
      <c r="F5036" s="6" t="str">
        <f>IF(AND(C5036=1,D5035=1),MIN(E5035,3),"")</f>
      </c>
    </row>
    <row r="5037">
      <c r="A5037" s="5">
        <v>1999</v>
      </c>
      <c r="B5037" s="5" t="str">
        <f>'Lineal Mixto'!$C$2003</f>
      </c>
      <c r="C5037" s="5" t="str">
        <f>IF(AND(B5037&gt;=$B$3034,B5037&lt;=$B$3035),1,0)</f>
      </c>
      <c r="D5037" s="5" t="str">
        <f>IF(OR(D5036=1,C5037=1),1,0)</f>
      </c>
      <c r="E5037" s="5" t="str">
        <f>IF(C5037=1,0,IF(D5036=1,E5036+1,0))</f>
      </c>
      <c r="F5037" s="5" t="str">
        <f>IF(AND(C5037=1,D5036=1),MIN(E5036,3),"")</f>
      </c>
    </row>
    <row r="5038">
      <c r="A5038" s="6">
        <v>2000</v>
      </c>
      <c r="B5038" s="6" t="str">
        <f>'Lineal Mixto'!$C$2004</f>
      </c>
      <c r="C5038" s="6" t="str">
        <f>IF(AND(B5038&gt;=$B$3034,B5038&lt;=$B$3035),1,0)</f>
      </c>
      <c r="D5038" s="6" t="str">
        <f>IF(OR(D5037=1,C5038=1),1,0)</f>
      </c>
      <c r="E5038" s="6" t="str">
        <f>IF(C5038=1,0,IF(D5037=1,E5037+1,0))</f>
      </c>
      <c r="F5038" s="6" t="str">
        <f>IF(AND(C5038=1,D5037=1),MIN(E5037,3),"")</f>
      </c>
    </row>
    <row r="5040">
      <c r="A5040" s="4" t="s">
        <v>43</v>
      </c>
      <c r="B5040" s="4" t="s">
        <v>12</v>
      </c>
      <c r="C5040" s="4" t="s">
        <v>44</v>
      </c>
      <c r="D5040" s="4" t="s">
        <v>45</v>
      </c>
      <c r="E5040" s="4" t="s">
        <v>14</v>
      </c>
    </row>
    <row r="5041">
      <c r="A5041" s="5">
        <v>0</v>
      </c>
      <c r="B5041" s="5" t="str">
        <f>COUNTIFS($F$3039:$F$5038,0)</f>
      </c>
      <c r="C5041" s="5" t="str">
        <f>$B$3036</f>
      </c>
      <c r="D5041" s="5" t="str">
        <f>SUM($B$5041:$B$5044)*C5041</f>
      </c>
      <c r="E5041" s="5" t="str">
        <f>IF(D5041&gt;0,(B5041-D5041)^2/D5041,0)</f>
      </c>
    </row>
    <row r="5042">
      <c r="A5042" s="6">
        <v>1</v>
      </c>
      <c r="B5042" s="6" t="str">
        <f>COUNTIFS($F$3039:$F$5038,1)</f>
      </c>
      <c r="C5042" s="6" t="str">
        <f>$B$3036*(1-$B$3036)</f>
      </c>
      <c r="D5042" s="6" t="str">
        <f>SUM($B$5041:$B$5044)*C5042</f>
      </c>
      <c r="E5042" s="6" t="str">
        <f>IF(D5042&gt;0,(B5042-D5042)^2/D5042,0)</f>
      </c>
    </row>
    <row r="5043">
      <c r="A5043" s="5">
        <v>2</v>
      </c>
      <c r="B5043" s="5" t="str">
        <f>COUNTIFS($F$3039:$F$5038,2)</f>
      </c>
      <c r="C5043" s="5" t="str">
        <f>$B$3036*(1-$B$3036)^2</f>
      </c>
      <c r="D5043" s="5" t="str">
        <f>SUM($B$5041:$B$5044)*C5043</f>
      </c>
      <c r="E5043" s="5" t="str">
        <f>IF(D5043&gt;0,(B5043-D5043)^2/D5043,0)</f>
      </c>
    </row>
    <row r="5044">
      <c r="A5044" s="6" t="s">
        <v>46</v>
      </c>
      <c r="B5044" s="6" t="str">
        <f>COUNTIFS($F$3039:$F$5038,3)</f>
      </c>
      <c r="C5044" s="6" t="str">
        <f>(1-$B$3036)^3</f>
      </c>
      <c r="D5044" s="6" t="str">
        <f>SUM($B$5041:$B$5044)*C5044</f>
      </c>
      <c r="E5044" s="6" t="str">
        <f>IF(D5044&gt;0,(B5044-D5044)^2/D5044,0)</f>
      </c>
    </row>
    <row r="5047" ht="22" customHeight="true">
      <c r="A5047" s="3" t="s">
        <v>47</v>
      </c>
      <c r="B5047" s="3"/>
      <c r="C5047" s="3"/>
      <c r="D5047" s="3"/>
      <c r="E5047" s="3"/>
      <c r="F5047" s="3"/>
      <c r="G5047" s="3"/>
      <c r="H5047" s="3"/>
    </row>
    <row r="5048">
      <c r="A5048" s="4" t="s">
        <v>36</v>
      </c>
      <c r="B5048" s="4" t="s">
        <v>48</v>
      </c>
      <c r="C5048" s="4" t="s">
        <v>49</v>
      </c>
      <c r="D5048" s="4" t="s">
        <v>50</v>
      </c>
      <c r="E5048" s="4" t="s">
        <v>51</v>
      </c>
      <c r="F5048" s="4" t="s">
        <v>52</v>
      </c>
    </row>
    <row r="5049">
      <c r="A5049" s="5">
        <v>1</v>
      </c>
      <c r="B5049" s="5" t="str">
        <f>'Lineal Mixto'!$C$5</f>
      </c>
      <c r="C5049" s="5" t="str">
        <f>'Lineal Mixto'!$C$6</f>
      </c>
      <c r="D5049" s="5" t="str">
        <f>MIN(INT(B5049*5),4)</f>
      </c>
      <c r="E5049" s="5" t="str">
        <f>MIN(INT(C5049*5),4)</f>
      </c>
      <c r="F5049" s="5" t="str">
        <f>D5049*5+E5049</f>
      </c>
    </row>
    <row r="5050">
      <c r="A5050" s="6">
        <v>2</v>
      </c>
      <c r="B5050" s="6" t="str">
        <f>'Lineal Mixto'!$C$6</f>
      </c>
      <c r="C5050" s="6" t="str">
        <f>'Lineal Mixto'!$C$7</f>
      </c>
      <c r="D5050" s="6" t="str">
        <f>MIN(INT(B5050*5),4)</f>
      </c>
      <c r="E5050" s="6" t="str">
        <f>MIN(INT(C5050*5),4)</f>
      </c>
      <c r="F5050" s="6" t="str">
        <f>D5050*5+E5050</f>
      </c>
    </row>
    <row r="5051">
      <c r="A5051" s="5">
        <v>3</v>
      </c>
      <c r="B5051" s="5" t="str">
        <f>'Lineal Mixto'!$C$7</f>
      </c>
      <c r="C5051" s="5" t="str">
        <f>'Lineal Mixto'!$C$8</f>
      </c>
      <c r="D5051" s="5" t="str">
        <f>MIN(INT(B5051*5),4)</f>
      </c>
      <c r="E5051" s="5" t="str">
        <f>MIN(INT(C5051*5),4)</f>
      </c>
      <c r="F5051" s="5" t="str">
        <f>D5051*5+E5051</f>
      </c>
    </row>
    <row r="5052">
      <c r="A5052" s="6">
        <v>4</v>
      </c>
      <c r="B5052" s="6" t="str">
        <f>'Lineal Mixto'!$C$8</f>
      </c>
      <c r="C5052" s="6" t="str">
        <f>'Lineal Mixto'!$C$9</f>
      </c>
      <c r="D5052" s="6" t="str">
        <f>MIN(INT(B5052*5),4)</f>
      </c>
      <c r="E5052" s="6" t="str">
        <f>MIN(INT(C5052*5),4)</f>
      </c>
      <c r="F5052" s="6" t="str">
        <f>D5052*5+E5052</f>
      </c>
    </row>
    <row r="5053">
      <c r="A5053" s="5">
        <v>5</v>
      </c>
      <c r="B5053" s="5" t="str">
        <f>'Lineal Mixto'!$C$9</f>
      </c>
      <c r="C5053" s="5" t="str">
        <f>'Lineal Mixto'!$C$10</f>
      </c>
      <c r="D5053" s="5" t="str">
        <f>MIN(INT(B5053*5),4)</f>
      </c>
      <c r="E5053" s="5" t="str">
        <f>MIN(INT(C5053*5),4)</f>
      </c>
      <c r="F5053" s="5" t="str">
        <f>D5053*5+E5053</f>
      </c>
    </row>
    <row r="5054">
      <c r="A5054" s="6">
        <v>6</v>
      </c>
      <c r="B5054" s="6" t="str">
        <f>'Lineal Mixto'!$C$10</f>
      </c>
      <c r="C5054" s="6" t="str">
        <f>'Lineal Mixto'!$C$11</f>
      </c>
      <c r="D5054" s="6" t="str">
        <f>MIN(INT(B5054*5),4)</f>
      </c>
      <c r="E5054" s="6" t="str">
        <f>MIN(INT(C5054*5),4)</f>
      </c>
      <c r="F5054" s="6" t="str">
        <f>D5054*5+E5054</f>
      </c>
    </row>
    <row r="5055">
      <c r="A5055" s="5">
        <v>7</v>
      </c>
      <c r="B5055" s="5" t="str">
        <f>'Lineal Mixto'!$C$11</f>
      </c>
      <c r="C5055" s="5" t="str">
        <f>'Lineal Mixto'!$C$12</f>
      </c>
      <c r="D5055" s="5" t="str">
        <f>MIN(INT(B5055*5),4)</f>
      </c>
      <c r="E5055" s="5" t="str">
        <f>MIN(INT(C5055*5),4)</f>
      </c>
      <c r="F5055" s="5" t="str">
        <f>D5055*5+E5055</f>
      </c>
    </row>
    <row r="5056">
      <c r="A5056" s="6">
        <v>8</v>
      </c>
      <c r="B5056" s="6" t="str">
        <f>'Lineal Mixto'!$C$12</f>
      </c>
      <c r="C5056" s="6" t="str">
        <f>'Lineal Mixto'!$C$13</f>
      </c>
      <c r="D5056" s="6" t="str">
        <f>MIN(INT(B5056*5),4)</f>
      </c>
      <c r="E5056" s="6" t="str">
        <f>MIN(INT(C5056*5),4)</f>
      </c>
      <c r="F5056" s="6" t="str">
        <f>D5056*5+E5056</f>
      </c>
    </row>
    <row r="5057">
      <c r="A5057" s="5">
        <v>9</v>
      </c>
      <c r="B5057" s="5" t="str">
        <f>'Lineal Mixto'!$C$13</f>
      </c>
      <c r="C5057" s="5" t="str">
        <f>'Lineal Mixto'!$C$14</f>
      </c>
      <c r="D5057" s="5" t="str">
        <f>MIN(INT(B5057*5),4)</f>
      </c>
      <c r="E5057" s="5" t="str">
        <f>MIN(INT(C5057*5),4)</f>
      </c>
      <c r="F5057" s="5" t="str">
        <f>D5057*5+E5057</f>
      </c>
    </row>
    <row r="5058">
      <c r="A5058" s="6">
        <v>10</v>
      </c>
      <c r="B5058" s="6" t="str">
        <f>'Lineal Mixto'!$C$14</f>
      </c>
      <c r="C5058" s="6" t="str">
        <f>'Lineal Mixto'!$C$15</f>
      </c>
      <c r="D5058" s="6" t="str">
        <f>MIN(INT(B5058*5),4)</f>
      </c>
      <c r="E5058" s="6" t="str">
        <f>MIN(INT(C5058*5),4)</f>
      </c>
      <c r="F5058" s="6" t="str">
        <f>D5058*5+E5058</f>
      </c>
    </row>
    <row r="5059">
      <c r="A5059" s="5">
        <v>11</v>
      </c>
      <c r="B5059" s="5" t="str">
        <f>'Lineal Mixto'!$C$15</f>
      </c>
      <c r="C5059" s="5" t="str">
        <f>'Lineal Mixto'!$C$16</f>
      </c>
      <c r="D5059" s="5" t="str">
        <f>MIN(INT(B5059*5),4)</f>
      </c>
      <c r="E5059" s="5" t="str">
        <f>MIN(INT(C5059*5),4)</f>
      </c>
      <c r="F5059" s="5" t="str">
        <f>D5059*5+E5059</f>
      </c>
    </row>
    <row r="5060">
      <c r="A5060" s="6">
        <v>12</v>
      </c>
      <c r="B5060" s="6" t="str">
        <f>'Lineal Mixto'!$C$16</f>
      </c>
      <c r="C5060" s="6" t="str">
        <f>'Lineal Mixto'!$C$17</f>
      </c>
      <c r="D5060" s="6" t="str">
        <f>MIN(INT(B5060*5),4)</f>
      </c>
      <c r="E5060" s="6" t="str">
        <f>MIN(INT(C5060*5),4)</f>
      </c>
      <c r="F5060" s="6" t="str">
        <f>D5060*5+E5060</f>
      </c>
    </row>
    <row r="5061">
      <c r="A5061" s="5">
        <v>13</v>
      </c>
      <c r="B5061" s="5" t="str">
        <f>'Lineal Mixto'!$C$17</f>
      </c>
      <c r="C5061" s="5" t="str">
        <f>'Lineal Mixto'!$C$18</f>
      </c>
      <c r="D5061" s="5" t="str">
        <f>MIN(INT(B5061*5),4)</f>
      </c>
      <c r="E5061" s="5" t="str">
        <f>MIN(INT(C5061*5),4)</f>
      </c>
      <c r="F5061" s="5" t="str">
        <f>D5061*5+E5061</f>
      </c>
    </row>
    <row r="5062">
      <c r="A5062" s="6">
        <v>14</v>
      </c>
      <c r="B5062" s="6" t="str">
        <f>'Lineal Mixto'!$C$18</f>
      </c>
      <c r="C5062" s="6" t="str">
        <f>'Lineal Mixto'!$C$19</f>
      </c>
      <c r="D5062" s="6" t="str">
        <f>MIN(INT(B5062*5),4)</f>
      </c>
      <c r="E5062" s="6" t="str">
        <f>MIN(INT(C5062*5),4)</f>
      </c>
      <c r="F5062" s="6" t="str">
        <f>D5062*5+E5062</f>
      </c>
    </row>
    <row r="5063">
      <c r="A5063" s="5">
        <v>15</v>
      </c>
      <c r="B5063" s="5" t="str">
        <f>'Lineal Mixto'!$C$19</f>
      </c>
      <c r="C5063" s="5" t="str">
        <f>'Lineal Mixto'!$C$20</f>
      </c>
      <c r="D5063" s="5" t="str">
        <f>MIN(INT(B5063*5),4)</f>
      </c>
      <c r="E5063" s="5" t="str">
        <f>MIN(INT(C5063*5),4)</f>
      </c>
      <c r="F5063" s="5" t="str">
        <f>D5063*5+E5063</f>
      </c>
    </row>
    <row r="5064">
      <c r="A5064" s="6">
        <v>16</v>
      </c>
      <c r="B5064" s="6" t="str">
        <f>'Lineal Mixto'!$C$20</f>
      </c>
      <c r="C5064" s="6" t="str">
        <f>'Lineal Mixto'!$C$21</f>
      </c>
      <c r="D5064" s="6" t="str">
        <f>MIN(INT(B5064*5),4)</f>
      </c>
      <c r="E5064" s="6" t="str">
        <f>MIN(INT(C5064*5),4)</f>
      </c>
      <c r="F5064" s="6" t="str">
        <f>D5064*5+E5064</f>
      </c>
    </row>
    <row r="5065">
      <c r="A5065" s="5">
        <v>17</v>
      </c>
      <c r="B5065" s="5" t="str">
        <f>'Lineal Mixto'!$C$21</f>
      </c>
      <c r="C5065" s="5" t="str">
        <f>'Lineal Mixto'!$C$22</f>
      </c>
      <c r="D5065" s="5" t="str">
        <f>MIN(INT(B5065*5),4)</f>
      </c>
      <c r="E5065" s="5" t="str">
        <f>MIN(INT(C5065*5),4)</f>
      </c>
      <c r="F5065" s="5" t="str">
        <f>D5065*5+E5065</f>
      </c>
    </row>
    <row r="5066">
      <c r="A5066" s="6">
        <v>18</v>
      </c>
      <c r="B5066" s="6" t="str">
        <f>'Lineal Mixto'!$C$22</f>
      </c>
      <c r="C5066" s="6" t="str">
        <f>'Lineal Mixto'!$C$23</f>
      </c>
      <c r="D5066" s="6" t="str">
        <f>MIN(INT(B5066*5),4)</f>
      </c>
      <c r="E5066" s="6" t="str">
        <f>MIN(INT(C5066*5),4)</f>
      </c>
      <c r="F5066" s="6" t="str">
        <f>D5066*5+E5066</f>
      </c>
    </row>
    <row r="5067">
      <c r="A5067" s="5">
        <v>19</v>
      </c>
      <c r="B5067" s="5" t="str">
        <f>'Lineal Mixto'!$C$23</f>
      </c>
      <c r="C5067" s="5" t="str">
        <f>'Lineal Mixto'!$C$24</f>
      </c>
      <c r="D5067" s="5" t="str">
        <f>MIN(INT(B5067*5),4)</f>
      </c>
      <c r="E5067" s="5" t="str">
        <f>MIN(INT(C5067*5),4)</f>
      </c>
      <c r="F5067" s="5" t="str">
        <f>D5067*5+E5067</f>
      </c>
    </row>
    <row r="5068">
      <c r="A5068" s="6">
        <v>20</v>
      </c>
      <c r="B5068" s="6" t="str">
        <f>'Lineal Mixto'!$C$24</f>
      </c>
      <c r="C5068" s="6" t="str">
        <f>'Lineal Mixto'!$C$25</f>
      </c>
      <c r="D5068" s="6" t="str">
        <f>MIN(INT(B5068*5),4)</f>
      </c>
      <c r="E5068" s="6" t="str">
        <f>MIN(INT(C5068*5),4)</f>
      </c>
      <c r="F5068" s="6" t="str">
        <f>D5068*5+E5068</f>
      </c>
    </row>
    <row r="5069">
      <c r="A5069" s="5">
        <v>21</v>
      </c>
      <c r="B5069" s="5" t="str">
        <f>'Lineal Mixto'!$C$25</f>
      </c>
      <c r="C5069" s="5" t="str">
        <f>'Lineal Mixto'!$C$26</f>
      </c>
      <c r="D5069" s="5" t="str">
        <f>MIN(INT(B5069*5),4)</f>
      </c>
      <c r="E5069" s="5" t="str">
        <f>MIN(INT(C5069*5),4)</f>
      </c>
      <c r="F5069" s="5" t="str">
        <f>D5069*5+E5069</f>
      </c>
    </row>
    <row r="5070">
      <c r="A5070" s="6">
        <v>22</v>
      </c>
      <c r="B5070" s="6" t="str">
        <f>'Lineal Mixto'!$C$26</f>
      </c>
      <c r="C5070" s="6" t="str">
        <f>'Lineal Mixto'!$C$27</f>
      </c>
      <c r="D5070" s="6" t="str">
        <f>MIN(INT(B5070*5),4)</f>
      </c>
      <c r="E5070" s="6" t="str">
        <f>MIN(INT(C5070*5),4)</f>
      </c>
      <c r="F5070" s="6" t="str">
        <f>D5070*5+E5070</f>
      </c>
    </row>
    <row r="5071">
      <c r="A5071" s="5">
        <v>23</v>
      </c>
      <c r="B5071" s="5" t="str">
        <f>'Lineal Mixto'!$C$27</f>
      </c>
      <c r="C5071" s="5" t="str">
        <f>'Lineal Mixto'!$C$28</f>
      </c>
      <c r="D5071" s="5" t="str">
        <f>MIN(INT(B5071*5),4)</f>
      </c>
      <c r="E5071" s="5" t="str">
        <f>MIN(INT(C5071*5),4)</f>
      </c>
      <c r="F5071" s="5" t="str">
        <f>D5071*5+E5071</f>
      </c>
    </row>
    <row r="5072">
      <c r="A5072" s="6">
        <v>24</v>
      </c>
      <c r="B5072" s="6" t="str">
        <f>'Lineal Mixto'!$C$28</f>
      </c>
      <c r="C5072" s="6" t="str">
        <f>'Lineal Mixto'!$C$29</f>
      </c>
      <c r="D5072" s="6" t="str">
        <f>MIN(INT(B5072*5),4)</f>
      </c>
      <c r="E5072" s="6" t="str">
        <f>MIN(INT(C5072*5),4)</f>
      </c>
      <c r="F5072" s="6" t="str">
        <f>D5072*5+E5072</f>
      </c>
    </row>
    <row r="5073">
      <c r="A5073" s="5">
        <v>25</v>
      </c>
      <c r="B5073" s="5" t="str">
        <f>'Lineal Mixto'!$C$29</f>
      </c>
      <c r="C5073" s="5" t="str">
        <f>'Lineal Mixto'!$C$30</f>
      </c>
      <c r="D5073" s="5" t="str">
        <f>MIN(INT(B5073*5),4)</f>
      </c>
      <c r="E5073" s="5" t="str">
        <f>MIN(INT(C5073*5),4)</f>
      </c>
      <c r="F5073" s="5" t="str">
        <f>D5073*5+E5073</f>
      </c>
    </row>
    <row r="5074">
      <c r="A5074" s="6">
        <v>26</v>
      </c>
      <c r="B5074" s="6" t="str">
        <f>'Lineal Mixto'!$C$30</f>
      </c>
      <c r="C5074" s="6" t="str">
        <f>'Lineal Mixto'!$C$31</f>
      </c>
      <c r="D5074" s="6" t="str">
        <f>MIN(INT(B5074*5),4)</f>
      </c>
      <c r="E5074" s="6" t="str">
        <f>MIN(INT(C5074*5),4)</f>
      </c>
      <c r="F5074" s="6" t="str">
        <f>D5074*5+E5074</f>
      </c>
    </row>
    <row r="5075">
      <c r="A5075" s="5">
        <v>27</v>
      </c>
      <c r="B5075" s="5" t="str">
        <f>'Lineal Mixto'!$C$31</f>
      </c>
      <c r="C5075" s="5" t="str">
        <f>'Lineal Mixto'!$C$32</f>
      </c>
      <c r="D5075" s="5" t="str">
        <f>MIN(INT(B5075*5),4)</f>
      </c>
      <c r="E5075" s="5" t="str">
        <f>MIN(INT(C5075*5),4)</f>
      </c>
      <c r="F5075" s="5" t="str">
        <f>D5075*5+E5075</f>
      </c>
    </row>
    <row r="5076">
      <c r="A5076" s="6">
        <v>28</v>
      </c>
      <c r="B5076" s="6" t="str">
        <f>'Lineal Mixto'!$C$32</f>
      </c>
      <c r="C5076" s="6" t="str">
        <f>'Lineal Mixto'!$C$33</f>
      </c>
      <c r="D5076" s="6" t="str">
        <f>MIN(INT(B5076*5),4)</f>
      </c>
      <c r="E5076" s="6" t="str">
        <f>MIN(INT(C5076*5),4)</f>
      </c>
      <c r="F5076" s="6" t="str">
        <f>D5076*5+E5076</f>
      </c>
    </row>
    <row r="5077">
      <c r="A5077" s="5">
        <v>29</v>
      </c>
      <c r="B5077" s="5" t="str">
        <f>'Lineal Mixto'!$C$33</f>
      </c>
      <c r="C5077" s="5" t="str">
        <f>'Lineal Mixto'!$C$34</f>
      </c>
      <c r="D5077" s="5" t="str">
        <f>MIN(INT(B5077*5),4)</f>
      </c>
      <c r="E5077" s="5" t="str">
        <f>MIN(INT(C5077*5),4)</f>
      </c>
      <c r="F5077" s="5" t="str">
        <f>D5077*5+E5077</f>
      </c>
    </row>
    <row r="5078">
      <c r="A5078" s="6">
        <v>30</v>
      </c>
      <c r="B5078" s="6" t="str">
        <f>'Lineal Mixto'!$C$34</f>
      </c>
      <c r="C5078" s="6" t="str">
        <f>'Lineal Mixto'!$C$35</f>
      </c>
      <c r="D5078" s="6" t="str">
        <f>MIN(INT(B5078*5),4)</f>
      </c>
      <c r="E5078" s="6" t="str">
        <f>MIN(INT(C5078*5),4)</f>
      </c>
      <c r="F5078" s="6" t="str">
        <f>D5078*5+E5078</f>
      </c>
    </row>
    <row r="5079">
      <c r="A5079" s="5">
        <v>31</v>
      </c>
      <c r="B5079" s="5" t="str">
        <f>'Lineal Mixto'!$C$35</f>
      </c>
      <c r="C5079" s="5" t="str">
        <f>'Lineal Mixto'!$C$36</f>
      </c>
      <c r="D5079" s="5" t="str">
        <f>MIN(INT(B5079*5),4)</f>
      </c>
      <c r="E5079" s="5" t="str">
        <f>MIN(INT(C5079*5),4)</f>
      </c>
      <c r="F5079" s="5" t="str">
        <f>D5079*5+E5079</f>
      </c>
    </row>
    <row r="5080">
      <c r="A5080" s="6">
        <v>32</v>
      </c>
      <c r="B5080" s="6" t="str">
        <f>'Lineal Mixto'!$C$36</f>
      </c>
      <c r="C5080" s="6" t="str">
        <f>'Lineal Mixto'!$C$37</f>
      </c>
      <c r="D5080" s="6" t="str">
        <f>MIN(INT(B5080*5),4)</f>
      </c>
      <c r="E5080" s="6" t="str">
        <f>MIN(INT(C5080*5),4)</f>
      </c>
      <c r="F5080" s="6" t="str">
        <f>D5080*5+E5080</f>
      </c>
    </row>
    <row r="5081">
      <c r="A5081" s="5">
        <v>33</v>
      </c>
      <c r="B5081" s="5" t="str">
        <f>'Lineal Mixto'!$C$37</f>
      </c>
      <c r="C5081" s="5" t="str">
        <f>'Lineal Mixto'!$C$38</f>
      </c>
      <c r="D5081" s="5" t="str">
        <f>MIN(INT(B5081*5),4)</f>
      </c>
      <c r="E5081" s="5" t="str">
        <f>MIN(INT(C5081*5),4)</f>
      </c>
      <c r="F5081" s="5" t="str">
        <f>D5081*5+E5081</f>
      </c>
    </row>
    <row r="5082">
      <c r="A5082" s="6">
        <v>34</v>
      </c>
      <c r="B5082" s="6" t="str">
        <f>'Lineal Mixto'!$C$38</f>
      </c>
      <c r="C5082" s="6" t="str">
        <f>'Lineal Mixto'!$C$39</f>
      </c>
      <c r="D5082" s="6" t="str">
        <f>MIN(INT(B5082*5),4)</f>
      </c>
      <c r="E5082" s="6" t="str">
        <f>MIN(INT(C5082*5),4)</f>
      </c>
      <c r="F5082" s="6" t="str">
        <f>D5082*5+E5082</f>
      </c>
    </row>
    <row r="5083">
      <c r="A5083" s="5">
        <v>35</v>
      </c>
      <c r="B5083" s="5" t="str">
        <f>'Lineal Mixto'!$C$39</f>
      </c>
      <c r="C5083" s="5" t="str">
        <f>'Lineal Mixto'!$C$40</f>
      </c>
      <c r="D5083" s="5" t="str">
        <f>MIN(INT(B5083*5),4)</f>
      </c>
      <c r="E5083" s="5" t="str">
        <f>MIN(INT(C5083*5),4)</f>
      </c>
      <c r="F5083" s="5" t="str">
        <f>D5083*5+E5083</f>
      </c>
    </row>
    <row r="5084">
      <c r="A5084" s="6">
        <v>36</v>
      </c>
      <c r="B5084" s="6" t="str">
        <f>'Lineal Mixto'!$C$40</f>
      </c>
      <c r="C5084" s="6" t="str">
        <f>'Lineal Mixto'!$C$41</f>
      </c>
      <c r="D5084" s="6" t="str">
        <f>MIN(INT(B5084*5),4)</f>
      </c>
      <c r="E5084" s="6" t="str">
        <f>MIN(INT(C5084*5),4)</f>
      </c>
      <c r="F5084" s="6" t="str">
        <f>D5084*5+E5084</f>
      </c>
    </row>
    <row r="5085">
      <c r="A5085" s="5">
        <v>37</v>
      </c>
      <c r="B5085" s="5" t="str">
        <f>'Lineal Mixto'!$C$41</f>
      </c>
      <c r="C5085" s="5" t="str">
        <f>'Lineal Mixto'!$C$42</f>
      </c>
      <c r="D5085" s="5" t="str">
        <f>MIN(INT(B5085*5),4)</f>
      </c>
      <c r="E5085" s="5" t="str">
        <f>MIN(INT(C5085*5),4)</f>
      </c>
      <c r="F5085" s="5" t="str">
        <f>D5085*5+E5085</f>
      </c>
    </row>
    <row r="5086">
      <c r="A5086" s="6">
        <v>38</v>
      </c>
      <c r="B5086" s="6" t="str">
        <f>'Lineal Mixto'!$C$42</f>
      </c>
      <c r="C5086" s="6" t="str">
        <f>'Lineal Mixto'!$C$43</f>
      </c>
      <c r="D5086" s="6" t="str">
        <f>MIN(INT(B5086*5),4)</f>
      </c>
      <c r="E5086" s="6" t="str">
        <f>MIN(INT(C5086*5),4)</f>
      </c>
      <c r="F5086" s="6" t="str">
        <f>D5086*5+E5086</f>
      </c>
    </row>
    <row r="5087">
      <c r="A5087" s="5">
        <v>39</v>
      </c>
      <c r="B5087" s="5" t="str">
        <f>'Lineal Mixto'!$C$43</f>
      </c>
      <c r="C5087" s="5" t="str">
        <f>'Lineal Mixto'!$C$44</f>
      </c>
      <c r="D5087" s="5" t="str">
        <f>MIN(INT(B5087*5),4)</f>
      </c>
      <c r="E5087" s="5" t="str">
        <f>MIN(INT(C5087*5),4)</f>
      </c>
      <c r="F5087" s="5" t="str">
        <f>D5087*5+E5087</f>
      </c>
    </row>
    <row r="5088">
      <c r="A5088" s="6">
        <v>40</v>
      </c>
      <c r="B5088" s="6" t="str">
        <f>'Lineal Mixto'!$C$44</f>
      </c>
      <c r="C5088" s="6" t="str">
        <f>'Lineal Mixto'!$C$45</f>
      </c>
      <c r="D5088" s="6" t="str">
        <f>MIN(INT(B5088*5),4)</f>
      </c>
      <c r="E5088" s="6" t="str">
        <f>MIN(INT(C5088*5),4)</f>
      </c>
      <c r="F5088" s="6" t="str">
        <f>D5088*5+E5088</f>
      </c>
    </row>
    <row r="5089">
      <c r="A5089" s="5">
        <v>41</v>
      </c>
      <c r="B5089" s="5" t="str">
        <f>'Lineal Mixto'!$C$45</f>
      </c>
      <c r="C5089" s="5" t="str">
        <f>'Lineal Mixto'!$C$46</f>
      </c>
      <c r="D5089" s="5" t="str">
        <f>MIN(INT(B5089*5),4)</f>
      </c>
      <c r="E5089" s="5" t="str">
        <f>MIN(INT(C5089*5),4)</f>
      </c>
      <c r="F5089" s="5" t="str">
        <f>D5089*5+E5089</f>
      </c>
    </row>
    <row r="5090">
      <c r="A5090" s="6">
        <v>42</v>
      </c>
      <c r="B5090" s="6" t="str">
        <f>'Lineal Mixto'!$C$46</f>
      </c>
      <c r="C5090" s="6" t="str">
        <f>'Lineal Mixto'!$C$47</f>
      </c>
      <c r="D5090" s="6" t="str">
        <f>MIN(INT(B5090*5),4)</f>
      </c>
      <c r="E5090" s="6" t="str">
        <f>MIN(INT(C5090*5),4)</f>
      </c>
      <c r="F5090" s="6" t="str">
        <f>D5090*5+E5090</f>
      </c>
    </row>
    <row r="5091">
      <c r="A5091" s="5">
        <v>43</v>
      </c>
      <c r="B5091" s="5" t="str">
        <f>'Lineal Mixto'!$C$47</f>
      </c>
      <c r="C5091" s="5" t="str">
        <f>'Lineal Mixto'!$C$48</f>
      </c>
      <c r="D5091" s="5" t="str">
        <f>MIN(INT(B5091*5),4)</f>
      </c>
      <c r="E5091" s="5" t="str">
        <f>MIN(INT(C5091*5),4)</f>
      </c>
      <c r="F5091" s="5" t="str">
        <f>D5091*5+E5091</f>
      </c>
    </row>
    <row r="5092">
      <c r="A5092" s="6">
        <v>44</v>
      </c>
      <c r="B5092" s="6" t="str">
        <f>'Lineal Mixto'!$C$48</f>
      </c>
      <c r="C5092" s="6" t="str">
        <f>'Lineal Mixto'!$C$49</f>
      </c>
      <c r="D5092" s="6" t="str">
        <f>MIN(INT(B5092*5),4)</f>
      </c>
      <c r="E5092" s="6" t="str">
        <f>MIN(INT(C5092*5),4)</f>
      </c>
      <c r="F5092" s="6" t="str">
        <f>D5092*5+E5092</f>
      </c>
    </row>
    <row r="5093">
      <c r="A5093" s="5">
        <v>45</v>
      </c>
      <c r="B5093" s="5" t="str">
        <f>'Lineal Mixto'!$C$49</f>
      </c>
      <c r="C5093" s="5" t="str">
        <f>'Lineal Mixto'!$C$50</f>
      </c>
      <c r="D5093" s="5" t="str">
        <f>MIN(INT(B5093*5),4)</f>
      </c>
      <c r="E5093" s="5" t="str">
        <f>MIN(INT(C5093*5),4)</f>
      </c>
      <c r="F5093" s="5" t="str">
        <f>D5093*5+E5093</f>
      </c>
    </row>
    <row r="5094">
      <c r="A5094" s="6">
        <v>46</v>
      </c>
      <c r="B5094" s="6" t="str">
        <f>'Lineal Mixto'!$C$50</f>
      </c>
      <c r="C5094" s="6" t="str">
        <f>'Lineal Mixto'!$C$51</f>
      </c>
      <c r="D5094" s="6" t="str">
        <f>MIN(INT(B5094*5),4)</f>
      </c>
      <c r="E5094" s="6" t="str">
        <f>MIN(INT(C5094*5),4)</f>
      </c>
      <c r="F5094" s="6" t="str">
        <f>D5094*5+E5094</f>
      </c>
    </row>
    <row r="5095">
      <c r="A5095" s="5">
        <v>47</v>
      </c>
      <c r="B5095" s="5" t="str">
        <f>'Lineal Mixto'!$C$51</f>
      </c>
      <c r="C5095" s="5" t="str">
        <f>'Lineal Mixto'!$C$52</f>
      </c>
      <c r="D5095" s="5" t="str">
        <f>MIN(INT(B5095*5),4)</f>
      </c>
      <c r="E5095" s="5" t="str">
        <f>MIN(INT(C5095*5),4)</f>
      </c>
      <c r="F5095" s="5" t="str">
        <f>D5095*5+E5095</f>
      </c>
    </row>
    <row r="5096">
      <c r="A5096" s="6">
        <v>48</v>
      </c>
      <c r="B5096" s="6" t="str">
        <f>'Lineal Mixto'!$C$52</f>
      </c>
      <c r="C5096" s="6" t="str">
        <f>'Lineal Mixto'!$C$53</f>
      </c>
      <c r="D5096" s="6" t="str">
        <f>MIN(INT(B5096*5),4)</f>
      </c>
      <c r="E5096" s="6" t="str">
        <f>MIN(INT(C5096*5),4)</f>
      </c>
      <c r="F5096" s="6" t="str">
        <f>D5096*5+E5096</f>
      </c>
    </row>
    <row r="5097">
      <c r="A5097" s="5">
        <v>49</v>
      </c>
      <c r="B5097" s="5" t="str">
        <f>'Lineal Mixto'!$C$53</f>
      </c>
      <c r="C5097" s="5" t="str">
        <f>'Lineal Mixto'!$C$54</f>
      </c>
      <c r="D5097" s="5" t="str">
        <f>MIN(INT(B5097*5),4)</f>
      </c>
      <c r="E5097" s="5" t="str">
        <f>MIN(INT(C5097*5),4)</f>
      </c>
      <c r="F5097" s="5" t="str">
        <f>D5097*5+E5097</f>
      </c>
    </row>
    <row r="5098">
      <c r="A5098" s="6">
        <v>50</v>
      </c>
      <c r="B5098" s="6" t="str">
        <f>'Lineal Mixto'!$C$54</f>
      </c>
      <c r="C5098" s="6" t="str">
        <f>'Lineal Mixto'!$C$55</f>
      </c>
      <c r="D5098" s="6" t="str">
        <f>MIN(INT(B5098*5),4)</f>
      </c>
      <c r="E5098" s="6" t="str">
        <f>MIN(INT(C5098*5),4)</f>
      </c>
      <c r="F5098" s="6" t="str">
        <f>D5098*5+E5098</f>
      </c>
    </row>
    <row r="5099">
      <c r="A5099" s="5">
        <v>51</v>
      </c>
      <c r="B5099" s="5" t="str">
        <f>'Lineal Mixto'!$C$55</f>
      </c>
      <c r="C5099" s="5" t="str">
        <f>'Lineal Mixto'!$C$56</f>
      </c>
      <c r="D5099" s="5" t="str">
        <f>MIN(INT(B5099*5),4)</f>
      </c>
      <c r="E5099" s="5" t="str">
        <f>MIN(INT(C5099*5),4)</f>
      </c>
      <c r="F5099" s="5" t="str">
        <f>D5099*5+E5099</f>
      </c>
    </row>
    <row r="5100">
      <c r="A5100" s="6">
        <v>52</v>
      </c>
      <c r="B5100" s="6" t="str">
        <f>'Lineal Mixto'!$C$56</f>
      </c>
      <c r="C5100" s="6" t="str">
        <f>'Lineal Mixto'!$C$57</f>
      </c>
      <c r="D5100" s="6" t="str">
        <f>MIN(INT(B5100*5),4)</f>
      </c>
      <c r="E5100" s="6" t="str">
        <f>MIN(INT(C5100*5),4)</f>
      </c>
      <c r="F5100" s="6" t="str">
        <f>D5100*5+E5100</f>
      </c>
    </row>
    <row r="5101">
      <c r="A5101" s="5">
        <v>53</v>
      </c>
      <c r="B5101" s="5" t="str">
        <f>'Lineal Mixto'!$C$57</f>
      </c>
      <c r="C5101" s="5" t="str">
        <f>'Lineal Mixto'!$C$58</f>
      </c>
      <c r="D5101" s="5" t="str">
        <f>MIN(INT(B5101*5),4)</f>
      </c>
      <c r="E5101" s="5" t="str">
        <f>MIN(INT(C5101*5),4)</f>
      </c>
      <c r="F5101" s="5" t="str">
        <f>D5101*5+E5101</f>
      </c>
    </row>
    <row r="5102">
      <c r="A5102" s="6">
        <v>54</v>
      </c>
      <c r="B5102" s="6" t="str">
        <f>'Lineal Mixto'!$C$58</f>
      </c>
      <c r="C5102" s="6" t="str">
        <f>'Lineal Mixto'!$C$59</f>
      </c>
      <c r="D5102" s="6" t="str">
        <f>MIN(INT(B5102*5),4)</f>
      </c>
      <c r="E5102" s="6" t="str">
        <f>MIN(INT(C5102*5),4)</f>
      </c>
      <c r="F5102" s="6" t="str">
        <f>D5102*5+E5102</f>
      </c>
    </row>
    <row r="5103">
      <c r="A5103" s="5">
        <v>55</v>
      </c>
      <c r="B5103" s="5" t="str">
        <f>'Lineal Mixto'!$C$59</f>
      </c>
      <c r="C5103" s="5" t="str">
        <f>'Lineal Mixto'!$C$60</f>
      </c>
      <c r="D5103" s="5" t="str">
        <f>MIN(INT(B5103*5),4)</f>
      </c>
      <c r="E5103" s="5" t="str">
        <f>MIN(INT(C5103*5),4)</f>
      </c>
      <c r="F5103" s="5" t="str">
        <f>D5103*5+E5103</f>
      </c>
    </row>
    <row r="5104">
      <c r="A5104" s="6">
        <v>56</v>
      </c>
      <c r="B5104" s="6" t="str">
        <f>'Lineal Mixto'!$C$60</f>
      </c>
      <c r="C5104" s="6" t="str">
        <f>'Lineal Mixto'!$C$61</f>
      </c>
      <c r="D5104" s="6" t="str">
        <f>MIN(INT(B5104*5),4)</f>
      </c>
      <c r="E5104" s="6" t="str">
        <f>MIN(INT(C5104*5),4)</f>
      </c>
      <c r="F5104" s="6" t="str">
        <f>D5104*5+E5104</f>
      </c>
    </row>
    <row r="5105">
      <c r="A5105" s="5">
        <v>57</v>
      </c>
      <c r="B5105" s="5" t="str">
        <f>'Lineal Mixto'!$C$61</f>
      </c>
      <c r="C5105" s="5" t="str">
        <f>'Lineal Mixto'!$C$62</f>
      </c>
      <c r="D5105" s="5" t="str">
        <f>MIN(INT(B5105*5),4)</f>
      </c>
      <c r="E5105" s="5" t="str">
        <f>MIN(INT(C5105*5),4)</f>
      </c>
      <c r="F5105" s="5" t="str">
        <f>D5105*5+E5105</f>
      </c>
    </row>
    <row r="5106">
      <c r="A5106" s="6">
        <v>58</v>
      </c>
      <c r="B5106" s="6" t="str">
        <f>'Lineal Mixto'!$C$62</f>
      </c>
      <c r="C5106" s="6" t="str">
        <f>'Lineal Mixto'!$C$63</f>
      </c>
      <c r="D5106" s="6" t="str">
        <f>MIN(INT(B5106*5),4)</f>
      </c>
      <c r="E5106" s="6" t="str">
        <f>MIN(INT(C5106*5),4)</f>
      </c>
      <c r="F5106" s="6" t="str">
        <f>D5106*5+E5106</f>
      </c>
    </row>
    <row r="5107">
      <c r="A5107" s="5">
        <v>59</v>
      </c>
      <c r="B5107" s="5" t="str">
        <f>'Lineal Mixto'!$C$63</f>
      </c>
      <c r="C5107" s="5" t="str">
        <f>'Lineal Mixto'!$C$64</f>
      </c>
      <c r="D5107" s="5" t="str">
        <f>MIN(INT(B5107*5),4)</f>
      </c>
      <c r="E5107" s="5" t="str">
        <f>MIN(INT(C5107*5),4)</f>
      </c>
      <c r="F5107" s="5" t="str">
        <f>D5107*5+E5107</f>
      </c>
    </row>
    <row r="5108">
      <c r="A5108" s="6">
        <v>60</v>
      </c>
      <c r="B5108" s="6" t="str">
        <f>'Lineal Mixto'!$C$64</f>
      </c>
      <c r="C5108" s="6" t="str">
        <f>'Lineal Mixto'!$C$65</f>
      </c>
      <c r="D5108" s="6" t="str">
        <f>MIN(INT(B5108*5),4)</f>
      </c>
      <c r="E5108" s="6" t="str">
        <f>MIN(INT(C5108*5),4)</f>
      </c>
      <c r="F5108" s="6" t="str">
        <f>D5108*5+E5108</f>
      </c>
    </row>
    <row r="5109">
      <c r="A5109" s="5">
        <v>61</v>
      </c>
      <c r="B5109" s="5" t="str">
        <f>'Lineal Mixto'!$C$65</f>
      </c>
      <c r="C5109" s="5" t="str">
        <f>'Lineal Mixto'!$C$66</f>
      </c>
      <c r="D5109" s="5" t="str">
        <f>MIN(INT(B5109*5),4)</f>
      </c>
      <c r="E5109" s="5" t="str">
        <f>MIN(INT(C5109*5),4)</f>
      </c>
      <c r="F5109" s="5" t="str">
        <f>D5109*5+E5109</f>
      </c>
    </row>
    <row r="5110">
      <c r="A5110" s="6">
        <v>62</v>
      </c>
      <c r="B5110" s="6" t="str">
        <f>'Lineal Mixto'!$C$66</f>
      </c>
      <c r="C5110" s="6" t="str">
        <f>'Lineal Mixto'!$C$67</f>
      </c>
      <c r="D5110" s="6" t="str">
        <f>MIN(INT(B5110*5),4)</f>
      </c>
      <c r="E5110" s="6" t="str">
        <f>MIN(INT(C5110*5),4)</f>
      </c>
      <c r="F5110" s="6" t="str">
        <f>D5110*5+E5110</f>
      </c>
    </row>
    <row r="5111">
      <c r="A5111" s="5">
        <v>63</v>
      </c>
      <c r="B5111" s="5" t="str">
        <f>'Lineal Mixto'!$C$67</f>
      </c>
      <c r="C5111" s="5" t="str">
        <f>'Lineal Mixto'!$C$68</f>
      </c>
      <c r="D5111" s="5" t="str">
        <f>MIN(INT(B5111*5),4)</f>
      </c>
      <c r="E5111" s="5" t="str">
        <f>MIN(INT(C5111*5),4)</f>
      </c>
      <c r="F5111" s="5" t="str">
        <f>D5111*5+E5111</f>
      </c>
    </row>
    <row r="5112">
      <c r="A5112" s="6">
        <v>64</v>
      </c>
      <c r="B5112" s="6" t="str">
        <f>'Lineal Mixto'!$C$68</f>
      </c>
      <c r="C5112" s="6" t="str">
        <f>'Lineal Mixto'!$C$69</f>
      </c>
      <c r="D5112" s="6" t="str">
        <f>MIN(INT(B5112*5),4)</f>
      </c>
      <c r="E5112" s="6" t="str">
        <f>MIN(INT(C5112*5),4)</f>
      </c>
      <c r="F5112" s="6" t="str">
        <f>D5112*5+E5112</f>
      </c>
    </row>
    <row r="5113">
      <c r="A5113" s="5">
        <v>65</v>
      </c>
      <c r="B5113" s="5" t="str">
        <f>'Lineal Mixto'!$C$69</f>
      </c>
      <c r="C5113" s="5" t="str">
        <f>'Lineal Mixto'!$C$70</f>
      </c>
      <c r="D5113" s="5" t="str">
        <f>MIN(INT(B5113*5),4)</f>
      </c>
      <c r="E5113" s="5" t="str">
        <f>MIN(INT(C5113*5),4)</f>
      </c>
      <c r="F5113" s="5" t="str">
        <f>D5113*5+E5113</f>
      </c>
    </row>
    <row r="5114">
      <c r="A5114" s="6">
        <v>66</v>
      </c>
      <c r="B5114" s="6" t="str">
        <f>'Lineal Mixto'!$C$70</f>
      </c>
      <c r="C5114" s="6" t="str">
        <f>'Lineal Mixto'!$C$71</f>
      </c>
      <c r="D5114" s="6" t="str">
        <f>MIN(INT(B5114*5),4)</f>
      </c>
      <c r="E5114" s="6" t="str">
        <f>MIN(INT(C5114*5),4)</f>
      </c>
      <c r="F5114" s="6" t="str">
        <f>D5114*5+E5114</f>
      </c>
    </row>
    <row r="5115">
      <c r="A5115" s="5">
        <v>67</v>
      </c>
      <c r="B5115" s="5" t="str">
        <f>'Lineal Mixto'!$C$71</f>
      </c>
      <c r="C5115" s="5" t="str">
        <f>'Lineal Mixto'!$C$72</f>
      </c>
      <c r="D5115" s="5" t="str">
        <f>MIN(INT(B5115*5),4)</f>
      </c>
      <c r="E5115" s="5" t="str">
        <f>MIN(INT(C5115*5),4)</f>
      </c>
      <c r="F5115" s="5" t="str">
        <f>D5115*5+E5115</f>
      </c>
    </row>
    <row r="5116">
      <c r="A5116" s="6">
        <v>68</v>
      </c>
      <c r="B5116" s="6" t="str">
        <f>'Lineal Mixto'!$C$72</f>
      </c>
      <c r="C5116" s="6" t="str">
        <f>'Lineal Mixto'!$C$73</f>
      </c>
      <c r="D5116" s="6" t="str">
        <f>MIN(INT(B5116*5),4)</f>
      </c>
      <c r="E5116" s="6" t="str">
        <f>MIN(INT(C5116*5),4)</f>
      </c>
      <c r="F5116" s="6" t="str">
        <f>D5116*5+E5116</f>
      </c>
    </row>
    <row r="5117">
      <c r="A5117" s="5">
        <v>69</v>
      </c>
      <c r="B5117" s="5" t="str">
        <f>'Lineal Mixto'!$C$73</f>
      </c>
      <c r="C5117" s="5" t="str">
        <f>'Lineal Mixto'!$C$74</f>
      </c>
      <c r="D5117" s="5" t="str">
        <f>MIN(INT(B5117*5),4)</f>
      </c>
      <c r="E5117" s="5" t="str">
        <f>MIN(INT(C5117*5),4)</f>
      </c>
      <c r="F5117" s="5" t="str">
        <f>D5117*5+E5117</f>
      </c>
    </row>
    <row r="5118">
      <c r="A5118" s="6">
        <v>70</v>
      </c>
      <c r="B5118" s="6" t="str">
        <f>'Lineal Mixto'!$C$74</f>
      </c>
      <c r="C5118" s="6" t="str">
        <f>'Lineal Mixto'!$C$75</f>
      </c>
      <c r="D5118" s="6" t="str">
        <f>MIN(INT(B5118*5),4)</f>
      </c>
      <c r="E5118" s="6" t="str">
        <f>MIN(INT(C5118*5),4)</f>
      </c>
      <c r="F5118" s="6" t="str">
        <f>D5118*5+E5118</f>
      </c>
    </row>
    <row r="5119">
      <c r="A5119" s="5">
        <v>71</v>
      </c>
      <c r="B5119" s="5" t="str">
        <f>'Lineal Mixto'!$C$75</f>
      </c>
      <c r="C5119" s="5" t="str">
        <f>'Lineal Mixto'!$C$76</f>
      </c>
      <c r="D5119" s="5" t="str">
        <f>MIN(INT(B5119*5),4)</f>
      </c>
      <c r="E5119" s="5" t="str">
        <f>MIN(INT(C5119*5),4)</f>
      </c>
      <c r="F5119" s="5" t="str">
        <f>D5119*5+E5119</f>
      </c>
    </row>
    <row r="5120">
      <c r="A5120" s="6">
        <v>72</v>
      </c>
      <c r="B5120" s="6" t="str">
        <f>'Lineal Mixto'!$C$76</f>
      </c>
      <c r="C5120" s="6" t="str">
        <f>'Lineal Mixto'!$C$77</f>
      </c>
      <c r="D5120" s="6" t="str">
        <f>MIN(INT(B5120*5),4)</f>
      </c>
      <c r="E5120" s="6" t="str">
        <f>MIN(INT(C5120*5),4)</f>
      </c>
      <c r="F5120" s="6" t="str">
        <f>D5120*5+E5120</f>
      </c>
    </row>
    <row r="5121">
      <c r="A5121" s="5">
        <v>73</v>
      </c>
      <c r="B5121" s="5" t="str">
        <f>'Lineal Mixto'!$C$77</f>
      </c>
      <c r="C5121" s="5" t="str">
        <f>'Lineal Mixto'!$C$78</f>
      </c>
      <c r="D5121" s="5" t="str">
        <f>MIN(INT(B5121*5),4)</f>
      </c>
      <c r="E5121" s="5" t="str">
        <f>MIN(INT(C5121*5),4)</f>
      </c>
      <c r="F5121" s="5" t="str">
        <f>D5121*5+E5121</f>
      </c>
    </row>
    <row r="5122">
      <c r="A5122" s="6">
        <v>74</v>
      </c>
      <c r="B5122" s="6" t="str">
        <f>'Lineal Mixto'!$C$78</f>
      </c>
      <c r="C5122" s="6" t="str">
        <f>'Lineal Mixto'!$C$79</f>
      </c>
      <c r="D5122" s="6" t="str">
        <f>MIN(INT(B5122*5),4)</f>
      </c>
      <c r="E5122" s="6" t="str">
        <f>MIN(INT(C5122*5),4)</f>
      </c>
      <c r="F5122" s="6" t="str">
        <f>D5122*5+E5122</f>
      </c>
    </row>
    <row r="5123">
      <c r="A5123" s="5">
        <v>75</v>
      </c>
      <c r="B5123" s="5" t="str">
        <f>'Lineal Mixto'!$C$79</f>
      </c>
      <c r="C5123" s="5" t="str">
        <f>'Lineal Mixto'!$C$80</f>
      </c>
      <c r="D5123" s="5" t="str">
        <f>MIN(INT(B5123*5),4)</f>
      </c>
      <c r="E5123" s="5" t="str">
        <f>MIN(INT(C5123*5),4)</f>
      </c>
      <c r="F5123" s="5" t="str">
        <f>D5123*5+E5123</f>
      </c>
    </row>
    <row r="5124">
      <c r="A5124" s="6">
        <v>76</v>
      </c>
      <c r="B5124" s="6" t="str">
        <f>'Lineal Mixto'!$C$80</f>
      </c>
      <c r="C5124" s="6" t="str">
        <f>'Lineal Mixto'!$C$81</f>
      </c>
      <c r="D5124" s="6" t="str">
        <f>MIN(INT(B5124*5),4)</f>
      </c>
      <c r="E5124" s="6" t="str">
        <f>MIN(INT(C5124*5),4)</f>
      </c>
      <c r="F5124" s="6" t="str">
        <f>D5124*5+E5124</f>
      </c>
    </row>
    <row r="5125">
      <c r="A5125" s="5">
        <v>77</v>
      </c>
      <c r="B5125" s="5" t="str">
        <f>'Lineal Mixto'!$C$81</f>
      </c>
      <c r="C5125" s="5" t="str">
        <f>'Lineal Mixto'!$C$82</f>
      </c>
      <c r="D5125" s="5" t="str">
        <f>MIN(INT(B5125*5),4)</f>
      </c>
      <c r="E5125" s="5" t="str">
        <f>MIN(INT(C5125*5),4)</f>
      </c>
      <c r="F5125" s="5" t="str">
        <f>D5125*5+E5125</f>
      </c>
    </row>
    <row r="5126">
      <c r="A5126" s="6">
        <v>78</v>
      </c>
      <c r="B5126" s="6" t="str">
        <f>'Lineal Mixto'!$C$82</f>
      </c>
      <c r="C5126" s="6" t="str">
        <f>'Lineal Mixto'!$C$83</f>
      </c>
      <c r="D5126" s="6" t="str">
        <f>MIN(INT(B5126*5),4)</f>
      </c>
      <c r="E5126" s="6" t="str">
        <f>MIN(INT(C5126*5),4)</f>
      </c>
      <c r="F5126" s="6" t="str">
        <f>D5126*5+E5126</f>
      </c>
    </row>
    <row r="5127">
      <c r="A5127" s="5">
        <v>79</v>
      </c>
      <c r="B5127" s="5" t="str">
        <f>'Lineal Mixto'!$C$83</f>
      </c>
      <c r="C5127" s="5" t="str">
        <f>'Lineal Mixto'!$C$84</f>
      </c>
      <c r="D5127" s="5" t="str">
        <f>MIN(INT(B5127*5),4)</f>
      </c>
      <c r="E5127" s="5" t="str">
        <f>MIN(INT(C5127*5),4)</f>
      </c>
      <c r="F5127" s="5" t="str">
        <f>D5127*5+E5127</f>
      </c>
    </row>
    <row r="5128">
      <c r="A5128" s="6">
        <v>80</v>
      </c>
      <c r="B5128" s="6" t="str">
        <f>'Lineal Mixto'!$C$84</f>
      </c>
      <c r="C5128" s="6" t="str">
        <f>'Lineal Mixto'!$C$85</f>
      </c>
      <c r="D5128" s="6" t="str">
        <f>MIN(INT(B5128*5),4)</f>
      </c>
      <c r="E5128" s="6" t="str">
        <f>MIN(INT(C5128*5),4)</f>
      </c>
      <c r="F5128" s="6" t="str">
        <f>D5128*5+E5128</f>
      </c>
    </row>
    <row r="5129">
      <c r="A5129" s="5">
        <v>81</v>
      </c>
      <c r="B5129" s="5" t="str">
        <f>'Lineal Mixto'!$C$85</f>
      </c>
      <c r="C5129" s="5" t="str">
        <f>'Lineal Mixto'!$C$86</f>
      </c>
      <c r="D5129" s="5" t="str">
        <f>MIN(INT(B5129*5),4)</f>
      </c>
      <c r="E5129" s="5" t="str">
        <f>MIN(INT(C5129*5),4)</f>
      </c>
      <c r="F5129" s="5" t="str">
        <f>D5129*5+E5129</f>
      </c>
    </row>
    <row r="5130">
      <c r="A5130" s="6">
        <v>82</v>
      </c>
      <c r="B5130" s="6" t="str">
        <f>'Lineal Mixto'!$C$86</f>
      </c>
      <c r="C5130" s="6" t="str">
        <f>'Lineal Mixto'!$C$87</f>
      </c>
      <c r="D5130" s="6" t="str">
        <f>MIN(INT(B5130*5),4)</f>
      </c>
      <c r="E5130" s="6" t="str">
        <f>MIN(INT(C5130*5),4)</f>
      </c>
      <c r="F5130" s="6" t="str">
        <f>D5130*5+E5130</f>
      </c>
    </row>
    <row r="5131">
      <c r="A5131" s="5">
        <v>83</v>
      </c>
      <c r="B5131" s="5" t="str">
        <f>'Lineal Mixto'!$C$87</f>
      </c>
      <c r="C5131" s="5" t="str">
        <f>'Lineal Mixto'!$C$88</f>
      </c>
      <c r="D5131" s="5" t="str">
        <f>MIN(INT(B5131*5),4)</f>
      </c>
      <c r="E5131" s="5" t="str">
        <f>MIN(INT(C5131*5),4)</f>
      </c>
      <c r="F5131" s="5" t="str">
        <f>D5131*5+E5131</f>
      </c>
    </row>
    <row r="5132">
      <c r="A5132" s="6">
        <v>84</v>
      </c>
      <c r="B5132" s="6" t="str">
        <f>'Lineal Mixto'!$C$88</f>
      </c>
      <c r="C5132" s="6" t="str">
        <f>'Lineal Mixto'!$C$89</f>
      </c>
      <c r="D5132" s="6" t="str">
        <f>MIN(INT(B5132*5),4)</f>
      </c>
      <c r="E5132" s="6" t="str">
        <f>MIN(INT(C5132*5),4)</f>
      </c>
      <c r="F5132" s="6" t="str">
        <f>D5132*5+E5132</f>
      </c>
    </row>
    <row r="5133">
      <c r="A5133" s="5">
        <v>85</v>
      </c>
      <c r="B5133" s="5" t="str">
        <f>'Lineal Mixto'!$C$89</f>
      </c>
      <c r="C5133" s="5" t="str">
        <f>'Lineal Mixto'!$C$90</f>
      </c>
      <c r="D5133" s="5" t="str">
        <f>MIN(INT(B5133*5),4)</f>
      </c>
      <c r="E5133" s="5" t="str">
        <f>MIN(INT(C5133*5),4)</f>
      </c>
      <c r="F5133" s="5" t="str">
        <f>D5133*5+E5133</f>
      </c>
    </row>
    <row r="5134">
      <c r="A5134" s="6">
        <v>86</v>
      </c>
      <c r="B5134" s="6" t="str">
        <f>'Lineal Mixto'!$C$90</f>
      </c>
      <c r="C5134" s="6" t="str">
        <f>'Lineal Mixto'!$C$91</f>
      </c>
      <c r="D5134" s="6" t="str">
        <f>MIN(INT(B5134*5),4)</f>
      </c>
      <c r="E5134" s="6" t="str">
        <f>MIN(INT(C5134*5),4)</f>
      </c>
      <c r="F5134" s="6" t="str">
        <f>D5134*5+E5134</f>
      </c>
    </row>
    <row r="5135">
      <c r="A5135" s="5">
        <v>87</v>
      </c>
      <c r="B5135" s="5" t="str">
        <f>'Lineal Mixto'!$C$91</f>
      </c>
      <c r="C5135" s="5" t="str">
        <f>'Lineal Mixto'!$C$92</f>
      </c>
      <c r="D5135" s="5" t="str">
        <f>MIN(INT(B5135*5),4)</f>
      </c>
      <c r="E5135" s="5" t="str">
        <f>MIN(INT(C5135*5),4)</f>
      </c>
      <c r="F5135" s="5" t="str">
        <f>D5135*5+E5135</f>
      </c>
    </row>
    <row r="5136">
      <c r="A5136" s="6">
        <v>88</v>
      </c>
      <c r="B5136" s="6" t="str">
        <f>'Lineal Mixto'!$C$92</f>
      </c>
      <c r="C5136" s="6" t="str">
        <f>'Lineal Mixto'!$C$93</f>
      </c>
      <c r="D5136" s="6" t="str">
        <f>MIN(INT(B5136*5),4)</f>
      </c>
      <c r="E5136" s="6" t="str">
        <f>MIN(INT(C5136*5),4)</f>
      </c>
      <c r="F5136" s="6" t="str">
        <f>D5136*5+E5136</f>
      </c>
    </row>
    <row r="5137">
      <c r="A5137" s="5">
        <v>89</v>
      </c>
      <c r="B5137" s="5" t="str">
        <f>'Lineal Mixto'!$C$93</f>
      </c>
      <c r="C5137" s="5" t="str">
        <f>'Lineal Mixto'!$C$94</f>
      </c>
      <c r="D5137" s="5" t="str">
        <f>MIN(INT(B5137*5),4)</f>
      </c>
      <c r="E5137" s="5" t="str">
        <f>MIN(INT(C5137*5),4)</f>
      </c>
      <c r="F5137" s="5" t="str">
        <f>D5137*5+E5137</f>
      </c>
    </row>
    <row r="5138">
      <c r="A5138" s="6">
        <v>90</v>
      </c>
      <c r="B5138" s="6" t="str">
        <f>'Lineal Mixto'!$C$94</f>
      </c>
      <c r="C5138" s="6" t="str">
        <f>'Lineal Mixto'!$C$95</f>
      </c>
      <c r="D5138" s="6" t="str">
        <f>MIN(INT(B5138*5),4)</f>
      </c>
      <c r="E5138" s="6" t="str">
        <f>MIN(INT(C5138*5),4)</f>
      </c>
      <c r="F5138" s="6" t="str">
        <f>D5138*5+E5138</f>
      </c>
    </row>
    <row r="5139">
      <c r="A5139" s="5">
        <v>91</v>
      </c>
      <c r="B5139" s="5" t="str">
        <f>'Lineal Mixto'!$C$95</f>
      </c>
      <c r="C5139" s="5" t="str">
        <f>'Lineal Mixto'!$C$96</f>
      </c>
      <c r="D5139" s="5" t="str">
        <f>MIN(INT(B5139*5),4)</f>
      </c>
      <c r="E5139" s="5" t="str">
        <f>MIN(INT(C5139*5),4)</f>
      </c>
      <c r="F5139" s="5" t="str">
        <f>D5139*5+E5139</f>
      </c>
    </row>
    <row r="5140">
      <c r="A5140" s="6">
        <v>92</v>
      </c>
      <c r="B5140" s="6" t="str">
        <f>'Lineal Mixto'!$C$96</f>
      </c>
      <c r="C5140" s="6" t="str">
        <f>'Lineal Mixto'!$C$97</f>
      </c>
      <c r="D5140" s="6" t="str">
        <f>MIN(INT(B5140*5),4)</f>
      </c>
      <c r="E5140" s="6" t="str">
        <f>MIN(INT(C5140*5),4)</f>
      </c>
      <c r="F5140" s="6" t="str">
        <f>D5140*5+E5140</f>
      </c>
    </row>
    <row r="5141">
      <c r="A5141" s="5">
        <v>93</v>
      </c>
      <c r="B5141" s="5" t="str">
        <f>'Lineal Mixto'!$C$97</f>
      </c>
      <c r="C5141" s="5" t="str">
        <f>'Lineal Mixto'!$C$98</f>
      </c>
      <c r="D5141" s="5" t="str">
        <f>MIN(INT(B5141*5),4)</f>
      </c>
      <c r="E5141" s="5" t="str">
        <f>MIN(INT(C5141*5),4)</f>
      </c>
      <c r="F5141" s="5" t="str">
        <f>D5141*5+E5141</f>
      </c>
    </row>
    <row r="5142">
      <c r="A5142" s="6">
        <v>94</v>
      </c>
      <c r="B5142" s="6" t="str">
        <f>'Lineal Mixto'!$C$98</f>
      </c>
      <c r="C5142" s="6" t="str">
        <f>'Lineal Mixto'!$C$99</f>
      </c>
      <c r="D5142" s="6" t="str">
        <f>MIN(INT(B5142*5),4)</f>
      </c>
      <c r="E5142" s="6" t="str">
        <f>MIN(INT(C5142*5),4)</f>
      </c>
      <c r="F5142" s="6" t="str">
        <f>D5142*5+E5142</f>
      </c>
    </row>
    <row r="5143">
      <c r="A5143" s="5">
        <v>95</v>
      </c>
      <c r="B5143" s="5" t="str">
        <f>'Lineal Mixto'!$C$99</f>
      </c>
      <c r="C5143" s="5" t="str">
        <f>'Lineal Mixto'!$C$100</f>
      </c>
      <c r="D5143" s="5" t="str">
        <f>MIN(INT(B5143*5),4)</f>
      </c>
      <c r="E5143" s="5" t="str">
        <f>MIN(INT(C5143*5),4)</f>
      </c>
      <c r="F5143" s="5" t="str">
        <f>D5143*5+E5143</f>
      </c>
    </row>
    <row r="5144">
      <c r="A5144" s="6">
        <v>96</v>
      </c>
      <c r="B5144" s="6" t="str">
        <f>'Lineal Mixto'!$C$100</f>
      </c>
      <c r="C5144" s="6" t="str">
        <f>'Lineal Mixto'!$C$101</f>
      </c>
      <c r="D5144" s="6" t="str">
        <f>MIN(INT(B5144*5),4)</f>
      </c>
      <c r="E5144" s="6" t="str">
        <f>MIN(INT(C5144*5),4)</f>
      </c>
      <c r="F5144" s="6" t="str">
        <f>D5144*5+E5144</f>
      </c>
    </row>
    <row r="5145">
      <c r="A5145" s="5">
        <v>97</v>
      </c>
      <c r="B5145" s="5" t="str">
        <f>'Lineal Mixto'!$C$101</f>
      </c>
      <c r="C5145" s="5" t="str">
        <f>'Lineal Mixto'!$C$102</f>
      </c>
      <c r="D5145" s="5" t="str">
        <f>MIN(INT(B5145*5),4)</f>
      </c>
      <c r="E5145" s="5" t="str">
        <f>MIN(INT(C5145*5),4)</f>
      </c>
      <c r="F5145" s="5" t="str">
        <f>D5145*5+E5145</f>
      </c>
    </row>
    <row r="5146">
      <c r="A5146" s="6">
        <v>98</v>
      </c>
      <c r="B5146" s="6" t="str">
        <f>'Lineal Mixto'!$C$102</f>
      </c>
      <c r="C5146" s="6" t="str">
        <f>'Lineal Mixto'!$C$103</f>
      </c>
      <c r="D5146" s="6" t="str">
        <f>MIN(INT(B5146*5),4)</f>
      </c>
      <c r="E5146" s="6" t="str">
        <f>MIN(INT(C5146*5),4)</f>
      </c>
      <c r="F5146" s="6" t="str">
        <f>D5146*5+E5146</f>
      </c>
    </row>
    <row r="5147">
      <c r="A5147" s="5">
        <v>99</v>
      </c>
      <c r="B5147" s="5" t="str">
        <f>'Lineal Mixto'!$C$103</f>
      </c>
      <c r="C5147" s="5" t="str">
        <f>'Lineal Mixto'!$C$104</f>
      </c>
      <c r="D5147" s="5" t="str">
        <f>MIN(INT(B5147*5),4)</f>
      </c>
      <c r="E5147" s="5" t="str">
        <f>MIN(INT(C5147*5),4)</f>
      </c>
      <c r="F5147" s="5" t="str">
        <f>D5147*5+E5147</f>
      </c>
    </row>
    <row r="5148">
      <c r="A5148" s="6">
        <v>100</v>
      </c>
      <c r="B5148" s="6" t="str">
        <f>'Lineal Mixto'!$C$104</f>
      </c>
      <c r="C5148" s="6" t="str">
        <f>'Lineal Mixto'!$C$105</f>
      </c>
      <c r="D5148" s="6" t="str">
        <f>MIN(INT(B5148*5),4)</f>
      </c>
      <c r="E5148" s="6" t="str">
        <f>MIN(INT(C5148*5),4)</f>
      </c>
      <c r="F5148" s="6" t="str">
        <f>D5148*5+E5148</f>
      </c>
    </row>
    <row r="5149">
      <c r="A5149" s="5">
        <v>101</v>
      </c>
      <c r="B5149" s="5" t="str">
        <f>'Lineal Mixto'!$C$105</f>
      </c>
      <c r="C5149" s="5" t="str">
        <f>'Lineal Mixto'!$C$106</f>
      </c>
      <c r="D5149" s="5" t="str">
        <f>MIN(INT(B5149*5),4)</f>
      </c>
      <c r="E5149" s="5" t="str">
        <f>MIN(INT(C5149*5),4)</f>
      </c>
      <c r="F5149" s="5" t="str">
        <f>D5149*5+E5149</f>
      </c>
    </row>
    <row r="5150">
      <c r="A5150" s="6">
        <v>102</v>
      </c>
      <c r="B5150" s="6" t="str">
        <f>'Lineal Mixto'!$C$106</f>
      </c>
      <c r="C5150" s="6" t="str">
        <f>'Lineal Mixto'!$C$107</f>
      </c>
      <c r="D5150" s="6" t="str">
        <f>MIN(INT(B5150*5),4)</f>
      </c>
      <c r="E5150" s="6" t="str">
        <f>MIN(INT(C5150*5),4)</f>
      </c>
      <c r="F5150" s="6" t="str">
        <f>D5150*5+E5150</f>
      </c>
    </row>
    <row r="5151">
      <c r="A5151" s="5">
        <v>103</v>
      </c>
      <c r="B5151" s="5" t="str">
        <f>'Lineal Mixto'!$C$107</f>
      </c>
      <c r="C5151" s="5" t="str">
        <f>'Lineal Mixto'!$C$108</f>
      </c>
      <c r="D5151" s="5" t="str">
        <f>MIN(INT(B5151*5),4)</f>
      </c>
      <c r="E5151" s="5" t="str">
        <f>MIN(INT(C5151*5),4)</f>
      </c>
      <c r="F5151" s="5" t="str">
        <f>D5151*5+E5151</f>
      </c>
    </row>
    <row r="5152">
      <c r="A5152" s="6">
        <v>104</v>
      </c>
      <c r="B5152" s="6" t="str">
        <f>'Lineal Mixto'!$C$108</f>
      </c>
      <c r="C5152" s="6" t="str">
        <f>'Lineal Mixto'!$C$109</f>
      </c>
      <c r="D5152" s="6" t="str">
        <f>MIN(INT(B5152*5),4)</f>
      </c>
      <c r="E5152" s="6" t="str">
        <f>MIN(INT(C5152*5),4)</f>
      </c>
      <c r="F5152" s="6" t="str">
        <f>D5152*5+E5152</f>
      </c>
    </row>
    <row r="5153">
      <c r="A5153" s="5">
        <v>105</v>
      </c>
      <c r="B5153" s="5" t="str">
        <f>'Lineal Mixto'!$C$109</f>
      </c>
      <c r="C5153" s="5" t="str">
        <f>'Lineal Mixto'!$C$110</f>
      </c>
      <c r="D5153" s="5" t="str">
        <f>MIN(INT(B5153*5),4)</f>
      </c>
      <c r="E5153" s="5" t="str">
        <f>MIN(INT(C5153*5),4)</f>
      </c>
      <c r="F5153" s="5" t="str">
        <f>D5153*5+E5153</f>
      </c>
    </row>
    <row r="5154">
      <c r="A5154" s="6">
        <v>106</v>
      </c>
      <c r="B5154" s="6" t="str">
        <f>'Lineal Mixto'!$C$110</f>
      </c>
      <c r="C5154" s="6" t="str">
        <f>'Lineal Mixto'!$C$111</f>
      </c>
      <c r="D5154" s="6" t="str">
        <f>MIN(INT(B5154*5),4)</f>
      </c>
      <c r="E5154" s="6" t="str">
        <f>MIN(INT(C5154*5),4)</f>
      </c>
      <c r="F5154" s="6" t="str">
        <f>D5154*5+E5154</f>
      </c>
    </row>
    <row r="5155">
      <c r="A5155" s="5">
        <v>107</v>
      </c>
      <c r="B5155" s="5" t="str">
        <f>'Lineal Mixto'!$C$111</f>
      </c>
      <c r="C5155" s="5" t="str">
        <f>'Lineal Mixto'!$C$112</f>
      </c>
      <c r="D5155" s="5" t="str">
        <f>MIN(INT(B5155*5),4)</f>
      </c>
      <c r="E5155" s="5" t="str">
        <f>MIN(INT(C5155*5),4)</f>
      </c>
      <c r="F5155" s="5" t="str">
        <f>D5155*5+E5155</f>
      </c>
    </row>
    <row r="5156">
      <c r="A5156" s="6">
        <v>108</v>
      </c>
      <c r="B5156" s="6" t="str">
        <f>'Lineal Mixto'!$C$112</f>
      </c>
      <c r="C5156" s="6" t="str">
        <f>'Lineal Mixto'!$C$113</f>
      </c>
      <c r="D5156" s="6" t="str">
        <f>MIN(INT(B5156*5),4)</f>
      </c>
      <c r="E5156" s="6" t="str">
        <f>MIN(INT(C5156*5),4)</f>
      </c>
      <c r="F5156" s="6" t="str">
        <f>D5156*5+E5156</f>
      </c>
    </row>
    <row r="5157">
      <c r="A5157" s="5">
        <v>109</v>
      </c>
      <c r="B5157" s="5" t="str">
        <f>'Lineal Mixto'!$C$113</f>
      </c>
      <c r="C5157" s="5" t="str">
        <f>'Lineal Mixto'!$C$114</f>
      </c>
      <c r="D5157" s="5" t="str">
        <f>MIN(INT(B5157*5),4)</f>
      </c>
      <c r="E5157" s="5" t="str">
        <f>MIN(INT(C5157*5),4)</f>
      </c>
      <c r="F5157" s="5" t="str">
        <f>D5157*5+E5157</f>
      </c>
    </row>
    <row r="5158">
      <c r="A5158" s="6">
        <v>110</v>
      </c>
      <c r="B5158" s="6" t="str">
        <f>'Lineal Mixto'!$C$114</f>
      </c>
      <c r="C5158" s="6" t="str">
        <f>'Lineal Mixto'!$C$115</f>
      </c>
      <c r="D5158" s="6" t="str">
        <f>MIN(INT(B5158*5),4)</f>
      </c>
      <c r="E5158" s="6" t="str">
        <f>MIN(INT(C5158*5),4)</f>
      </c>
      <c r="F5158" s="6" t="str">
        <f>D5158*5+E5158</f>
      </c>
    </row>
    <row r="5159">
      <c r="A5159" s="5">
        <v>111</v>
      </c>
      <c r="B5159" s="5" t="str">
        <f>'Lineal Mixto'!$C$115</f>
      </c>
      <c r="C5159" s="5" t="str">
        <f>'Lineal Mixto'!$C$116</f>
      </c>
      <c r="D5159" s="5" t="str">
        <f>MIN(INT(B5159*5),4)</f>
      </c>
      <c r="E5159" s="5" t="str">
        <f>MIN(INT(C5159*5),4)</f>
      </c>
      <c r="F5159" s="5" t="str">
        <f>D5159*5+E5159</f>
      </c>
    </row>
    <row r="5160">
      <c r="A5160" s="6">
        <v>112</v>
      </c>
      <c r="B5160" s="6" t="str">
        <f>'Lineal Mixto'!$C$116</f>
      </c>
      <c r="C5160" s="6" t="str">
        <f>'Lineal Mixto'!$C$117</f>
      </c>
      <c r="D5160" s="6" t="str">
        <f>MIN(INT(B5160*5),4)</f>
      </c>
      <c r="E5160" s="6" t="str">
        <f>MIN(INT(C5160*5),4)</f>
      </c>
      <c r="F5160" s="6" t="str">
        <f>D5160*5+E5160</f>
      </c>
    </row>
    <row r="5161">
      <c r="A5161" s="5">
        <v>113</v>
      </c>
      <c r="B5161" s="5" t="str">
        <f>'Lineal Mixto'!$C$117</f>
      </c>
      <c r="C5161" s="5" t="str">
        <f>'Lineal Mixto'!$C$118</f>
      </c>
      <c r="D5161" s="5" t="str">
        <f>MIN(INT(B5161*5),4)</f>
      </c>
      <c r="E5161" s="5" t="str">
        <f>MIN(INT(C5161*5),4)</f>
      </c>
      <c r="F5161" s="5" t="str">
        <f>D5161*5+E5161</f>
      </c>
    </row>
    <row r="5162">
      <c r="A5162" s="6">
        <v>114</v>
      </c>
      <c r="B5162" s="6" t="str">
        <f>'Lineal Mixto'!$C$118</f>
      </c>
      <c r="C5162" s="6" t="str">
        <f>'Lineal Mixto'!$C$119</f>
      </c>
      <c r="D5162" s="6" t="str">
        <f>MIN(INT(B5162*5),4)</f>
      </c>
      <c r="E5162" s="6" t="str">
        <f>MIN(INT(C5162*5),4)</f>
      </c>
      <c r="F5162" s="6" t="str">
        <f>D5162*5+E5162</f>
      </c>
    </row>
    <row r="5163">
      <c r="A5163" s="5">
        <v>115</v>
      </c>
      <c r="B5163" s="5" t="str">
        <f>'Lineal Mixto'!$C$119</f>
      </c>
      <c r="C5163" s="5" t="str">
        <f>'Lineal Mixto'!$C$120</f>
      </c>
      <c r="D5163" s="5" t="str">
        <f>MIN(INT(B5163*5),4)</f>
      </c>
      <c r="E5163" s="5" t="str">
        <f>MIN(INT(C5163*5),4)</f>
      </c>
      <c r="F5163" s="5" t="str">
        <f>D5163*5+E5163</f>
      </c>
    </row>
    <row r="5164">
      <c r="A5164" s="6">
        <v>116</v>
      </c>
      <c r="B5164" s="6" t="str">
        <f>'Lineal Mixto'!$C$120</f>
      </c>
      <c r="C5164" s="6" t="str">
        <f>'Lineal Mixto'!$C$121</f>
      </c>
      <c r="D5164" s="6" t="str">
        <f>MIN(INT(B5164*5),4)</f>
      </c>
      <c r="E5164" s="6" t="str">
        <f>MIN(INT(C5164*5),4)</f>
      </c>
      <c r="F5164" s="6" t="str">
        <f>D5164*5+E5164</f>
      </c>
    </row>
    <row r="5165">
      <c r="A5165" s="5">
        <v>117</v>
      </c>
      <c r="B5165" s="5" t="str">
        <f>'Lineal Mixto'!$C$121</f>
      </c>
      <c r="C5165" s="5" t="str">
        <f>'Lineal Mixto'!$C$122</f>
      </c>
      <c r="D5165" s="5" t="str">
        <f>MIN(INT(B5165*5),4)</f>
      </c>
      <c r="E5165" s="5" t="str">
        <f>MIN(INT(C5165*5),4)</f>
      </c>
      <c r="F5165" s="5" t="str">
        <f>D5165*5+E5165</f>
      </c>
    </row>
    <row r="5166">
      <c r="A5166" s="6">
        <v>118</v>
      </c>
      <c r="B5166" s="6" t="str">
        <f>'Lineal Mixto'!$C$122</f>
      </c>
      <c r="C5166" s="6" t="str">
        <f>'Lineal Mixto'!$C$123</f>
      </c>
      <c r="D5166" s="6" t="str">
        <f>MIN(INT(B5166*5),4)</f>
      </c>
      <c r="E5166" s="6" t="str">
        <f>MIN(INT(C5166*5),4)</f>
      </c>
      <c r="F5166" s="6" t="str">
        <f>D5166*5+E5166</f>
      </c>
    </row>
    <row r="5167">
      <c r="A5167" s="5">
        <v>119</v>
      </c>
      <c r="B5167" s="5" t="str">
        <f>'Lineal Mixto'!$C$123</f>
      </c>
      <c r="C5167" s="5" t="str">
        <f>'Lineal Mixto'!$C$124</f>
      </c>
      <c r="D5167" s="5" t="str">
        <f>MIN(INT(B5167*5),4)</f>
      </c>
      <c r="E5167" s="5" t="str">
        <f>MIN(INT(C5167*5),4)</f>
      </c>
      <c r="F5167" s="5" t="str">
        <f>D5167*5+E5167</f>
      </c>
    </row>
    <row r="5168">
      <c r="A5168" s="6">
        <v>120</v>
      </c>
      <c r="B5168" s="6" t="str">
        <f>'Lineal Mixto'!$C$124</f>
      </c>
      <c r="C5168" s="6" t="str">
        <f>'Lineal Mixto'!$C$125</f>
      </c>
      <c r="D5168" s="6" t="str">
        <f>MIN(INT(B5168*5),4)</f>
      </c>
      <c r="E5168" s="6" t="str">
        <f>MIN(INT(C5168*5),4)</f>
      </c>
      <c r="F5168" s="6" t="str">
        <f>D5168*5+E5168</f>
      </c>
    </row>
    <row r="5169">
      <c r="A5169" s="5">
        <v>121</v>
      </c>
      <c r="B5169" s="5" t="str">
        <f>'Lineal Mixto'!$C$125</f>
      </c>
      <c r="C5169" s="5" t="str">
        <f>'Lineal Mixto'!$C$126</f>
      </c>
      <c r="D5169" s="5" t="str">
        <f>MIN(INT(B5169*5),4)</f>
      </c>
      <c r="E5169" s="5" t="str">
        <f>MIN(INT(C5169*5),4)</f>
      </c>
      <c r="F5169" s="5" t="str">
        <f>D5169*5+E5169</f>
      </c>
    </row>
    <row r="5170">
      <c r="A5170" s="6">
        <v>122</v>
      </c>
      <c r="B5170" s="6" t="str">
        <f>'Lineal Mixto'!$C$126</f>
      </c>
      <c r="C5170" s="6" t="str">
        <f>'Lineal Mixto'!$C$127</f>
      </c>
      <c r="D5170" s="6" t="str">
        <f>MIN(INT(B5170*5),4)</f>
      </c>
      <c r="E5170" s="6" t="str">
        <f>MIN(INT(C5170*5),4)</f>
      </c>
      <c r="F5170" s="6" t="str">
        <f>D5170*5+E5170</f>
      </c>
    </row>
    <row r="5171">
      <c r="A5171" s="5">
        <v>123</v>
      </c>
      <c r="B5171" s="5" t="str">
        <f>'Lineal Mixto'!$C$127</f>
      </c>
      <c r="C5171" s="5" t="str">
        <f>'Lineal Mixto'!$C$128</f>
      </c>
      <c r="D5171" s="5" t="str">
        <f>MIN(INT(B5171*5),4)</f>
      </c>
      <c r="E5171" s="5" t="str">
        <f>MIN(INT(C5171*5),4)</f>
      </c>
      <c r="F5171" s="5" t="str">
        <f>D5171*5+E5171</f>
      </c>
    </row>
    <row r="5172">
      <c r="A5172" s="6">
        <v>124</v>
      </c>
      <c r="B5172" s="6" t="str">
        <f>'Lineal Mixto'!$C$128</f>
      </c>
      <c r="C5172" s="6" t="str">
        <f>'Lineal Mixto'!$C$129</f>
      </c>
      <c r="D5172" s="6" t="str">
        <f>MIN(INT(B5172*5),4)</f>
      </c>
      <c r="E5172" s="6" t="str">
        <f>MIN(INT(C5172*5),4)</f>
      </c>
      <c r="F5172" s="6" t="str">
        <f>D5172*5+E5172</f>
      </c>
    </row>
    <row r="5173">
      <c r="A5173" s="5">
        <v>125</v>
      </c>
      <c r="B5173" s="5" t="str">
        <f>'Lineal Mixto'!$C$129</f>
      </c>
      <c r="C5173" s="5" t="str">
        <f>'Lineal Mixto'!$C$130</f>
      </c>
      <c r="D5173" s="5" t="str">
        <f>MIN(INT(B5173*5),4)</f>
      </c>
      <c r="E5173" s="5" t="str">
        <f>MIN(INT(C5173*5),4)</f>
      </c>
      <c r="F5173" s="5" t="str">
        <f>D5173*5+E5173</f>
      </c>
    </row>
    <row r="5174">
      <c r="A5174" s="6">
        <v>126</v>
      </c>
      <c r="B5174" s="6" t="str">
        <f>'Lineal Mixto'!$C$130</f>
      </c>
      <c r="C5174" s="6" t="str">
        <f>'Lineal Mixto'!$C$131</f>
      </c>
      <c r="D5174" s="6" t="str">
        <f>MIN(INT(B5174*5),4)</f>
      </c>
      <c r="E5174" s="6" t="str">
        <f>MIN(INT(C5174*5),4)</f>
      </c>
      <c r="F5174" s="6" t="str">
        <f>D5174*5+E5174</f>
      </c>
    </row>
    <row r="5175">
      <c r="A5175" s="5">
        <v>127</v>
      </c>
      <c r="B5175" s="5" t="str">
        <f>'Lineal Mixto'!$C$131</f>
      </c>
      <c r="C5175" s="5" t="str">
        <f>'Lineal Mixto'!$C$132</f>
      </c>
      <c r="D5175" s="5" t="str">
        <f>MIN(INT(B5175*5),4)</f>
      </c>
      <c r="E5175" s="5" t="str">
        <f>MIN(INT(C5175*5),4)</f>
      </c>
      <c r="F5175" s="5" t="str">
        <f>D5175*5+E5175</f>
      </c>
    </row>
    <row r="5176">
      <c r="A5176" s="6">
        <v>128</v>
      </c>
      <c r="B5176" s="6" t="str">
        <f>'Lineal Mixto'!$C$132</f>
      </c>
      <c r="C5176" s="6" t="str">
        <f>'Lineal Mixto'!$C$133</f>
      </c>
      <c r="D5176" s="6" t="str">
        <f>MIN(INT(B5176*5),4)</f>
      </c>
      <c r="E5176" s="6" t="str">
        <f>MIN(INT(C5176*5),4)</f>
      </c>
      <c r="F5176" s="6" t="str">
        <f>D5176*5+E5176</f>
      </c>
    </row>
    <row r="5177">
      <c r="A5177" s="5">
        <v>129</v>
      </c>
      <c r="B5177" s="5" t="str">
        <f>'Lineal Mixto'!$C$133</f>
      </c>
      <c r="C5177" s="5" t="str">
        <f>'Lineal Mixto'!$C$134</f>
      </c>
      <c r="D5177" s="5" t="str">
        <f>MIN(INT(B5177*5),4)</f>
      </c>
      <c r="E5177" s="5" t="str">
        <f>MIN(INT(C5177*5),4)</f>
      </c>
      <c r="F5177" s="5" t="str">
        <f>D5177*5+E5177</f>
      </c>
    </row>
    <row r="5178">
      <c r="A5178" s="6">
        <v>130</v>
      </c>
      <c r="B5178" s="6" t="str">
        <f>'Lineal Mixto'!$C$134</f>
      </c>
      <c r="C5178" s="6" t="str">
        <f>'Lineal Mixto'!$C$135</f>
      </c>
      <c r="D5178" s="6" t="str">
        <f>MIN(INT(B5178*5),4)</f>
      </c>
      <c r="E5178" s="6" t="str">
        <f>MIN(INT(C5178*5),4)</f>
      </c>
      <c r="F5178" s="6" t="str">
        <f>D5178*5+E5178</f>
      </c>
    </row>
    <row r="5179">
      <c r="A5179" s="5">
        <v>131</v>
      </c>
      <c r="B5179" s="5" t="str">
        <f>'Lineal Mixto'!$C$135</f>
      </c>
      <c r="C5179" s="5" t="str">
        <f>'Lineal Mixto'!$C$136</f>
      </c>
      <c r="D5179" s="5" t="str">
        <f>MIN(INT(B5179*5),4)</f>
      </c>
      <c r="E5179" s="5" t="str">
        <f>MIN(INT(C5179*5),4)</f>
      </c>
      <c r="F5179" s="5" t="str">
        <f>D5179*5+E5179</f>
      </c>
    </row>
    <row r="5180">
      <c r="A5180" s="6">
        <v>132</v>
      </c>
      <c r="B5180" s="6" t="str">
        <f>'Lineal Mixto'!$C$136</f>
      </c>
      <c r="C5180" s="6" t="str">
        <f>'Lineal Mixto'!$C$137</f>
      </c>
      <c r="D5180" s="6" t="str">
        <f>MIN(INT(B5180*5),4)</f>
      </c>
      <c r="E5180" s="6" t="str">
        <f>MIN(INT(C5180*5),4)</f>
      </c>
      <c r="F5180" s="6" t="str">
        <f>D5180*5+E5180</f>
      </c>
    </row>
    <row r="5181">
      <c r="A5181" s="5">
        <v>133</v>
      </c>
      <c r="B5181" s="5" t="str">
        <f>'Lineal Mixto'!$C$137</f>
      </c>
      <c r="C5181" s="5" t="str">
        <f>'Lineal Mixto'!$C$138</f>
      </c>
      <c r="D5181" s="5" t="str">
        <f>MIN(INT(B5181*5),4)</f>
      </c>
      <c r="E5181" s="5" t="str">
        <f>MIN(INT(C5181*5),4)</f>
      </c>
      <c r="F5181" s="5" t="str">
        <f>D5181*5+E5181</f>
      </c>
    </row>
    <row r="5182">
      <c r="A5182" s="6">
        <v>134</v>
      </c>
      <c r="B5182" s="6" t="str">
        <f>'Lineal Mixto'!$C$138</f>
      </c>
      <c r="C5182" s="6" t="str">
        <f>'Lineal Mixto'!$C$139</f>
      </c>
      <c r="D5182" s="6" t="str">
        <f>MIN(INT(B5182*5),4)</f>
      </c>
      <c r="E5182" s="6" t="str">
        <f>MIN(INT(C5182*5),4)</f>
      </c>
      <c r="F5182" s="6" t="str">
        <f>D5182*5+E5182</f>
      </c>
    </row>
    <row r="5183">
      <c r="A5183" s="5">
        <v>135</v>
      </c>
      <c r="B5183" s="5" t="str">
        <f>'Lineal Mixto'!$C$139</f>
      </c>
      <c r="C5183" s="5" t="str">
        <f>'Lineal Mixto'!$C$140</f>
      </c>
      <c r="D5183" s="5" t="str">
        <f>MIN(INT(B5183*5),4)</f>
      </c>
      <c r="E5183" s="5" t="str">
        <f>MIN(INT(C5183*5),4)</f>
      </c>
      <c r="F5183" s="5" t="str">
        <f>D5183*5+E5183</f>
      </c>
    </row>
    <row r="5184">
      <c r="A5184" s="6">
        <v>136</v>
      </c>
      <c r="B5184" s="6" t="str">
        <f>'Lineal Mixto'!$C$140</f>
      </c>
      <c r="C5184" s="6" t="str">
        <f>'Lineal Mixto'!$C$141</f>
      </c>
      <c r="D5184" s="6" t="str">
        <f>MIN(INT(B5184*5),4)</f>
      </c>
      <c r="E5184" s="6" t="str">
        <f>MIN(INT(C5184*5),4)</f>
      </c>
      <c r="F5184" s="6" t="str">
        <f>D5184*5+E5184</f>
      </c>
    </row>
    <row r="5185">
      <c r="A5185" s="5">
        <v>137</v>
      </c>
      <c r="B5185" s="5" t="str">
        <f>'Lineal Mixto'!$C$141</f>
      </c>
      <c r="C5185" s="5" t="str">
        <f>'Lineal Mixto'!$C$142</f>
      </c>
      <c r="D5185" s="5" t="str">
        <f>MIN(INT(B5185*5),4)</f>
      </c>
      <c r="E5185" s="5" t="str">
        <f>MIN(INT(C5185*5),4)</f>
      </c>
      <c r="F5185" s="5" t="str">
        <f>D5185*5+E5185</f>
      </c>
    </row>
    <row r="5186">
      <c r="A5186" s="6">
        <v>138</v>
      </c>
      <c r="B5186" s="6" t="str">
        <f>'Lineal Mixto'!$C$142</f>
      </c>
      <c r="C5186" s="6" t="str">
        <f>'Lineal Mixto'!$C$143</f>
      </c>
      <c r="D5186" s="6" t="str">
        <f>MIN(INT(B5186*5),4)</f>
      </c>
      <c r="E5186" s="6" t="str">
        <f>MIN(INT(C5186*5),4)</f>
      </c>
      <c r="F5186" s="6" t="str">
        <f>D5186*5+E5186</f>
      </c>
    </row>
    <row r="5187">
      <c r="A5187" s="5">
        <v>139</v>
      </c>
      <c r="B5187" s="5" t="str">
        <f>'Lineal Mixto'!$C$143</f>
      </c>
      <c r="C5187" s="5" t="str">
        <f>'Lineal Mixto'!$C$144</f>
      </c>
      <c r="D5187" s="5" t="str">
        <f>MIN(INT(B5187*5),4)</f>
      </c>
      <c r="E5187" s="5" t="str">
        <f>MIN(INT(C5187*5),4)</f>
      </c>
      <c r="F5187" s="5" t="str">
        <f>D5187*5+E5187</f>
      </c>
    </row>
    <row r="5188">
      <c r="A5188" s="6">
        <v>140</v>
      </c>
      <c r="B5188" s="6" t="str">
        <f>'Lineal Mixto'!$C$144</f>
      </c>
      <c r="C5188" s="6" t="str">
        <f>'Lineal Mixto'!$C$145</f>
      </c>
      <c r="D5188" s="6" t="str">
        <f>MIN(INT(B5188*5),4)</f>
      </c>
      <c r="E5188" s="6" t="str">
        <f>MIN(INT(C5188*5),4)</f>
      </c>
      <c r="F5188" s="6" t="str">
        <f>D5188*5+E5188</f>
      </c>
    </row>
    <row r="5189">
      <c r="A5189" s="5">
        <v>141</v>
      </c>
      <c r="B5189" s="5" t="str">
        <f>'Lineal Mixto'!$C$145</f>
      </c>
      <c r="C5189" s="5" t="str">
        <f>'Lineal Mixto'!$C$146</f>
      </c>
      <c r="D5189" s="5" t="str">
        <f>MIN(INT(B5189*5),4)</f>
      </c>
      <c r="E5189" s="5" t="str">
        <f>MIN(INT(C5189*5),4)</f>
      </c>
      <c r="F5189" s="5" t="str">
        <f>D5189*5+E5189</f>
      </c>
    </row>
    <row r="5190">
      <c r="A5190" s="6">
        <v>142</v>
      </c>
      <c r="B5190" s="6" t="str">
        <f>'Lineal Mixto'!$C$146</f>
      </c>
      <c r="C5190" s="6" t="str">
        <f>'Lineal Mixto'!$C$147</f>
      </c>
      <c r="D5190" s="6" t="str">
        <f>MIN(INT(B5190*5),4)</f>
      </c>
      <c r="E5190" s="6" t="str">
        <f>MIN(INT(C5190*5),4)</f>
      </c>
      <c r="F5190" s="6" t="str">
        <f>D5190*5+E5190</f>
      </c>
    </row>
    <row r="5191">
      <c r="A5191" s="5">
        <v>143</v>
      </c>
      <c r="B5191" s="5" t="str">
        <f>'Lineal Mixto'!$C$147</f>
      </c>
      <c r="C5191" s="5" t="str">
        <f>'Lineal Mixto'!$C$148</f>
      </c>
      <c r="D5191" s="5" t="str">
        <f>MIN(INT(B5191*5),4)</f>
      </c>
      <c r="E5191" s="5" t="str">
        <f>MIN(INT(C5191*5),4)</f>
      </c>
      <c r="F5191" s="5" t="str">
        <f>D5191*5+E5191</f>
      </c>
    </row>
    <row r="5192">
      <c r="A5192" s="6">
        <v>144</v>
      </c>
      <c r="B5192" s="6" t="str">
        <f>'Lineal Mixto'!$C$148</f>
      </c>
      <c r="C5192" s="6" t="str">
        <f>'Lineal Mixto'!$C$149</f>
      </c>
      <c r="D5192" s="6" t="str">
        <f>MIN(INT(B5192*5),4)</f>
      </c>
      <c r="E5192" s="6" t="str">
        <f>MIN(INT(C5192*5),4)</f>
      </c>
      <c r="F5192" s="6" t="str">
        <f>D5192*5+E5192</f>
      </c>
    </row>
    <row r="5193">
      <c r="A5193" s="5">
        <v>145</v>
      </c>
      <c r="B5193" s="5" t="str">
        <f>'Lineal Mixto'!$C$149</f>
      </c>
      <c r="C5193" s="5" t="str">
        <f>'Lineal Mixto'!$C$150</f>
      </c>
      <c r="D5193" s="5" t="str">
        <f>MIN(INT(B5193*5),4)</f>
      </c>
      <c r="E5193" s="5" t="str">
        <f>MIN(INT(C5193*5),4)</f>
      </c>
      <c r="F5193" s="5" t="str">
        <f>D5193*5+E5193</f>
      </c>
    </row>
    <row r="5194">
      <c r="A5194" s="6">
        <v>146</v>
      </c>
      <c r="B5194" s="6" t="str">
        <f>'Lineal Mixto'!$C$150</f>
      </c>
      <c r="C5194" s="6" t="str">
        <f>'Lineal Mixto'!$C$151</f>
      </c>
      <c r="D5194" s="6" t="str">
        <f>MIN(INT(B5194*5),4)</f>
      </c>
      <c r="E5194" s="6" t="str">
        <f>MIN(INT(C5194*5),4)</f>
      </c>
      <c r="F5194" s="6" t="str">
        <f>D5194*5+E5194</f>
      </c>
    </row>
    <row r="5195">
      <c r="A5195" s="5">
        <v>147</v>
      </c>
      <c r="B5195" s="5" t="str">
        <f>'Lineal Mixto'!$C$151</f>
      </c>
      <c r="C5195" s="5" t="str">
        <f>'Lineal Mixto'!$C$152</f>
      </c>
      <c r="D5195" s="5" t="str">
        <f>MIN(INT(B5195*5),4)</f>
      </c>
      <c r="E5195" s="5" t="str">
        <f>MIN(INT(C5195*5),4)</f>
      </c>
      <c r="F5195" s="5" t="str">
        <f>D5195*5+E5195</f>
      </c>
    </row>
    <row r="5196">
      <c r="A5196" s="6">
        <v>148</v>
      </c>
      <c r="B5196" s="6" t="str">
        <f>'Lineal Mixto'!$C$152</f>
      </c>
      <c r="C5196" s="6" t="str">
        <f>'Lineal Mixto'!$C$153</f>
      </c>
      <c r="D5196" s="6" t="str">
        <f>MIN(INT(B5196*5),4)</f>
      </c>
      <c r="E5196" s="6" t="str">
        <f>MIN(INT(C5196*5),4)</f>
      </c>
      <c r="F5196" s="6" t="str">
        <f>D5196*5+E5196</f>
      </c>
    </row>
    <row r="5197">
      <c r="A5197" s="5">
        <v>149</v>
      </c>
      <c r="B5197" s="5" t="str">
        <f>'Lineal Mixto'!$C$153</f>
      </c>
      <c r="C5197" s="5" t="str">
        <f>'Lineal Mixto'!$C$154</f>
      </c>
      <c r="D5197" s="5" t="str">
        <f>MIN(INT(B5197*5),4)</f>
      </c>
      <c r="E5197" s="5" t="str">
        <f>MIN(INT(C5197*5),4)</f>
      </c>
      <c r="F5197" s="5" t="str">
        <f>D5197*5+E5197</f>
      </c>
    </row>
    <row r="5198">
      <c r="A5198" s="6">
        <v>150</v>
      </c>
      <c r="B5198" s="6" t="str">
        <f>'Lineal Mixto'!$C$154</f>
      </c>
      <c r="C5198" s="6" t="str">
        <f>'Lineal Mixto'!$C$155</f>
      </c>
      <c r="D5198" s="6" t="str">
        <f>MIN(INT(B5198*5),4)</f>
      </c>
      <c r="E5198" s="6" t="str">
        <f>MIN(INT(C5198*5),4)</f>
      </c>
      <c r="F5198" s="6" t="str">
        <f>D5198*5+E5198</f>
      </c>
    </row>
    <row r="5199">
      <c r="A5199" s="5">
        <v>151</v>
      </c>
      <c r="B5199" s="5" t="str">
        <f>'Lineal Mixto'!$C$155</f>
      </c>
      <c r="C5199" s="5" t="str">
        <f>'Lineal Mixto'!$C$156</f>
      </c>
      <c r="D5199" s="5" t="str">
        <f>MIN(INT(B5199*5),4)</f>
      </c>
      <c r="E5199" s="5" t="str">
        <f>MIN(INT(C5199*5),4)</f>
      </c>
      <c r="F5199" s="5" t="str">
        <f>D5199*5+E5199</f>
      </c>
    </row>
    <row r="5200">
      <c r="A5200" s="6">
        <v>152</v>
      </c>
      <c r="B5200" s="6" t="str">
        <f>'Lineal Mixto'!$C$156</f>
      </c>
      <c r="C5200" s="6" t="str">
        <f>'Lineal Mixto'!$C$157</f>
      </c>
      <c r="D5200" s="6" t="str">
        <f>MIN(INT(B5200*5),4)</f>
      </c>
      <c r="E5200" s="6" t="str">
        <f>MIN(INT(C5200*5),4)</f>
      </c>
      <c r="F5200" s="6" t="str">
        <f>D5200*5+E5200</f>
      </c>
    </row>
    <row r="5201">
      <c r="A5201" s="5">
        <v>153</v>
      </c>
      <c r="B5201" s="5" t="str">
        <f>'Lineal Mixto'!$C$157</f>
      </c>
      <c r="C5201" s="5" t="str">
        <f>'Lineal Mixto'!$C$158</f>
      </c>
      <c r="D5201" s="5" t="str">
        <f>MIN(INT(B5201*5),4)</f>
      </c>
      <c r="E5201" s="5" t="str">
        <f>MIN(INT(C5201*5),4)</f>
      </c>
      <c r="F5201" s="5" t="str">
        <f>D5201*5+E5201</f>
      </c>
    </row>
    <row r="5202">
      <c r="A5202" s="6">
        <v>154</v>
      </c>
      <c r="B5202" s="6" t="str">
        <f>'Lineal Mixto'!$C$158</f>
      </c>
      <c r="C5202" s="6" t="str">
        <f>'Lineal Mixto'!$C$159</f>
      </c>
      <c r="D5202" s="6" t="str">
        <f>MIN(INT(B5202*5),4)</f>
      </c>
      <c r="E5202" s="6" t="str">
        <f>MIN(INT(C5202*5),4)</f>
      </c>
      <c r="F5202" s="6" t="str">
        <f>D5202*5+E5202</f>
      </c>
    </row>
    <row r="5203">
      <c r="A5203" s="5">
        <v>155</v>
      </c>
      <c r="B5203" s="5" t="str">
        <f>'Lineal Mixto'!$C$159</f>
      </c>
      <c r="C5203" s="5" t="str">
        <f>'Lineal Mixto'!$C$160</f>
      </c>
      <c r="D5203" s="5" t="str">
        <f>MIN(INT(B5203*5),4)</f>
      </c>
      <c r="E5203" s="5" t="str">
        <f>MIN(INT(C5203*5),4)</f>
      </c>
      <c r="F5203" s="5" t="str">
        <f>D5203*5+E5203</f>
      </c>
    </row>
    <row r="5204">
      <c r="A5204" s="6">
        <v>156</v>
      </c>
      <c r="B5204" s="6" t="str">
        <f>'Lineal Mixto'!$C$160</f>
      </c>
      <c r="C5204" s="6" t="str">
        <f>'Lineal Mixto'!$C$161</f>
      </c>
      <c r="D5204" s="6" t="str">
        <f>MIN(INT(B5204*5),4)</f>
      </c>
      <c r="E5204" s="6" t="str">
        <f>MIN(INT(C5204*5),4)</f>
      </c>
      <c r="F5204" s="6" t="str">
        <f>D5204*5+E5204</f>
      </c>
    </row>
    <row r="5205">
      <c r="A5205" s="5">
        <v>157</v>
      </c>
      <c r="B5205" s="5" t="str">
        <f>'Lineal Mixto'!$C$161</f>
      </c>
      <c r="C5205" s="5" t="str">
        <f>'Lineal Mixto'!$C$162</f>
      </c>
      <c r="D5205" s="5" t="str">
        <f>MIN(INT(B5205*5),4)</f>
      </c>
      <c r="E5205" s="5" t="str">
        <f>MIN(INT(C5205*5),4)</f>
      </c>
      <c r="F5205" s="5" t="str">
        <f>D5205*5+E5205</f>
      </c>
    </row>
    <row r="5206">
      <c r="A5206" s="6">
        <v>158</v>
      </c>
      <c r="B5206" s="6" t="str">
        <f>'Lineal Mixto'!$C$162</f>
      </c>
      <c r="C5206" s="6" t="str">
        <f>'Lineal Mixto'!$C$163</f>
      </c>
      <c r="D5206" s="6" t="str">
        <f>MIN(INT(B5206*5),4)</f>
      </c>
      <c r="E5206" s="6" t="str">
        <f>MIN(INT(C5206*5),4)</f>
      </c>
      <c r="F5206" s="6" t="str">
        <f>D5206*5+E5206</f>
      </c>
    </row>
    <row r="5207">
      <c r="A5207" s="5">
        <v>159</v>
      </c>
      <c r="B5207" s="5" t="str">
        <f>'Lineal Mixto'!$C$163</f>
      </c>
      <c r="C5207" s="5" t="str">
        <f>'Lineal Mixto'!$C$164</f>
      </c>
      <c r="D5207" s="5" t="str">
        <f>MIN(INT(B5207*5),4)</f>
      </c>
      <c r="E5207" s="5" t="str">
        <f>MIN(INT(C5207*5),4)</f>
      </c>
      <c r="F5207" s="5" t="str">
        <f>D5207*5+E5207</f>
      </c>
    </row>
    <row r="5208">
      <c r="A5208" s="6">
        <v>160</v>
      </c>
      <c r="B5208" s="6" t="str">
        <f>'Lineal Mixto'!$C$164</f>
      </c>
      <c r="C5208" s="6" t="str">
        <f>'Lineal Mixto'!$C$165</f>
      </c>
      <c r="D5208" s="6" t="str">
        <f>MIN(INT(B5208*5),4)</f>
      </c>
      <c r="E5208" s="6" t="str">
        <f>MIN(INT(C5208*5),4)</f>
      </c>
      <c r="F5208" s="6" t="str">
        <f>D5208*5+E5208</f>
      </c>
    </row>
    <row r="5209">
      <c r="A5209" s="5">
        <v>161</v>
      </c>
      <c r="B5209" s="5" t="str">
        <f>'Lineal Mixto'!$C$165</f>
      </c>
      <c r="C5209" s="5" t="str">
        <f>'Lineal Mixto'!$C$166</f>
      </c>
      <c r="D5209" s="5" t="str">
        <f>MIN(INT(B5209*5),4)</f>
      </c>
      <c r="E5209" s="5" t="str">
        <f>MIN(INT(C5209*5),4)</f>
      </c>
      <c r="F5209" s="5" t="str">
        <f>D5209*5+E5209</f>
      </c>
    </row>
    <row r="5210">
      <c r="A5210" s="6">
        <v>162</v>
      </c>
      <c r="B5210" s="6" t="str">
        <f>'Lineal Mixto'!$C$166</f>
      </c>
      <c r="C5210" s="6" t="str">
        <f>'Lineal Mixto'!$C$167</f>
      </c>
      <c r="D5210" s="6" t="str">
        <f>MIN(INT(B5210*5),4)</f>
      </c>
      <c r="E5210" s="6" t="str">
        <f>MIN(INT(C5210*5),4)</f>
      </c>
      <c r="F5210" s="6" t="str">
        <f>D5210*5+E5210</f>
      </c>
    </row>
    <row r="5211">
      <c r="A5211" s="5">
        <v>163</v>
      </c>
      <c r="B5211" s="5" t="str">
        <f>'Lineal Mixto'!$C$167</f>
      </c>
      <c r="C5211" s="5" t="str">
        <f>'Lineal Mixto'!$C$168</f>
      </c>
      <c r="D5211" s="5" t="str">
        <f>MIN(INT(B5211*5),4)</f>
      </c>
      <c r="E5211" s="5" t="str">
        <f>MIN(INT(C5211*5),4)</f>
      </c>
      <c r="F5211" s="5" t="str">
        <f>D5211*5+E5211</f>
      </c>
    </row>
    <row r="5212">
      <c r="A5212" s="6">
        <v>164</v>
      </c>
      <c r="B5212" s="6" t="str">
        <f>'Lineal Mixto'!$C$168</f>
      </c>
      <c r="C5212" s="6" t="str">
        <f>'Lineal Mixto'!$C$169</f>
      </c>
      <c r="D5212" s="6" t="str">
        <f>MIN(INT(B5212*5),4)</f>
      </c>
      <c r="E5212" s="6" t="str">
        <f>MIN(INT(C5212*5),4)</f>
      </c>
      <c r="F5212" s="6" t="str">
        <f>D5212*5+E5212</f>
      </c>
    </row>
    <row r="5213">
      <c r="A5213" s="5">
        <v>165</v>
      </c>
      <c r="B5213" s="5" t="str">
        <f>'Lineal Mixto'!$C$169</f>
      </c>
      <c r="C5213" s="5" t="str">
        <f>'Lineal Mixto'!$C$170</f>
      </c>
      <c r="D5213" s="5" t="str">
        <f>MIN(INT(B5213*5),4)</f>
      </c>
      <c r="E5213" s="5" t="str">
        <f>MIN(INT(C5213*5),4)</f>
      </c>
      <c r="F5213" s="5" t="str">
        <f>D5213*5+E5213</f>
      </c>
    </row>
    <row r="5214">
      <c r="A5214" s="6">
        <v>166</v>
      </c>
      <c r="B5214" s="6" t="str">
        <f>'Lineal Mixto'!$C$170</f>
      </c>
      <c r="C5214" s="6" t="str">
        <f>'Lineal Mixto'!$C$171</f>
      </c>
      <c r="D5214" s="6" t="str">
        <f>MIN(INT(B5214*5),4)</f>
      </c>
      <c r="E5214" s="6" t="str">
        <f>MIN(INT(C5214*5),4)</f>
      </c>
      <c r="F5214" s="6" t="str">
        <f>D5214*5+E5214</f>
      </c>
    </row>
    <row r="5215">
      <c r="A5215" s="5">
        <v>167</v>
      </c>
      <c r="B5215" s="5" t="str">
        <f>'Lineal Mixto'!$C$171</f>
      </c>
      <c r="C5215" s="5" t="str">
        <f>'Lineal Mixto'!$C$172</f>
      </c>
      <c r="D5215" s="5" t="str">
        <f>MIN(INT(B5215*5),4)</f>
      </c>
      <c r="E5215" s="5" t="str">
        <f>MIN(INT(C5215*5),4)</f>
      </c>
      <c r="F5215" s="5" t="str">
        <f>D5215*5+E5215</f>
      </c>
    </row>
    <row r="5216">
      <c r="A5216" s="6">
        <v>168</v>
      </c>
      <c r="B5216" s="6" t="str">
        <f>'Lineal Mixto'!$C$172</f>
      </c>
      <c r="C5216" s="6" t="str">
        <f>'Lineal Mixto'!$C$173</f>
      </c>
      <c r="D5216" s="6" t="str">
        <f>MIN(INT(B5216*5),4)</f>
      </c>
      <c r="E5216" s="6" t="str">
        <f>MIN(INT(C5216*5),4)</f>
      </c>
      <c r="F5216" s="6" t="str">
        <f>D5216*5+E5216</f>
      </c>
    </row>
    <row r="5217">
      <c r="A5217" s="5">
        <v>169</v>
      </c>
      <c r="B5217" s="5" t="str">
        <f>'Lineal Mixto'!$C$173</f>
      </c>
      <c r="C5217" s="5" t="str">
        <f>'Lineal Mixto'!$C$174</f>
      </c>
      <c r="D5217" s="5" t="str">
        <f>MIN(INT(B5217*5),4)</f>
      </c>
      <c r="E5217" s="5" t="str">
        <f>MIN(INT(C5217*5),4)</f>
      </c>
      <c r="F5217" s="5" t="str">
        <f>D5217*5+E5217</f>
      </c>
    </row>
    <row r="5218">
      <c r="A5218" s="6">
        <v>170</v>
      </c>
      <c r="B5218" s="6" t="str">
        <f>'Lineal Mixto'!$C$174</f>
      </c>
      <c r="C5218" s="6" t="str">
        <f>'Lineal Mixto'!$C$175</f>
      </c>
      <c r="D5218" s="6" t="str">
        <f>MIN(INT(B5218*5),4)</f>
      </c>
      <c r="E5218" s="6" t="str">
        <f>MIN(INT(C5218*5),4)</f>
      </c>
      <c r="F5218" s="6" t="str">
        <f>D5218*5+E5218</f>
      </c>
    </row>
    <row r="5219">
      <c r="A5219" s="5">
        <v>171</v>
      </c>
      <c r="B5219" s="5" t="str">
        <f>'Lineal Mixto'!$C$175</f>
      </c>
      <c r="C5219" s="5" t="str">
        <f>'Lineal Mixto'!$C$176</f>
      </c>
      <c r="D5219" s="5" t="str">
        <f>MIN(INT(B5219*5),4)</f>
      </c>
      <c r="E5219" s="5" t="str">
        <f>MIN(INT(C5219*5),4)</f>
      </c>
      <c r="F5219" s="5" t="str">
        <f>D5219*5+E5219</f>
      </c>
    </row>
    <row r="5220">
      <c r="A5220" s="6">
        <v>172</v>
      </c>
      <c r="B5220" s="6" t="str">
        <f>'Lineal Mixto'!$C$176</f>
      </c>
      <c r="C5220" s="6" t="str">
        <f>'Lineal Mixto'!$C$177</f>
      </c>
      <c r="D5220" s="6" t="str">
        <f>MIN(INT(B5220*5),4)</f>
      </c>
      <c r="E5220" s="6" t="str">
        <f>MIN(INT(C5220*5),4)</f>
      </c>
      <c r="F5220" s="6" t="str">
        <f>D5220*5+E5220</f>
      </c>
    </row>
    <row r="5221">
      <c r="A5221" s="5">
        <v>173</v>
      </c>
      <c r="B5221" s="5" t="str">
        <f>'Lineal Mixto'!$C$177</f>
      </c>
      <c r="C5221" s="5" t="str">
        <f>'Lineal Mixto'!$C$178</f>
      </c>
      <c r="D5221" s="5" t="str">
        <f>MIN(INT(B5221*5),4)</f>
      </c>
      <c r="E5221" s="5" t="str">
        <f>MIN(INT(C5221*5),4)</f>
      </c>
      <c r="F5221" s="5" t="str">
        <f>D5221*5+E5221</f>
      </c>
    </row>
    <row r="5222">
      <c r="A5222" s="6">
        <v>174</v>
      </c>
      <c r="B5222" s="6" t="str">
        <f>'Lineal Mixto'!$C$178</f>
      </c>
      <c r="C5222" s="6" t="str">
        <f>'Lineal Mixto'!$C$179</f>
      </c>
      <c r="D5222" s="6" t="str">
        <f>MIN(INT(B5222*5),4)</f>
      </c>
      <c r="E5222" s="6" t="str">
        <f>MIN(INT(C5222*5),4)</f>
      </c>
      <c r="F5222" s="6" t="str">
        <f>D5222*5+E5222</f>
      </c>
    </row>
    <row r="5223">
      <c r="A5223" s="5">
        <v>175</v>
      </c>
      <c r="B5223" s="5" t="str">
        <f>'Lineal Mixto'!$C$179</f>
      </c>
      <c r="C5223" s="5" t="str">
        <f>'Lineal Mixto'!$C$180</f>
      </c>
      <c r="D5223" s="5" t="str">
        <f>MIN(INT(B5223*5),4)</f>
      </c>
      <c r="E5223" s="5" t="str">
        <f>MIN(INT(C5223*5),4)</f>
      </c>
      <c r="F5223" s="5" t="str">
        <f>D5223*5+E5223</f>
      </c>
    </row>
    <row r="5224">
      <c r="A5224" s="6">
        <v>176</v>
      </c>
      <c r="B5224" s="6" t="str">
        <f>'Lineal Mixto'!$C$180</f>
      </c>
      <c r="C5224" s="6" t="str">
        <f>'Lineal Mixto'!$C$181</f>
      </c>
      <c r="D5224" s="6" t="str">
        <f>MIN(INT(B5224*5),4)</f>
      </c>
      <c r="E5224" s="6" t="str">
        <f>MIN(INT(C5224*5),4)</f>
      </c>
      <c r="F5224" s="6" t="str">
        <f>D5224*5+E5224</f>
      </c>
    </row>
    <row r="5225">
      <c r="A5225" s="5">
        <v>177</v>
      </c>
      <c r="B5225" s="5" t="str">
        <f>'Lineal Mixto'!$C$181</f>
      </c>
      <c r="C5225" s="5" t="str">
        <f>'Lineal Mixto'!$C$182</f>
      </c>
      <c r="D5225" s="5" t="str">
        <f>MIN(INT(B5225*5),4)</f>
      </c>
      <c r="E5225" s="5" t="str">
        <f>MIN(INT(C5225*5),4)</f>
      </c>
      <c r="F5225" s="5" t="str">
        <f>D5225*5+E5225</f>
      </c>
    </row>
    <row r="5226">
      <c r="A5226" s="6">
        <v>178</v>
      </c>
      <c r="B5226" s="6" t="str">
        <f>'Lineal Mixto'!$C$182</f>
      </c>
      <c r="C5226" s="6" t="str">
        <f>'Lineal Mixto'!$C$183</f>
      </c>
      <c r="D5226" s="6" t="str">
        <f>MIN(INT(B5226*5),4)</f>
      </c>
      <c r="E5226" s="6" t="str">
        <f>MIN(INT(C5226*5),4)</f>
      </c>
      <c r="F5226" s="6" t="str">
        <f>D5226*5+E5226</f>
      </c>
    </row>
    <row r="5227">
      <c r="A5227" s="5">
        <v>179</v>
      </c>
      <c r="B5227" s="5" t="str">
        <f>'Lineal Mixto'!$C$183</f>
      </c>
      <c r="C5227" s="5" t="str">
        <f>'Lineal Mixto'!$C$184</f>
      </c>
      <c r="D5227" s="5" t="str">
        <f>MIN(INT(B5227*5),4)</f>
      </c>
      <c r="E5227" s="5" t="str">
        <f>MIN(INT(C5227*5),4)</f>
      </c>
      <c r="F5227" s="5" t="str">
        <f>D5227*5+E5227</f>
      </c>
    </row>
    <row r="5228">
      <c r="A5228" s="6">
        <v>180</v>
      </c>
      <c r="B5228" s="6" t="str">
        <f>'Lineal Mixto'!$C$184</f>
      </c>
      <c r="C5228" s="6" t="str">
        <f>'Lineal Mixto'!$C$185</f>
      </c>
      <c r="D5228" s="6" t="str">
        <f>MIN(INT(B5228*5),4)</f>
      </c>
      <c r="E5228" s="6" t="str">
        <f>MIN(INT(C5228*5),4)</f>
      </c>
      <c r="F5228" s="6" t="str">
        <f>D5228*5+E5228</f>
      </c>
    </row>
    <row r="5229">
      <c r="A5229" s="5">
        <v>181</v>
      </c>
      <c r="B5229" s="5" t="str">
        <f>'Lineal Mixto'!$C$185</f>
      </c>
      <c r="C5229" s="5" t="str">
        <f>'Lineal Mixto'!$C$186</f>
      </c>
      <c r="D5229" s="5" t="str">
        <f>MIN(INT(B5229*5),4)</f>
      </c>
      <c r="E5229" s="5" t="str">
        <f>MIN(INT(C5229*5),4)</f>
      </c>
      <c r="F5229" s="5" t="str">
        <f>D5229*5+E5229</f>
      </c>
    </row>
    <row r="5230">
      <c r="A5230" s="6">
        <v>182</v>
      </c>
      <c r="B5230" s="6" t="str">
        <f>'Lineal Mixto'!$C$186</f>
      </c>
      <c r="C5230" s="6" t="str">
        <f>'Lineal Mixto'!$C$187</f>
      </c>
      <c r="D5230" s="6" t="str">
        <f>MIN(INT(B5230*5),4)</f>
      </c>
      <c r="E5230" s="6" t="str">
        <f>MIN(INT(C5230*5),4)</f>
      </c>
      <c r="F5230" s="6" t="str">
        <f>D5230*5+E5230</f>
      </c>
    </row>
    <row r="5231">
      <c r="A5231" s="5">
        <v>183</v>
      </c>
      <c r="B5231" s="5" t="str">
        <f>'Lineal Mixto'!$C$187</f>
      </c>
      <c r="C5231" s="5" t="str">
        <f>'Lineal Mixto'!$C$188</f>
      </c>
      <c r="D5231" s="5" t="str">
        <f>MIN(INT(B5231*5),4)</f>
      </c>
      <c r="E5231" s="5" t="str">
        <f>MIN(INT(C5231*5),4)</f>
      </c>
      <c r="F5231" s="5" t="str">
        <f>D5231*5+E5231</f>
      </c>
    </row>
    <row r="5232">
      <c r="A5232" s="6">
        <v>184</v>
      </c>
      <c r="B5232" s="6" t="str">
        <f>'Lineal Mixto'!$C$188</f>
      </c>
      <c r="C5232" s="6" t="str">
        <f>'Lineal Mixto'!$C$189</f>
      </c>
      <c r="D5232" s="6" t="str">
        <f>MIN(INT(B5232*5),4)</f>
      </c>
      <c r="E5232" s="6" t="str">
        <f>MIN(INT(C5232*5),4)</f>
      </c>
      <c r="F5232" s="6" t="str">
        <f>D5232*5+E5232</f>
      </c>
    </row>
    <row r="5233">
      <c r="A5233" s="5">
        <v>185</v>
      </c>
      <c r="B5233" s="5" t="str">
        <f>'Lineal Mixto'!$C$189</f>
      </c>
      <c r="C5233" s="5" t="str">
        <f>'Lineal Mixto'!$C$190</f>
      </c>
      <c r="D5233" s="5" t="str">
        <f>MIN(INT(B5233*5),4)</f>
      </c>
      <c r="E5233" s="5" t="str">
        <f>MIN(INT(C5233*5),4)</f>
      </c>
      <c r="F5233" s="5" t="str">
        <f>D5233*5+E5233</f>
      </c>
    </row>
    <row r="5234">
      <c r="A5234" s="6">
        <v>186</v>
      </c>
      <c r="B5234" s="6" t="str">
        <f>'Lineal Mixto'!$C$190</f>
      </c>
      <c r="C5234" s="6" t="str">
        <f>'Lineal Mixto'!$C$191</f>
      </c>
      <c r="D5234" s="6" t="str">
        <f>MIN(INT(B5234*5),4)</f>
      </c>
      <c r="E5234" s="6" t="str">
        <f>MIN(INT(C5234*5),4)</f>
      </c>
      <c r="F5234" s="6" t="str">
        <f>D5234*5+E5234</f>
      </c>
    </row>
    <row r="5235">
      <c r="A5235" s="5">
        <v>187</v>
      </c>
      <c r="B5235" s="5" t="str">
        <f>'Lineal Mixto'!$C$191</f>
      </c>
      <c r="C5235" s="5" t="str">
        <f>'Lineal Mixto'!$C$192</f>
      </c>
      <c r="D5235" s="5" t="str">
        <f>MIN(INT(B5235*5),4)</f>
      </c>
      <c r="E5235" s="5" t="str">
        <f>MIN(INT(C5235*5),4)</f>
      </c>
      <c r="F5235" s="5" t="str">
        <f>D5235*5+E5235</f>
      </c>
    </row>
    <row r="5236">
      <c r="A5236" s="6">
        <v>188</v>
      </c>
      <c r="B5236" s="6" t="str">
        <f>'Lineal Mixto'!$C$192</f>
      </c>
      <c r="C5236" s="6" t="str">
        <f>'Lineal Mixto'!$C$193</f>
      </c>
      <c r="D5236" s="6" t="str">
        <f>MIN(INT(B5236*5),4)</f>
      </c>
      <c r="E5236" s="6" t="str">
        <f>MIN(INT(C5236*5),4)</f>
      </c>
      <c r="F5236" s="6" t="str">
        <f>D5236*5+E5236</f>
      </c>
    </row>
    <row r="5237">
      <c r="A5237" s="5">
        <v>189</v>
      </c>
      <c r="B5237" s="5" t="str">
        <f>'Lineal Mixto'!$C$193</f>
      </c>
      <c r="C5237" s="5" t="str">
        <f>'Lineal Mixto'!$C$194</f>
      </c>
      <c r="D5237" s="5" t="str">
        <f>MIN(INT(B5237*5),4)</f>
      </c>
      <c r="E5237" s="5" t="str">
        <f>MIN(INT(C5237*5),4)</f>
      </c>
      <c r="F5237" s="5" t="str">
        <f>D5237*5+E5237</f>
      </c>
    </row>
    <row r="5238">
      <c r="A5238" s="6">
        <v>190</v>
      </c>
      <c r="B5238" s="6" t="str">
        <f>'Lineal Mixto'!$C$194</f>
      </c>
      <c r="C5238" s="6" t="str">
        <f>'Lineal Mixto'!$C$195</f>
      </c>
      <c r="D5238" s="6" t="str">
        <f>MIN(INT(B5238*5),4)</f>
      </c>
      <c r="E5238" s="6" t="str">
        <f>MIN(INT(C5238*5),4)</f>
      </c>
      <c r="F5238" s="6" t="str">
        <f>D5238*5+E5238</f>
      </c>
    </row>
    <row r="5239">
      <c r="A5239" s="5">
        <v>191</v>
      </c>
      <c r="B5239" s="5" t="str">
        <f>'Lineal Mixto'!$C$195</f>
      </c>
      <c r="C5239" s="5" t="str">
        <f>'Lineal Mixto'!$C$196</f>
      </c>
      <c r="D5239" s="5" t="str">
        <f>MIN(INT(B5239*5),4)</f>
      </c>
      <c r="E5239" s="5" t="str">
        <f>MIN(INT(C5239*5),4)</f>
      </c>
      <c r="F5239" s="5" t="str">
        <f>D5239*5+E5239</f>
      </c>
    </row>
    <row r="5240">
      <c r="A5240" s="6">
        <v>192</v>
      </c>
      <c r="B5240" s="6" t="str">
        <f>'Lineal Mixto'!$C$196</f>
      </c>
      <c r="C5240" s="6" t="str">
        <f>'Lineal Mixto'!$C$197</f>
      </c>
      <c r="D5240" s="6" t="str">
        <f>MIN(INT(B5240*5),4)</f>
      </c>
      <c r="E5240" s="6" t="str">
        <f>MIN(INT(C5240*5),4)</f>
      </c>
      <c r="F5240" s="6" t="str">
        <f>D5240*5+E5240</f>
      </c>
    </row>
    <row r="5241">
      <c r="A5241" s="5">
        <v>193</v>
      </c>
      <c r="B5241" s="5" t="str">
        <f>'Lineal Mixto'!$C$197</f>
      </c>
      <c r="C5241" s="5" t="str">
        <f>'Lineal Mixto'!$C$198</f>
      </c>
      <c r="D5241" s="5" t="str">
        <f>MIN(INT(B5241*5),4)</f>
      </c>
      <c r="E5241" s="5" t="str">
        <f>MIN(INT(C5241*5),4)</f>
      </c>
      <c r="F5241" s="5" t="str">
        <f>D5241*5+E5241</f>
      </c>
    </row>
    <row r="5242">
      <c r="A5242" s="6">
        <v>194</v>
      </c>
      <c r="B5242" s="6" t="str">
        <f>'Lineal Mixto'!$C$198</f>
      </c>
      <c r="C5242" s="6" t="str">
        <f>'Lineal Mixto'!$C$199</f>
      </c>
      <c r="D5242" s="6" t="str">
        <f>MIN(INT(B5242*5),4)</f>
      </c>
      <c r="E5242" s="6" t="str">
        <f>MIN(INT(C5242*5),4)</f>
      </c>
      <c r="F5242" s="6" t="str">
        <f>D5242*5+E5242</f>
      </c>
    </row>
    <row r="5243">
      <c r="A5243" s="5">
        <v>195</v>
      </c>
      <c r="B5243" s="5" t="str">
        <f>'Lineal Mixto'!$C$199</f>
      </c>
      <c r="C5243" s="5" t="str">
        <f>'Lineal Mixto'!$C$200</f>
      </c>
      <c r="D5243" s="5" t="str">
        <f>MIN(INT(B5243*5),4)</f>
      </c>
      <c r="E5243" s="5" t="str">
        <f>MIN(INT(C5243*5),4)</f>
      </c>
      <c r="F5243" s="5" t="str">
        <f>D5243*5+E5243</f>
      </c>
    </row>
    <row r="5244">
      <c r="A5244" s="6">
        <v>196</v>
      </c>
      <c r="B5244" s="6" t="str">
        <f>'Lineal Mixto'!$C$200</f>
      </c>
      <c r="C5244" s="6" t="str">
        <f>'Lineal Mixto'!$C$201</f>
      </c>
      <c r="D5244" s="6" t="str">
        <f>MIN(INT(B5244*5),4)</f>
      </c>
      <c r="E5244" s="6" t="str">
        <f>MIN(INT(C5244*5),4)</f>
      </c>
      <c r="F5244" s="6" t="str">
        <f>D5244*5+E5244</f>
      </c>
    </row>
    <row r="5245">
      <c r="A5245" s="5">
        <v>197</v>
      </c>
      <c r="B5245" s="5" t="str">
        <f>'Lineal Mixto'!$C$201</f>
      </c>
      <c r="C5245" s="5" t="str">
        <f>'Lineal Mixto'!$C$202</f>
      </c>
      <c r="D5245" s="5" t="str">
        <f>MIN(INT(B5245*5),4)</f>
      </c>
      <c r="E5245" s="5" t="str">
        <f>MIN(INT(C5245*5),4)</f>
      </c>
      <c r="F5245" s="5" t="str">
        <f>D5245*5+E5245</f>
      </c>
    </row>
    <row r="5246">
      <c r="A5246" s="6">
        <v>198</v>
      </c>
      <c r="B5246" s="6" t="str">
        <f>'Lineal Mixto'!$C$202</f>
      </c>
      <c r="C5246" s="6" t="str">
        <f>'Lineal Mixto'!$C$203</f>
      </c>
      <c r="D5246" s="6" t="str">
        <f>MIN(INT(B5246*5),4)</f>
      </c>
      <c r="E5246" s="6" t="str">
        <f>MIN(INT(C5246*5),4)</f>
      </c>
      <c r="F5246" s="6" t="str">
        <f>D5246*5+E5246</f>
      </c>
    </row>
    <row r="5247">
      <c r="A5247" s="5">
        <v>199</v>
      </c>
      <c r="B5247" s="5" t="str">
        <f>'Lineal Mixto'!$C$203</f>
      </c>
      <c r="C5247" s="5" t="str">
        <f>'Lineal Mixto'!$C$204</f>
      </c>
      <c r="D5247" s="5" t="str">
        <f>MIN(INT(B5247*5),4)</f>
      </c>
      <c r="E5247" s="5" t="str">
        <f>MIN(INT(C5247*5),4)</f>
      </c>
      <c r="F5247" s="5" t="str">
        <f>D5247*5+E5247</f>
      </c>
    </row>
    <row r="5248">
      <c r="A5248" s="6">
        <v>200</v>
      </c>
      <c r="B5248" s="6" t="str">
        <f>'Lineal Mixto'!$C$204</f>
      </c>
      <c r="C5248" s="6" t="str">
        <f>'Lineal Mixto'!$C$205</f>
      </c>
      <c r="D5248" s="6" t="str">
        <f>MIN(INT(B5248*5),4)</f>
      </c>
      <c r="E5248" s="6" t="str">
        <f>MIN(INT(C5248*5),4)</f>
      </c>
      <c r="F5248" s="6" t="str">
        <f>D5248*5+E5248</f>
      </c>
    </row>
    <row r="5249">
      <c r="A5249" s="5">
        <v>201</v>
      </c>
      <c r="B5249" s="5" t="str">
        <f>'Lineal Mixto'!$C$205</f>
      </c>
      <c r="C5249" s="5" t="str">
        <f>'Lineal Mixto'!$C$206</f>
      </c>
      <c r="D5249" s="5" t="str">
        <f>MIN(INT(B5249*5),4)</f>
      </c>
      <c r="E5249" s="5" t="str">
        <f>MIN(INT(C5249*5),4)</f>
      </c>
      <c r="F5249" s="5" t="str">
        <f>D5249*5+E5249</f>
      </c>
    </row>
    <row r="5250">
      <c r="A5250" s="6">
        <v>202</v>
      </c>
      <c r="B5250" s="6" t="str">
        <f>'Lineal Mixto'!$C$206</f>
      </c>
      <c r="C5250" s="6" t="str">
        <f>'Lineal Mixto'!$C$207</f>
      </c>
      <c r="D5250" s="6" t="str">
        <f>MIN(INT(B5250*5),4)</f>
      </c>
      <c r="E5250" s="6" t="str">
        <f>MIN(INT(C5250*5),4)</f>
      </c>
      <c r="F5250" s="6" t="str">
        <f>D5250*5+E5250</f>
      </c>
    </row>
    <row r="5251">
      <c r="A5251" s="5">
        <v>203</v>
      </c>
      <c r="B5251" s="5" t="str">
        <f>'Lineal Mixto'!$C$207</f>
      </c>
      <c r="C5251" s="5" t="str">
        <f>'Lineal Mixto'!$C$208</f>
      </c>
      <c r="D5251" s="5" t="str">
        <f>MIN(INT(B5251*5),4)</f>
      </c>
      <c r="E5251" s="5" t="str">
        <f>MIN(INT(C5251*5),4)</f>
      </c>
      <c r="F5251" s="5" t="str">
        <f>D5251*5+E5251</f>
      </c>
    </row>
    <row r="5252">
      <c r="A5252" s="6">
        <v>204</v>
      </c>
      <c r="B5252" s="6" t="str">
        <f>'Lineal Mixto'!$C$208</f>
      </c>
      <c r="C5252" s="6" t="str">
        <f>'Lineal Mixto'!$C$209</f>
      </c>
      <c r="D5252" s="6" t="str">
        <f>MIN(INT(B5252*5),4)</f>
      </c>
      <c r="E5252" s="6" t="str">
        <f>MIN(INT(C5252*5),4)</f>
      </c>
      <c r="F5252" s="6" t="str">
        <f>D5252*5+E5252</f>
      </c>
    </row>
    <row r="5253">
      <c r="A5253" s="5">
        <v>205</v>
      </c>
      <c r="B5253" s="5" t="str">
        <f>'Lineal Mixto'!$C$209</f>
      </c>
      <c r="C5253" s="5" t="str">
        <f>'Lineal Mixto'!$C$210</f>
      </c>
      <c r="D5253" s="5" t="str">
        <f>MIN(INT(B5253*5),4)</f>
      </c>
      <c r="E5253" s="5" t="str">
        <f>MIN(INT(C5253*5),4)</f>
      </c>
      <c r="F5253" s="5" t="str">
        <f>D5253*5+E5253</f>
      </c>
    </row>
    <row r="5254">
      <c r="A5254" s="6">
        <v>206</v>
      </c>
      <c r="B5254" s="6" t="str">
        <f>'Lineal Mixto'!$C$210</f>
      </c>
      <c r="C5254" s="6" t="str">
        <f>'Lineal Mixto'!$C$211</f>
      </c>
      <c r="D5254" s="6" t="str">
        <f>MIN(INT(B5254*5),4)</f>
      </c>
      <c r="E5254" s="6" t="str">
        <f>MIN(INT(C5254*5),4)</f>
      </c>
      <c r="F5254" s="6" t="str">
        <f>D5254*5+E5254</f>
      </c>
    </row>
    <row r="5255">
      <c r="A5255" s="5">
        <v>207</v>
      </c>
      <c r="B5255" s="5" t="str">
        <f>'Lineal Mixto'!$C$211</f>
      </c>
      <c r="C5255" s="5" t="str">
        <f>'Lineal Mixto'!$C$212</f>
      </c>
      <c r="D5255" s="5" t="str">
        <f>MIN(INT(B5255*5),4)</f>
      </c>
      <c r="E5255" s="5" t="str">
        <f>MIN(INT(C5255*5),4)</f>
      </c>
      <c r="F5255" s="5" t="str">
        <f>D5255*5+E5255</f>
      </c>
    </row>
    <row r="5256">
      <c r="A5256" s="6">
        <v>208</v>
      </c>
      <c r="B5256" s="6" t="str">
        <f>'Lineal Mixto'!$C$212</f>
      </c>
      <c r="C5256" s="6" t="str">
        <f>'Lineal Mixto'!$C$213</f>
      </c>
      <c r="D5256" s="6" t="str">
        <f>MIN(INT(B5256*5),4)</f>
      </c>
      <c r="E5256" s="6" t="str">
        <f>MIN(INT(C5256*5),4)</f>
      </c>
      <c r="F5256" s="6" t="str">
        <f>D5256*5+E5256</f>
      </c>
    </row>
    <row r="5257">
      <c r="A5257" s="5">
        <v>209</v>
      </c>
      <c r="B5257" s="5" t="str">
        <f>'Lineal Mixto'!$C$213</f>
      </c>
      <c r="C5257" s="5" t="str">
        <f>'Lineal Mixto'!$C$214</f>
      </c>
      <c r="D5257" s="5" t="str">
        <f>MIN(INT(B5257*5),4)</f>
      </c>
      <c r="E5257" s="5" t="str">
        <f>MIN(INT(C5257*5),4)</f>
      </c>
      <c r="F5257" s="5" t="str">
        <f>D5257*5+E5257</f>
      </c>
    </row>
    <row r="5258">
      <c r="A5258" s="6">
        <v>210</v>
      </c>
      <c r="B5258" s="6" t="str">
        <f>'Lineal Mixto'!$C$214</f>
      </c>
      <c r="C5258" s="6" t="str">
        <f>'Lineal Mixto'!$C$215</f>
      </c>
      <c r="D5258" s="6" t="str">
        <f>MIN(INT(B5258*5),4)</f>
      </c>
      <c r="E5258" s="6" t="str">
        <f>MIN(INT(C5258*5),4)</f>
      </c>
      <c r="F5258" s="6" t="str">
        <f>D5258*5+E5258</f>
      </c>
    </row>
    <row r="5259">
      <c r="A5259" s="5">
        <v>211</v>
      </c>
      <c r="B5259" s="5" t="str">
        <f>'Lineal Mixto'!$C$215</f>
      </c>
      <c r="C5259" s="5" t="str">
        <f>'Lineal Mixto'!$C$216</f>
      </c>
      <c r="D5259" s="5" t="str">
        <f>MIN(INT(B5259*5),4)</f>
      </c>
      <c r="E5259" s="5" t="str">
        <f>MIN(INT(C5259*5),4)</f>
      </c>
      <c r="F5259" s="5" t="str">
        <f>D5259*5+E5259</f>
      </c>
    </row>
    <row r="5260">
      <c r="A5260" s="6">
        <v>212</v>
      </c>
      <c r="B5260" s="6" t="str">
        <f>'Lineal Mixto'!$C$216</f>
      </c>
      <c r="C5260" s="6" t="str">
        <f>'Lineal Mixto'!$C$217</f>
      </c>
      <c r="D5260" s="6" t="str">
        <f>MIN(INT(B5260*5),4)</f>
      </c>
      <c r="E5260" s="6" t="str">
        <f>MIN(INT(C5260*5),4)</f>
      </c>
      <c r="F5260" s="6" t="str">
        <f>D5260*5+E5260</f>
      </c>
    </row>
    <row r="5261">
      <c r="A5261" s="5">
        <v>213</v>
      </c>
      <c r="B5261" s="5" t="str">
        <f>'Lineal Mixto'!$C$217</f>
      </c>
      <c r="C5261" s="5" t="str">
        <f>'Lineal Mixto'!$C$218</f>
      </c>
      <c r="D5261" s="5" t="str">
        <f>MIN(INT(B5261*5),4)</f>
      </c>
      <c r="E5261" s="5" t="str">
        <f>MIN(INT(C5261*5),4)</f>
      </c>
      <c r="F5261" s="5" t="str">
        <f>D5261*5+E5261</f>
      </c>
    </row>
    <row r="5262">
      <c r="A5262" s="6">
        <v>214</v>
      </c>
      <c r="B5262" s="6" t="str">
        <f>'Lineal Mixto'!$C$218</f>
      </c>
      <c r="C5262" s="6" t="str">
        <f>'Lineal Mixto'!$C$219</f>
      </c>
      <c r="D5262" s="6" t="str">
        <f>MIN(INT(B5262*5),4)</f>
      </c>
      <c r="E5262" s="6" t="str">
        <f>MIN(INT(C5262*5),4)</f>
      </c>
      <c r="F5262" s="6" t="str">
        <f>D5262*5+E5262</f>
      </c>
    </row>
    <row r="5263">
      <c r="A5263" s="5">
        <v>215</v>
      </c>
      <c r="B5263" s="5" t="str">
        <f>'Lineal Mixto'!$C$219</f>
      </c>
      <c r="C5263" s="5" t="str">
        <f>'Lineal Mixto'!$C$220</f>
      </c>
      <c r="D5263" s="5" t="str">
        <f>MIN(INT(B5263*5),4)</f>
      </c>
      <c r="E5263" s="5" t="str">
        <f>MIN(INT(C5263*5),4)</f>
      </c>
      <c r="F5263" s="5" t="str">
        <f>D5263*5+E5263</f>
      </c>
    </row>
    <row r="5264">
      <c r="A5264" s="6">
        <v>216</v>
      </c>
      <c r="B5264" s="6" t="str">
        <f>'Lineal Mixto'!$C$220</f>
      </c>
      <c r="C5264" s="6" t="str">
        <f>'Lineal Mixto'!$C$221</f>
      </c>
      <c r="D5264" s="6" t="str">
        <f>MIN(INT(B5264*5),4)</f>
      </c>
      <c r="E5264" s="6" t="str">
        <f>MIN(INT(C5264*5),4)</f>
      </c>
      <c r="F5264" s="6" t="str">
        <f>D5264*5+E5264</f>
      </c>
    </row>
    <row r="5265">
      <c r="A5265" s="5">
        <v>217</v>
      </c>
      <c r="B5265" s="5" t="str">
        <f>'Lineal Mixto'!$C$221</f>
      </c>
      <c r="C5265" s="5" t="str">
        <f>'Lineal Mixto'!$C$222</f>
      </c>
      <c r="D5265" s="5" t="str">
        <f>MIN(INT(B5265*5),4)</f>
      </c>
      <c r="E5265" s="5" t="str">
        <f>MIN(INT(C5265*5),4)</f>
      </c>
      <c r="F5265" s="5" t="str">
        <f>D5265*5+E5265</f>
      </c>
    </row>
    <row r="5266">
      <c r="A5266" s="6">
        <v>218</v>
      </c>
      <c r="B5266" s="6" t="str">
        <f>'Lineal Mixto'!$C$222</f>
      </c>
      <c r="C5266" s="6" t="str">
        <f>'Lineal Mixto'!$C$223</f>
      </c>
      <c r="D5266" s="6" t="str">
        <f>MIN(INT(B5266*5),4)</f>
      </c>
      <c r="E5266" s="6" t="str">
        <f>MIN(INT(C5266*5),4)</f>
      </c>
      <c r="F5266" s="6" t="str">
        <f>D5266*5+E5266</f>
      </c>
    </row>
    <row r="5267">
      <c r="A5267" s="5">
        <v>219</v>
      </c>
      <c r="B5267" s="5" t="str">
        <f>'Lineal Mixto'!$C$223</f>
      </c>
      <c r="C5267" s="5" t="str">
        <f>'Lineal Mixto'!$C$224</f>
      </c>
      <c r="D5267" s="5" t="str">
        <f>MIN(INT(B5267*5),4)</f>
      </c>
      <c r="E5267" s="5" t="str">
        <f>MIN(INT(C5267*5),4)</f>
      </c>
      <c r="F5267" s="5" t="str">
        <f>D5267*5+E5267</f>
      </c>
    </row>
    <row r="5268">
      <c r="A5268" s="6">
        <v>220</v>
      </c>
      <c r="B5268" s="6" t="str">
        <f>'Lineal Mixto'!$C$224</f>
      </c>
      <c r="C5268" s="6" t="str">
        <f>'Lineal Mixto'!$C$225</f>
      </c>
      <c r="D5268" s="6" t="str">
        <f>MIN(INT(B5268*5),4)</f>
      </c>
      <c r="E5268" s="6" t="str">
        <f>MIN(INT(C5268*5),4)</f>
      </c>
      <c r="F5268" s="6" t="str">
        <f>D5268*5+E5268</f>
      </c>
    </row>
    <row r="5269">
      <c r="A5269" s="5">
        <v>221</v>
      </c>
      <c r="B5269" s="5" t="str">
        <f>'Lineal Mixto'!$C$225</f>
      </c>
      <c r="C5269" s="5" t="str">
        <f>'Lineal Mixto'!$C$226</f>
      </c>
      <c r="D5269" s="5" t="str">
        <f>MIN(INT(B5269*5),4)</f>
      </c>
      <c r="E5269" s="5" t="str">
        <f>MIN(INT(C5269*5),4)</f>
      </c>
      <c r="F5269" s="5" t="str">
        <f>D5269*5+E5269</f>
      </c>
    </row>
    <row r="5270">
      <c r="A5270" s="6">
        <v>222</v>
      </c>
      <c r="B5270" s="6" t="str">
        <f>'Lineal Mixto'!$C$226</f>
      </c>
      <c r="C5270" s="6" t="str">
        <f>'Lineal Mixto'!$C$227</f>
      </c>
      <c r="D5270" s="6" t="str">
        <f>MIN(INT(B5270*5),4)</f>
      </c>
      <c r="E5270" s="6" t="str">
        <f>MIN(INT(C5270*5),4)</f>
      </c>
      <c r="F5270" s="6" t="str">
        <f>D5270*5+E5270</f>
      </c>
    </row>
    <row r="5271">
      <c r="A5271" s="5">
        <v>223</v>
      </c>
      <c r="B5271" s="5" t="str">
        <f>'Lineal Mixto'!$C$227</f>
      </c>
      <c r="C5271" s="5" t="str">
        <f>'Lineal Mixto'!$C$228</f>
      </c>
      <c r="D5271" s="5" t="str">
        <f>MIN(INT(B5271*5),4)</f>
      </c>
      <c r="E5271" s="5" t="str">
        <f>MIN(INT(C5271*5),4)</f>
      </c>
      <c r="F5271" s="5" t="str">
        <f>D5271*5+E5271</f>
      </c>
    </row>
    <row r="5272">
      <c r="A5272" s="6">
        <v>224</v>
      </c>
      <c r="B5272" s="6" t="str">
        <f>'Lineal Mixto'!$C$228</f>
      </c>
      <c r="C5272" s="6" t="str">
        <f>'Lineal Mixto'!$C$229</f>
      </c>
      <c r="D5272" s="6" t="str">
        <f>MIN(INT(B5272*5),4)</f>
      </c>
      <c r="E5272" s="6" t="str">
        <f>MIN(INT(C5272*5),4)</f>
      </c>
      <c r="F5272" s="6" t="str">
        <f>D5272*5+E5272</f>
      </c>
    </row>
    <row r="5273">
      <c r="A5273" s="5">
        <v>225</v>
      </c>
      <c r="B5273" s="5" t="str">
        <f>'Lineal Mixto'!$C$229</f>
      </c>
      <c r="C5273" s="5" t="str">
        <f>'Lineal Mixto'!$C$230</f>
      </c>
      <c r="D5273" s="5" t="str">
        <f>MIN(INT(B5273*5),4)</f>
      </c>
      <c r="E5273" s="5" t="str">
        <f>MIN(INT(C5273*5),4)</f>
      </c>
      <c r="F5273" s="5" t="str">
        <f>D5273*5+E5273</f>
      </c>
    </row>
    <row r="5274">
      <c r="A5274" s="6">
        <v>226</v>
      </c>
      <c r="B5274" s="6" t="str">
        <f>'Lineal Mixto'!$C$230</f>
      </c>
      <c r="C5274" s="6" t="str">
        <f>'Lineal Mixto'!$C$231</f>
      </c>
      <c r="D5274" s="6" t="str">
        <f>MIN(INT(B5274*5),4)</f>
      </c>
      <c r="E5274" s="6" t="str">
        <f>MIN(INT(C5274*5),4)</f>
      </c>
      <c r="F5274" s="6" t="str">
        <f>D5274*5+E5274</f>
      </c>
    </row>
    <row r="5275">
      <c r="A5275" s="5">
        <v>227</v>
      </c>
      <c r="B5275" s="5" t="str">
        <f>'Lineal Mixto'!$C$231</f>
      </c>
      <c r="C5275" s="5" t="str">
        <f>'Lineal Mixto'!$C$232</f>
      </c>
      <c r="D5275" s="5" t="str">
        <f>MIN(INT(B5275*5),4)</f>
      </c>
      <c r="E5275" s="5" t="str">
        <f>MIN(INT(C5275*5),4)</f>
      </c>
      <c r="F5275" s="5" t="str">
        <f>D5275*5+E5275</f>
      </c>
    </row>
    <row r="5276">
      <c r="A5276" s="6">
        <v>228</v>
      </c>
      <c r="B5276" s="6" t="str">
        <f>'Lineal Mixto'!$C$232</f>
      </c>
      <c r="C5276" s="6" t="str">
        <f>'Lineal Mixto'!$C$233</f>
      </c>
      <c r="D5276" s="6" t="str">
        <f>MIN(INT(B5276*5),4)</f>
      </c>
      <c r="E5276" s="6" t="str">
        <f>MIN(INT(C5276*5),4)</f>
      </c>
      <c r="F5276" s="6" t="str">
        <f>D5276*5+E5276</f>
      </c>
    </row>
    <row r="5277">
      <c r="A5277" s="5">
        <v>229</v>
      </c>
      <c r="B5277" s="5" t="str">
        <f>'Lineal Mixto'!$C$233</f>
      </c>
      <c r="C5277" s="5" t="str">
        <f>'Lineal Mixto'!$C$234</f>
      </c>
      <c r="D5277" s="5" t="str">
        <f>MIN(INT(B5277*5),4)</f>
      </c>
      <c r="E5277" s="5" t="str">
        <f>MIN(INT(C5277*5),4)</f>
      </c>
      <c r="F5277" s="5" t="str">
        <f>D5277*5+E5277</f>
      </c>
    </row>
    <row r="5278">
      <c r="A5278" s="6">
        <v>230</v>
      </c>
      <c r="B5278" s="6" t="str">
        <f>'Lineal Mixto'!$C$234</f>
      </c>
      <c r="C5278" s="6" t="str">
        <f>'Lineal Mixto'!$C$235</f>
      </c>
      <c r="D5278" s="6" t="str">
        <f>MIN(INT(B5278*5),4)</f>
      </c>
      <c r="E5278" s="6" t="str">
        <f>MIN(INT(C5278*5),4)</f>
      </c>
      <c r="F5278" s="6" t="str">
        <f>D5278*5+E5278</f>
      </c>
    </row>
    <row r="5279">
      <c r="A5279" s="5">
        <v>231</v>
      </c>
      <c r="B5279" s="5" t="str">
        <f>'Lineal Mixto'!$C$235</f>
      </c>
      <c r="C5279" s="5" t="str">
        <f>'Lineal Mixto'!$C$236</f>
      </c>
      <c r="D5279" s="5" t="str">
        <f>MIN(INT(B5279*5),4)</f>
      </c>
      <c r="E5279" s="5" t="str">
        <f>MIN(INT(C5279*5),4)</f>
      </c>
      <c r="F5279" s="5" t="str">
        <f>D5279*5+E5279</f>
      </c>
    </row>
    <row r="5280">
      <c r="A5280" s="6">
        <v>232</v>
      </c>
      <c r="B5280" s="6" t="str">
        <f>'Lineal Mixto'!$C$236</f>
      </c>
      <c r="C5280" s="6" t="str">
        <f>'Lineal Mixto'!$C$237</f>
      </c>
      <c r="D5280" s="6" t="str">
        <f>MIN(INT(B5280*5),4)</f>
      </c>
      <c r="E5280" s="6" t="str">
        <f>MIN(INT(C5280*5),4)</f>
      </c>
      <c r="F5280" s="6" t="str">
        <f>D5280*5+E5280</f>
      </c>
    </row>
    <row r="5281">
      <c r="A5281" s="5">
        <v>233</v>
      </c>
      <c r="B5281" s="5" t="str">
        <f>'Lineal Mixto'!$C$237</f>
      </c>
      <c r="C5281" s="5" t="str">
        <f>'Lineal Mixto'!$C$238</f>
      </c>
      <c r="D5281" s="5" t="str">
        <f>MIN(INT(B5281*5),4)</f>
      </c>
      <c r="E5281" s="5" t="str">
        <f>MIN(INT(C5281*5),4)</f>
      </c>
      <c r="F5281" s="5" t="str">
        <f>D5281*5+E5281</f>
      </c>
    </row>
    <row r="5282">
      <c r="A5282" s="6">
        <v>234</v>
      </c>
      <c r="B5282" s="6" t="str">
        <f>'Lineal Mixto'!$C$238</f>
      </c>
      <c r="C5282" s="6" t="str">
        <f>'Lineal Mixto'!$C$239</f>
      </c>
      <c r="D5282" s="6" t="str">
        <f>MIN(INT(B5282*5),4)</f>
      </c>
      <c r="E5282" s="6" t="str">
        <f>MIN(INT(C5282*5),4)</f>
      </c>
      <c r="F5282" s="6" t="str">
        <f>D5282*5+E5282</f>
      </c>
    </row>
    <row r="5283">
      <c r="A5283" s="5">
        <v>235</v>
      </c>
      <c r="B5283" s="5" t="str">
        <f>'Lineal Mixto'!$C$239</f>
      </c>
      <c r="C5283" s="5" t="str">
        <f>'Lineal Mixto'!$C$240</f>
      </c>
      <c r="D5283" s="5" t="str">
        <f>MIN(INT(B5283*5),4)</f>
      </c>
      <c r="E5283" s="5" t="str">
        <f>MIN(INT(C5283*5),4)</f>
      </c>
      <c r="F5283" s="5" t="str">
        <f>D5283*5+E5283</f>
      </c>
    </row>
    <row r="5284">
      <c r="A5284" s="6">
        <v>236</v>
      </c>
      <c r="B5284" s="6" t="str">
        <f>'Lineal Mixto'!$C$240</f>
      </c>
      <c r="C5284" s="6" t="str">
        <f>'Lineal Mixto'!$C$241</f>
      </c>
      <c r="D5284" s="6" t="str">
        <f>MIN(INT(B5284*5),4)</f>
      </c>
      <c r="E5284" s="6" t="str">
        <f>MIN(INT(C5284*5),4)</f>
      </c>
      <c r="F5284" s="6" t="str">
        <f>D5284*5+E5284</f>
      </c>
    </row>
    <row r="5285">
      <c r="A5285" s="5">
        <v>237</v>
      </c>
      <c r="B5285" s="5" t="str">
        <f>'Lineal Mixto'!$C$241</f>
      </c>
      <c r="C5285" s="5" t="str">
        <f>'Lineal Mixto'!$C$242</f>
      </c>
      <c r="D5285" s="5" t="str">
        <f>MIN(INT(B5285*5),4)</f>
      </c>
      <c r="E5285" s="5" t="str">
        <f>MIN(INT(C5285*5),4)</f>
      </c>
      <c r="F5285" s="5" t="str">
        <f>D5285*5+E5285</f>
      </c>
    </row>
    <row r="5286">
      <c r="A5286" s="6">
        <v>238</v>
      </c>
      <c r="B5286" s="6" t="str">
        <f>'Lineal Mixto'!$C$242</f>
      </c>
      <c r="C5286" s="6" t="str">
        <f>'Lineal Mixto'!$C$243</f>
      </c>
      <c r="D5286" s="6" t="str">
        <f>MIN(INT(B5286*5),4)</f>
      </c>
      <c r="E5286" s="6" t="str">
        <f>MIN(INT(C5286*5),4)</f>
      </c>
      <c r="F5286" s="6" t="str">
        <f>D5286*5+E5286</f>
      </c>
    </row>
    <row r="5287">
      <c r="A5287" s="5">
        <v>239</v>
      </c>
      <c r="B5287" s="5" t="str">
        <f>'Lineal Mixto'!$C$243</f>
      </c>
      <c r="C5287" s="5" t="str">
        <f>'Lineal Mixto'!$C$244</f>
      </c>
      <c r="D5287" s="5" t="str">
        <f>MIN(INT(B5287*5),4)</f>
      </c>
      <c r="E5287" s="5" t="str">
        <f>MIN(INT(C5287*5),4)</f>
      </c>
      <c r="F5287" s="5" t="str">
        <f>D5287*5+E5287</f>
      </c>
    </row>
    <row r="5288">
      <c r="A5288" s="6">
        <v>240</v>
      </c>
      <c r="B5288" s="6" t="str">
        <f>'Lineal Mixto'!$C$244</f>
      </c>
      <c r="C5288" s="6" t="str">
        <f>'Lineal Mixto'!$C$245</f>
      </c>
      <c r="D5288" s="6" t="str">
        <f>MIN(INT(B5288*5),4)</f>
      </c>
      <c r="E5288" s="6" t="str">
        <f>MIN(INT(C5288*5),4)</f>
      </c>
      <c r="F5288" s="6" t="str">
        <f>D5288*5+E5288</f>
      </c>
    </row>
    <row r="5289">
      <c r="A5289" s="5">
        <v>241</v>
      </c>
      <c r="B5289" s="5" t="str">
        <f>'Lineal Mixto'!$C$245</f>
      </c>
      <c r="C5289" s="5" t="str">
        <f>'Lineal Mixto'!$C$246</f>
      </c>
      <c r="D5289" s="5" t="str">
        <f>MIN(INT(B5289*5),4)</f>
      </c>
      <c r="E5289" s="5" t="str">
        <f>MIN(INT(C5289*5),4)</f>
      </c>
      <c r="F5289" s="5" t="str">
        <f>D5289*5+E5289</f>
      </c>
    </row>
    <row r="5290">
      <c r="A5290" s="6">
        <v>242</v>
      </c>
      <c r="B5290" s="6" t="str">
        <f>'Lineal Mixto'!$C$246</f>
      </c>
      <c r="C5290" s="6" t="str">
        <f>'Lineal Mixto'!$C$247</f>
      </c>
      <c r="D5290" s="6" t="str">
        <f>MIN(INT(B5290*5),4)</f>
      </c>
      <c r="E5290" s="6" t="str">
        <f>MIN(INT(C5290*5),4)</f>
      </c>
      <c r="F5290" s="6" t="str">
        <f>D5290*5+E5290</f>
      </c>
    </row>
    <row r="5291">
      <c r="A5291" s="5">
        <v>243</v>
      </c>
      <c r="B5291" s="5" t="str">
        <f>'Lineal Mixto'!$C$247</f>
      </c>
      <c r="C5291" s="5" t="str">
        <f>'Lineal Mixto'!$C$248</f>
      </c>
      <c r="D5291" s="5" t="str">
        <f>MIN(INT(B5291*5),4)</f>
      </c>
      <c r="E5291" s="5" t="str">
        <f>MIN(INT(C5291*5),4)</f>
      </c>
      <c r="F5291" s="5" t="str">
        <f>D5291*5+E5291</f>
      </c>
    </row>
    <row r="5292">
      <c r="A5292" s="6">
        <v>244</v>
      </c>
      <c r="B5292" s="6" t="str">
        <f>'Lineal Mixto'!$C$248</f>
      </c>
      <c r="C5292" s="6" t="str">
        <f>'Lineal Mixto'!$C$249</f>
      </c>
      <c r="D5292" s="6" t="str">
        <f>MIN(INT(B5292*5),4)</f>
      </c>
      <c r="E5292" s="6" t="str">
        <f>MIN(INT(C5292*5),4)</f>
      </c>
      <c r="F5292" s="6" t="str">
        <f>D5292*5+E5292</f>
      </c>
    </row>
    <row r="5293">
      <c r="A5293" s="5">
        <v>245</v>
      </c>
      <c r="B5293" s="5" t="str">
        <f>'Lineal Mixto'!$C$249</f>
      </c>
      <c r="C5293" s="5" t="str">
        <f>'Lineal Mixto'!$C$250</f>
      </c>
      <c r="D5293" s="5" t="str">
        <f>MIN(INT(B5293*5),4)</f>
      </c>
      <c r="E5293" s="5" t="str">
        <f>MIN(INT(C5293*5),4)</f>
      </c>
      <c r="F5293" s="5" t="str">
        <f>D5293*5+E5293</f>
      </c>
    </row>
    <row r="5294">
      <c r="A5294" s="6">
        <v>246</v>
      </c>
      <c r="B5294" s="6" t="str">
        <f>'Lineal Mixto'!$C$250</f>
      </c>
      <c r="C5294" s="6" t="str">
        <f>'Lineal Mixto'!$C$251</f>
      </c>
      <c r="D5294" s="6" t="str">
        <f>MIN(INT(B5294*5),4)</f>
      </c>
      <c r="E5294" s="6" t="str">
        <f>MIN(INT(C5294*5),4)</f>
      </c>
      <c r="F5294" s="6" t="str">
        <f>D5294*5+E5294</f>
      </c>
    </row>
    <row r="5295">
      <c r="A5295" s="5">
        <v>247</v>
      </c>
      <c r="B5295" s="5" t="str">
        <f>'Lineal Mixto'!$C$251</f>
      </c>
      <c r="C5295" s="5" t="str">
        <f>'Lineal Mixto'!$C$252</f>
      </c>
      <c r="D5295" s="5" t="str">
        <f>MIN(INT(B5295*5),4)</f>
      </c>
      <c r="E5295" s="5" t="str">
        <f>MIN(INT(C5295*5),4)</f>
      </c>
      <c r="F5295" s="5" t="str">
        <f>D5295*5+E5295</f>
      </c>
    </row>
    <row r="5296">
      <c r="A5296" s="6">
        <v>248</v>
      </c>
      <c r="B5296" s="6" t="str">
        <f>'Lineal Mixto'!$C$252</f>
      </c>
      <c r="C5296" s="6" t="str">
        <f>'Lineal Mixto'!$C$253</f>
      </c>
      <c r="D5296" s="6" t="str">
        <f>MIN(INT(B5296*5),4)</f>
      </c>
      <c r="E5296" s="6" t="str">
        <f>MIN(INT(C5296*5),4)</f>
      </c>
      <c r="F5296" s="6" t="str">
        <f>D5296*5+E5296</f>
      </c>
    </row>
    <row r="5297">
      <c r="A5297" s="5">
        <v>249</v>
      </c>
      <c r="B5297" s="5" t="str">
        <f>'Lineal Mixto'!$C$253</f>
      </c>
      <c r="C5297" s="5" t="str">
        <f>'Lineal Mixto'!$C$254</f>
      </c>
      <c r="D5297" s="5" t="str">
        <f>MIN(INT(B5297*5),4)</f>
      </c>
      <c r="E5297" s="5" t="str">
        <f>MIN(INT(C5297*5),4)</f>
      </c>
      <c r="F5297" s="5" t="str">
        <f>D5297*5+E5297</f>
      </c>
    </row>
    <row r="5298">
      <c r="A5298" s="6">
        <v>250</v>
      </c>
      <c r="B5298" s="6" t="str">
        <f>'Lineal Mixto'!$C$254</f>
      </c>
      <c r="C5298" s="6" t="str">
        <f>'Lineal Mixto'!$C$255</f>
      </c>
      <c r="D5298" s="6" t="str">
        <f>MIN(INT(B5298*5),4)</f>
      </c>
      <c r="E5298" s="6" t="str">
        <f>MIN(INT(C5298*5),4)</f>
      </c>
      <c r="F5298" s="6" t="str">
        <f>D5298*5+E5298</f>
      </c>
    </row>
    <row r="5299">
      <c r="A5299" s="5">
        <v>251</v>
      </c>
      <c r="B5299" s="5" t="str">
        <f>'Lineal Mixto'!$C$255</f>
      </c>
      <c r="C5299" s="5" t="str">
        <f>'Lineal Mixto'!$C$256</f>
      </c>
      <c r="D5299" s="5" t="str">
        <f>MIN(INT(B5299*5),4)</f>
      </c>
      <c r="E5299" s="5" t="str">
        <f>MIN(INT(C5299*5),4)</f>
      </c>
      <c r="F5299" s="5" t="str">
        <f>D5299*5+E5299</f>
      </c>
    </row>
    <row r="5300">
      <c r="A5300" s="6">
        <v>252</v>
      </c>
      <c r="B5300" s="6" t="str">
        <f>'Lineal Mixto'!$C$256</f>
      </c>
      <c r="C5300" s="6" t="str">
        <f>'Lineal Mixto'!$C$257</f>
      </c>
      <c r="D5300" s="6" t="str">
        <f>MIN(INT(B5300*5),4)</f>
      </c>
      <c r="E5300" s="6" t="str">
        <f>MIN(INT(C5300*5),4)</f>
      </c>
      <c r="F5300" s="6" t="str">
        <f>D5300*5+E5300</f>
      </c>
    </row>
    <row r="5301">
      <c r="A5301" s="5">
        <v>253</v>
      </c>
      <c r="B5301" s="5" t="str">
        <f>'Lineal Mixto'!$C$257</f>
      </c>
      <c r="C5301" s="5" t="str">
        <f>'Lineal Mixto'!$C$258</f>
      </c>
      <c r="D5301" s="5" t="str">
        <f>MIN(INT(B5301*5),4)</f>
      </c>
      <c r="E5301" s="5" t="str">
        <f>MIN(INT(C5301*5),4)</f>
      </c>
      <c r="F5301" s="5" t="str">
        <f>D5301*5+E5301</f>
      </c>
    </row>
    <row r="5302">
      <c r="A5302" s="6">
        <v>254</v>
      </c>
      <c r="B5302" s="6" t="str">
        <f>'Lineal Mixto'!$C$258</f>
      </c>
      <c r="C5302" s="6" t="str">
        <f>'Lineal Mixto'!$C$259</f>
      </c>
      <c r="D5302" s="6" t="str">
        <f>MIN(INT(B5302*5),4)</f>
      </c>
      <c r="E5302" s="6" t="str">
        <f>MIN(INT(C5302*5),4)</f>
      </c>
      <c r="F5302" s="6" t="str">
        <f>D5302*5+E5302</f>
      </c>
    </row>
    <row r="5303">
      <c r="A5303" s="5">
        <v>255</v>
      </c>
      <c r="B5303" s="5" t="str">
        <f>'Lineal Mixto'!$C$259</f>
      </c>
      <c r="C5303" s="5" t="str">
        <f>'Lineal Mixto'!$C$260</f>
      </c>
      <c r="D5303" s="5" t="str">
        <f>MIN(INT(B5303*5),4)</f>
      </c>
      <c r="E5303" s="5" t="str">
        <f>MIN(INT(C5303*5),4)</f>
      </c>
      <c r="F5303" s="5" t="str">
        <f>D5303*5+E5303</f>
      </c>
    </row>
    <row r="5304">
      <c r="A5304" s="6">
        <v>256</v>
      </c>
      <c r="B5304" s="6" t="str">
        <f>'Lineal Mixto'!$C$260</f>
      </c>
      <c r="C5304" s="6" t="str">
        <f>'Lineal Mixto'!$C$261</f>
      </c>
      <c r="D5304" s="6" t="str">
        <f>MIN(INT(B5304*5),4)</f>
      </c>
      <c r="E5304" s="6" t="str">
        <f>MIN(INT(C5304*5),4)</f>
      </c>
      <c r="F5304" s="6" t="str">
        <f>D5304*5+E5304</f>
      </c>
    </row>
    <row r="5305">
      <c r="A5305" s="5">
        <v>257</v>
      </c>
      <c r="B5305" s="5" t="str">
        <f>'Lineal Mixto'!$C$261</f>
      </c>
      <c r="C5305" s="5" t="str">
        <f>'Lineal Mixto'!$C$262</f>
      </c>
      <c r="D5305" s="5" t="str">
        <f>MIN(INT(B5305*5),4)</f>
      </c>
      <c r="E5305" s="5" t="str">
        <f>MIN(INT(C5305*5),4)</f>
      </c>
      <c r="F5305" s="5" t="str">
        <f>D5305*5+E5305</f>
      </c>
    </row>
    <row r="5306">
      <c r="A5306" s="6">
        <v>258</v>
      </c>
      <c r="B5306" s="6" t="str">
        <f>'Lineal Mixto'!$C$262</f>
      </c>
      <c r="C5306" s="6" t="str">
        <f>'Lineal Mixto'!$C$263</f>
      </c>
      <c r="D5306" s="6" t="str">
        <f>MIN(INT(B5306*5),4)</f>
      </c>
      <c r="E5306" s="6" t="str">
        <f>MIN(INT(C5306*5),4)</f>
      </c>
      <c r="F5306" s="6" t="str">
        <f>D5306*5+E5306</f>
      </c>
    </row>
    <row r="5307">
      <c r="A5307" s="5">
        <v>259</v>
      </c>
      <c r="B5307" s="5" t="str">
        <f>'Lineal Mixto'!$C$263</f>
      </c>
      <c r="C5307" s="5" t="str">
        <f>'Lineal Mixto'!$C$264</f>
      </c>
      <c r="D5307" s="5" t="str">
        <f>MIN(INT(B5307*5),4)</f>
      </c>
      <c r="E5307" s="5" t="str">
        <f>MIN(INT(C5307*5),4)</f>
      </c>
      <c r="F5307" s="5" t="str">
        <f>D5307*5+E5307</f>
      </c>
    </row>
    <row r="5308">
      <c r="A5308" s="6">
        <v>260</v>
      </c>
      <c r="B5308" s="6" t="str">
        <f>'Lineal Mixto'!$C$264</f>
      </c>
      <c r="C5308" s="6" t="str">
        <f>'Lineal Mixto'!$C$265</f>
      </c>
      <c r="D5308" s="6" t="str">
        <f>MIN(INT(B5308*5),4)</f>
      </c>
      <c r="E5308" s="6" t="str">
        <f>MIN(INT(C5308*5),4)</f>
      </c>
      <c r="F5308" s="6" t="str">
        <f>D5308*5+E5308</f>
      </c>
    </row>
    <row r="5309">
      <c r="A5309" s="5">
        <v>261</v>
      </c>
      <c r="B5309" s="5" t="str">
        <f>'Lineal Mixto'!$C$265</f>
      </c>
      <c r="C5309" s="5" t="str">
        <f>'Lineal Mixto'!$C$266</f>
      </c>
      <c r="D5309" s="5" t="str">
        <f>MIN(INT(B5309*5),4)</f>
      </c>
      <c r="E5309" s="5" t="str">
        <f>MIN(INT(C5309*5),4)</f>
      </c>
      <c r="F5309" s="5" t="str">
        <f>D5309*5+E5309</f>
      </c>
    </row>
    <row r="5310">
      <c r="A5310" s="6">
        <v>262</v>
      </c>
      <c r="B5310" s="6" t="str">
        <f>'Lineal Mixto'!$C$266</f>
      </c>
      <c r="C5310" s="6" t="str">
        <f>'Lineal Mixto'!$C$267</f>
      </c>
      <c r="D5310" s="6" t="str">
        <f>MIN(INT(B5310*5),4)</f>
      </c>
      <c r="E5310" s="6" t="str">
        <f>MIN(INT(C5310*5),4)</f>
      </c>
      <c r="F5310" s="6" t="str">
        <f>D5310*5+E5310</f>
      </c>
    </row>
    <row r="5311">
      <c r="A5311" s="5">
        <v>263</v>
      </c>
      <c r="B5311" s="5" t="str">
        <f>'Lineal Mixto'!$C$267</f>
      </c>
      <c r="C5311" s="5" t="str">
        <f>'Lineal Mixto'!$C$268</f>
      </c>
      <c r="D5311" s="5" t="str">
        <f>MIN(INT(B5311*5),4)</f>
      </c>
      <c r="E5311" s="5" t="str">
        <f>MIN(INT(C5311*5),4)</f>
      </c>
      <c r="F5311" s="5" t="str">
        <f>D5311*5+E5311</f>
      </c>
    </row>
    <row r="5312">
      <c r="A5312" s="6">
        <v>264</v>
      </c>
      <c r="B5312" s="6" t="str">
        <f>'Lineal Mixto'!$C$268</f>
      </c>
      <c r="C5312" s="6" t="str">
        <f>'Lineal Mixto'!$C$269</f>
      </c>
      <c r="D5312" s="6" t="str">
        <f>MIN(INT(B5312*5),4)</f>
      </c>
      <c r="E5312" s="6" t="str">
        <f>MIN(INT(C5312*5),4)</f>
      </c>
      <c r="F5312" s="6" t="str">
        <f>D5312*5+E5312</f>
      </c>
    </row>
    <row r="5313">
      <c r="A5313" s="5">
        <v>265</v>
      </c>
      <c r="B5313" s="5" t="str">
        <f>'Lineal Mixto'!$C$269</f>
      </c>
      <c r="C5313" s="5" t="str">
        <f>'Lineal Mixto'!$C$270</f>
      </c>
      <c r="D5313" s="5" t="str">
        <f>MIN(INT(B5313*5),4)</f>
      </c>
      <c r="E5313" s="5" t="str">
        <f>MIN(INT(C5313*5),4)</f>
      </c>
      <c r="F5313" s="5" t="str">
        <f>D5313*5+E5313</f>
      </c>
    </row>
    <row r="5314">
      <c r="A5314" s="6">
        <v>266</v>
      </c>
      <c r="B5314" s="6" t="str">
        <f>'Lineal Mixto'!$C$270</f>
      </c>
      <c r="C5314" s="6" t="str">
        <f>'Lineal Mixto'!$C$271</f>
      </c>
      <c r="D5314" s="6" t="str">
        <f>MIN(INT(B5314*5),4)</f>
      </c>
      <c r="E5314" s="6" t="str">
        <f>MIN(INT(C5314*5),4)</f>
      </c>
      <c r="F5314" s="6" t="str">
        <f>D5314*5+E5314</f>
      </c>
    </row>
    <row r="5315">
      <c r="A5315" s="5">
        <v>267</v>
      </c>
      <c r="B5315" s="5" t="str">
        <f>'Lineal Mixto'!$C$271</f>
      </c>
      <c r="C5315" s="5" t="str">
        <f>'Lineal Mixto'!$C$272</f>
      </c>
      <c r="D5315" s="5" t="str">
        <f>MIN(INT(B5315*5),4)</f>
      </c>
      <c r="E5315" s="5" t="str">
        <f>MIN(INT(C5315*5),4)</f>
      </c>
      <c r="F5315" s="5" t="str">
        <f>D5315*5+E5315</f>
      </c>
    </row>
    <row r="5316">
      <c r="A5316" s="6">
        <v>268</v>
      </c>
      <c r="B5316" s="6" t="str">
        <f>'Lineal Mixto'!$C$272</f>
      </c>
      <c r="C5316" s="6" t="str">
        <f>'Lineal Mixto'!$C$273</f>
      </c>
      <c r="D5316" s="6" t="str">
        <f>MIN(INT(B5316*5),4)</f>
      </c>
      <c r="E5316" s="6" t="str">
        <f>MIN(INT(C5316*5),4)</f>
      </c>
      <c r="F5316" s="6" t="str">
        <f>D5316*5+E5316</f>
      </c>
    </row>
    <row r="5317">
      <c r="A5317" s="5">
        <v>269</v>
      </c>
      <c r="B5317" s="5" t="str">
        <f>'Lineal Mixto'!$C$273</f>
      </c>
      <c r="C5317" s="5" t="str">
        <f>'Lineal Mixto'!$C$274</f>
      </c>
      <c r="D5317" s="5" t="str">
        <f>MIN(INT(B5317*5),4)</f>
      </c>
      <c r="E5317" s="5" t="str">
        <f>MIN(INT(C5317*5),4)</f>
      </c>
      <c r="F5317" s="5" t="str">
        <f>D5317*5+E5317</f>
      </c>
    </row>
    <row r="5318">
      <c r="A5318" s="6">
        <v>270</v>
      </c>
      <c r="B5318" s="6" t="str">
        <f>'Lineal Mixto'!$C$274</f>
      </c>
      <c r="C5318" s="6" t="str">
        <f>'Lineal Mixto'!$C$275</f>
      </c>
      <c r="D5318" s="6" t="str">
        <f>MIN(INT(B5318*5),4)</f>
      </c>
      <c r="E5318" s="6" t="str">
        <f>MIN(INT(C5318*5),4)</f>
      </c>
      <c r="F5318" s="6" t="str">
        <f>D5318*5+E5318</f>
      </c>
    </row>
    <row r="5319">
      <c r="A5319" s="5">
        <v>271</v>
      </c>
      <c r="B5319" s="5" t="str">
        <f>'Lineal Mixto'!$C$275</f>
      </c>
      <c r="C5319" s="5" t="str">
        <f>'Lineal Mixto'!$C$276</f>
      </c>
      <c r="D5319" s="5" t="str">
        <f>MIN(INT(B5319*5),4)</f>
      </c>
      <c r="E5319" s="5" t="str">
        <f>MIN(INT(C5319*5),4)</f>
      </c>
      <c r="F5319" s="5" t="str">
        <f>D5319*5+E5319</f>
      </c>
    </row>
    <row r="5320">
      <c r="A5320" s="6">
        <v>272</v>
      </c>
      <c r="B5320" s="6" t="str">
        <f>'Lineal Mixto'!$C$276</f>
      </c>
      <c r="C5320" s="6" t="str">
        <f>'Lineal Mixto'!$C$277</f>
      </c>
      <c r="D5320" s="6" t="str">
        <f>MIN(INT(B5320*5),4)</f>
      </c>
      <c r="E5320" s="6" t="str">
        <f>MIN(INT(C5320*5),4)</f>
      </c>
      <c r="F5320" s="6" t="str">
        <f>D5320*5+E5320</f>
      </c>
    </row>
    <row r="5321">
      <c r="A5321" s="5">
        <v>273</v>
      </c>
      <c r="B5321" s="5" t="str">
        <f>'Lineal Mixto'!$C$277</f>
      </c>
      <c r="C5321" s="5" t="str">
        <f>'Lineal Mixto'!$C$278</f>
      </c>
      <c r="D5321" s="5" t="str">
        <f>MIN(INT(B5321*5),4)</f>
      </c>
      <c r="E5321" s="5" t="str">
        <f>MIN(INT(C5321*5),4)</f>
      </c>
      <c r="F5321" s="5" t="str">
        <f>D5321*5+E5321</f>
      </c>
    </row>
    <row r="5322">
      <c r="A5322" s="6">
        <v>274</v>
      </c>
      <c r="B5322" s="6" t="str">
        <f>'Lineal Mixto'!$C$278</f>
      </c>
      <c r="C5322" s="6" t="str">
        <f>'Lineal Mixto'!$C$279</f>
      </c>
      <c r="D5322" s="6" t="str">
        <f>MIN(INT(B5322*5),4)</f>
      </c>
      <c r="E5322" s="6" t="str">
        <f>MIN(INT(C5322*5),4)</f>
      </c>
      <c r="F5322" s="6" t="str">
        <f>D5322*5+E5322</f>
      </c>
    </row>
    <row r="5323">
      <c r="A5323" s="5">
        <v>275</v>
      </c>
      <c r="B5323" s="5" t="str">
        <f>'Lineal Mixto'!$C$279</f>
      </c>
      <c r="C5323" s="5" t="str">
        <f>'Lineal Mixto'!$C$280</f>
      </c>
      <c r="D5323" s="5" t="str">
        <f>MIN(INT(B5323*5),4)</f>
      </c>
      <c r="E5323" s="5" t="str">
        <f>MIN(INT(C5323*5),4)</f>
      </c>
      <c r="F5323" s="5" t="str">
        <f>D5323*5+E5323</f>
      </c>
    </row>
    <row r="5324">
      <c r="A5324" s="6">
        <v>276</v>
      </c>
      <c r="B5324" s="6" t="str">
        <f>'Lineal Mixto'!$C$280</f>
      </c>
      <c r="C5324" s="6" t="str">
        <f>'Lineal Mixto'!$C$281</f>
      </c>
      <c r="D5324" s="6" t="str">
        <f>MIN(INT(B5324*5),4)</f>
      </c>
      <c r="E5324" s="6" t="str">
        <f>MIN(INT(C5324*5),4)</f>
      </c>
      <c r="F5324" s="6" t="str">
        <f>D5324*5+E5324</f>
      </c>
    </row>
    <row r="5325">
      <c r="A5325" s="5">
        <v>277</v>
      </c>
      <c r="B5325" s="5" t="str">
        <f>'Lineal Mixto'!$C$281</f>
      </c>
      <c r="C5325" s="5" t="str">
        <f>'Lineal Mixto'!$C$282</f>
      </c>
      <c r="D5325" s="5" t="str">
        <f>MIN(INT(B5325*5),4)</f>
      </c>
      <c r="E5325" s="5" t="str">
        <f>MIN(INT(C5325*5),4)</f>
      </c>
      <c r="F5325" s="5" t="str">
        <f>D5325*5+E5325</f>
      </c>
    </row>
    <row r="5326">
      <c r="A5326" s="6">
        <v>278</v>
      </c>
      <c r="B5326" s="6" t="str">
        <f>'Lineal Mixto'!$C$282</f>
      </c>
      <c r="C5326" s="6" t="str">
        <f>'Lineal Mixto'!$C$283</f>
      </c>
      <c r="D5326" s="6" t="str">
        <f>MIN(INT(B5326*5),4)</f>
      </c>
      <c r="E5326" s="6" t="str">
        <f>MIN(INT(C5326*5),4)</f>
      </c>
      <c r="F5326" s="6" t="str">
        <f>D5326*5+E5326</f>
      </c>
    </row>
    <row r="5327">
      <c r="A5327" s="5">
        <v>279</v>
      </c>
      <c r="B5327" s="5" t="str">
        <f>'Lineal Mixto'!$C$283</f>
      </c>
      <c r="C5327" s="5" t="str">
        <f>'Lineal Mixto'!$C$284</f>
      </c>
      <c r="D5327" s="5" t="str">
        <f>MIN(INT(B5327*5),4)</f>
      </c>
      <c r="E5327" s="5" t="str">
        <f>MIN(INT(C5327*5),4)</f>
      </c>
      <c r="F5327" s="5" t="str">
        <f>D5327*5+E5327</f>
      </c>
    </row>
    <row r="5328">
      <c r="A5328" s="6">
        <v>280</v>
      </c>
      <c r="B5328" s="6" t="str">
        <f>'Lineal Mixto'!$C$284</f>
      </c>
      <c r="C5328" s="6" t="str">
        <f>'Lineal Mixto'!$C$285</f>
      </c>
      <c r="D5328" s="6" t="str">
        <f>MIN(INT(B5328*5),4)</f>
      </c>
      <c r="E5328" s="6" t="str">
        <f>MIN(INT(C5328*5),4)</f>
      </c>
      <c r="F5328" s="6" t="str">
        <f>D5328*5+E5328</f>
      </c>
    </row>
    <row r="5329">
      <c r="A5329" s="5">
        <v>281</v>
      </c>
      <c r="B5329" s="5" t="str">
        <f>'Lineal Mixto'!$C$285</f>
      </c>
      <c r="C5329" s="5" t="str">
        <f>'Lineal Mixto'!$C$286</f>
      </c>
      <c r="D5329" s="5" t="str">
        <f>MIN(INT(B5329*5),4)</f>
      </c>
      <c r="E5329" s="5" t="str">
        <f>MIN(INT(C5329*5),4)</f>
      </c>
      <c r="F5329" s="5" t="str">
        <f>D5329*5+E5329</f>
      </c>
    </row>
    <row r="5330">
      <c r="A5330" s="6">
        <v>282</v>
      </c>
      <c r="B5330" s="6" t="str">
        <f>'Lineal Mixto'!$C$286</f>
      </c>
      <c r="C5330" s="6" t="str">
        <f>'Lineal Mixto'!$C$287</f>
      </c>
      <c r="D5330" s="6" t="str">
        <f>MIN(INT(B5330*5),4)</f>
      </c>
      <c r="E5330" s="6" t="str">
        <f>MIN(INT(C5330*5),4)</f>
      </c>
      <c r="F5330" s="6" t="str">
        <f>D5330*5+E5330</f>
      </c>
    </row>
    <row r="5331">
      <c r="A5331" s="5">
        <v>283</v>
      </c>
      <c r="B5331" s="5" t="str">
        <f>'Lineal Mixto'!$C$287</f>
      </c>
      <c r="C5331" s="5" t="str">
        <f>'Lineal Mixto'!$C$288</f>
      </c>
      <c r="D5331" s="5" t="str">
        <f>MIN(INT(B5331*5),4)</f>
      </c>
      <c r="E5331" s="5" t="str">
        <f>MIN(INT(C5331*5),4)</f>
      </c>
      <c r="F5331" s="5" t="str">
        <f>D5331*5+E5331</f>
      </c>
    </row>
    <row r="5332">
      <c r="A5332" s="6">
        <v>284</v>
      </c>
      <c r="B5332" s="6" t="str">
        <f>'Lineal Mixto'!$C$288</f>
      </c>
      <c r="C5332" s="6" t="str">
        <f>'Lineal Mixto'!$C$289</f>
      </c>
      <c r="D5332" s="6" t="str">
        <f>MIN(INT(B5332*5),4)</f>
      </c>
      <c r="E5332" s="6" t="str">
        <f>MIN(INT(C5332*5),4)</f>
      </c>
      <c r="F5332" s="6" t="str">
        <f>D5332*5+E5332</f>
      </c>
    </row>
    <row r="5333">
      <c r="A5333" s="5">
        <v>285</v>
      </c>
      <c r="B5333" s="5" t="str">
        <f>'Lineal Mixto'!$C$289</f>
      </c>
      <c r="C5333" s="5" t="str">
        <f>'Lineal Mixto'!$C$290</f>
      </c>
      <c r="D5333" s="5" t="str">
        <f>MIN(INT(B5333*5),4)</f>
      </c>
      <c r="E5333" s="5" t="str">
        <f>MIN(INT(C5333*5),4)</f>
      </c>
      <c r="F5333" s="5" t="str">
        <f>D5333*5+E5333</f>
      </c>
    </row>
    <row r="5334">
      <c r="A5334" s="6">
        <v>286</v>
      </c>
      <c r="B5334" s="6" t="str">
        <f>'Lineal Mixto'!$C$290</f>
      </c>
      <c r="C5334" s="6" t="str">
        <f>'Lineal Mixto'!$C$291</f>
      </c>
      <c r="D5334" s="6" t="str">
        <f>MIN(INT(B5334*5),4)</f>
      </c>
      <c r="E5334" s="6" t="str">
        <f>MIN(INT(C5334*5),4)</f>
      </c>
      <c r="F5334" s="6" t="str">
        <f>D5334*5+E5334</f>
      </c>
    </row>
    <row r="5335">
      <c r="A5335" s="5">
        <v>287</v>
      </c>
      <c r="B5335" s="5" t="str">
        <f>'Lineal Mixto'!$C$291</f>
      </c>
      <c r="C5335" s="5" t="str">
        <f>'Lineal Mixto'!$C$292</f>
      </c>
      <c r="D5335" s="5" t="str">
        <f>MIN(INT(B5335*5),4)</f>
      </c>
      <c r="E5335" s="5" t="str">
        <f>MIN(INT(C5335*5),4)</f>
      </c>
      <c r="F5335" s="5" t="str">
        <f>D5335*5+E5335</f>
      </c>
    </row>
    <row r="5336">
      <c r="A5336" s="6">
        <v>288</v>
      </c>
      <c r="B5336" s="6" t="str">
        <f>'Lineal Mixto'!$C$292</f>
      </c>
      <c r="C5336" s="6" t="str">
        <f>'Lineal Mixto'!$C$293</f>
      </c>
      <c r="D5336" s="6" t="str">
        <f>MIN(INT(B5336*5),4)</f>
      </c>
      <c r="E5336" s="6" t="str">
        <f>MIN(INT(C5336*5),4)</f>
      </c>
      <c r="F5336" s="6" t="str">
        <f>D5336*5+E5336</f>
      </c>
    </row>
    <row r="5337">
      <c r="A5337" s="5">
        <v>289</v>
      </c>
      <c r="B5337" s="5" t="str">
        <f>'Lineal Mixto'!$C$293</f>
      </c>
      <c r="C5337" s="5" t="str">
        <f>'Lineal Mixto'!$C$294</f>
      </c>
      <c r="D5337" s="5" t="str">
        <f>MIN(INT(B5337*5),4)</f>
      </c>
      <c r="E5337" s="5" t="str">
        <f>MIN(INT(C5337*5),4)</f>
      </c>
      <c r="F5337" s="5" t="str">
        <f>D5337*5+E5337</f>
      </c>
    </row>
    <row r="5338">
      <c r="A5338" s="6">
        <v>290</v>
      </c>
      <c r="B5338" s="6" t="str">
        <f>'Lineal Mixto'!$C$294</f>
      </c>
      <c r="C5338" s="6" t="str">
        <f>'Lineal Mixto'!$C$295</f>
      </c>
      <c r="D5338" s="6" t="str">
        <f>MIN(INT(B5338*5),4)</f>
      </c>
      <c r="E5338" s="6" t="str">
        <f>MIN(INT(C5338*5),4)</f>
      </c>
      <c r="F5338" s="6" t="str">
        <f>D5338*5+E5338</f>
      </c>
    </row>
    <row r="5339">
      <c r="A5339" s="5">
        <v>291</v>
      </c>
      <c r="B5339" s="5" t="str">
        <f>'Lineal Mixto'!$C$295</f>
      </c>
      <c r="C5339" s="5" t="str">
        <f>'Lineal Mixto'!$C$296</f>
      </c>
      <c r="D5339" s="5" t="str">
        <f>MIN(INT(B5339*5),4)</f>
      </c>
      <c r="E5339" s="5" t="str">
        <f>MIN(INT(C5339*5),4)</f>
      </c>
      <c r="F5339" s="5" t="str">
        <f>D5339*5+E5339</f>
      </c>
    </row>
    <row r="5340">
      <c r="A5340" s="6">
        <v>292</v>
      </c>
      <c r="B5340" s="6" t="str">
        <f>'Lineal Mixto'!$C$296</f>
      </c>
      <c r="C5340" s="6" t="str">
        <f>'Lineal Mixto'!$C$297</f>
      </c>
      <c r="D5340" s="6" t="str">
        <f>MIN(INT(B5340*5),4)</f>
      </c>
      <c r="E5340" s="6" t="str">
        <f>MIN(INT(C5340*5),4)</f>
      </c>
      <c r="F5340" s="6" t="str">
        <f>D5340*5+E5340</f>
      </c>
    </row>
    <row r="5341">
      <c r="A5341" s="5">
        <v>293</v>
      </c>
      <c r="B5341" s="5" t="str">
        <f>'Lineal Mixto'!$C$297</f>
      </c>
      <c r="C5341" s="5" t="str">
        <f>'Lineal Mixto'!$C$298</f>
      </c>
      <c r="D5341" s="5" t="str">
        <f>MIN(INT(B5341*5),4)</f>
      </c>
      <c r="E5341" s="5" t="str">
        <f>MIN(INT(C5341*5),4)</f>
      </c>
      <c r="F5341" s="5" t="str">
        <f>D5341*5+E5341</f>
      </c>
    </row>
    <row r="5342">
      <c r="A5342" s="6">
        <v>294</v>
      </c>
      <c r="B5342" s="6" t="str">
        <f>'Lineal Mixto'!$C$298</f>
      </c>
      <c r="C5342" s="6" t="str">
        <f>'Lineal Mixto'!$C$299</f>
      </c>
      <c r="D5342" s="6" t="str">
        <f>MIN(INT(B5342*5),4)</f>
      </c>
      <c r="E5342" s="6" t="str">
        <f>MIN(INT(C5342*5),4)</f>
      </c>
      <c r="F5342" s="6" t="str">
        <f>D5342*5+E5342</f>
      </c>
    </row>
    <row r="5343">
      <c r="A5343" s="5">
        <v>295</v>
      </c>
      <c r="B5343" s="5" t="str">
        <f>'Lineal Mixto'!$C$299</f>
      </c>
      <c r="C5343" s="5" t="str">
        <f>'Lineal Mixto'!$C$300</f>
      </c>
      <c r="D5343" s="5" t="str">
        <f>MIN(INT(B5343*5),4)</f>
      </c>
      <c r="E5343" s="5" t="str">
        <f>MIN(INT(C5343*5),4)</f>
      </c>
      <c r="F5343" s="5" t="str">
        <f>D5343*5+E5343</f>
      </c>
    </row>
    <row r="5344">
      <c r="A5344" s="6">
        <v>296</v>
      </c>
      <c r="B5344" s="6" t="str">
        <f>'Lineal Mixto'!$C$300</f>
      </c>
      <c r="C5344" s="6" t="str">
        <f>'Lineal Mixto'!$C$301</f>
      </c>
      <c r="D5344" s="6" t="str">
        <f>MIN(INT(B5344*5),4)</f>
      </c>
      <c r="E5344" s="6" t="str">
        <f>MIN(INT(C5344*5),4)</f>
      </c>
      <c r="F5344" s="6" t="str">
        <f>D5344*5+E5344</f>
      </c>
    </row>
    <row r="5345">
      <c r="A5345" s="5">
        <v>297</v>
      </c>
      <c r="B5345" s="5" t="str">
        <f>'Lineal Mixto'!$C$301</f>
      </c>
      <c r="C5345" s="5" t="str">
        <f>'Lineal Mixto'!$C$302</f>
      </c>
      <c r="D5345" s="5" t="str">
        <f>MIN(INT(B5345*5),4)</f>
      </c>
      <c r="E5345" s="5" t="str">
        <f>MIN(INT(C5345*5),4)</f>
      </c>
      <c r="F5345" s="5" t="str">
        <f>D5345*5+E5345</f>
      </c>
    </row>
    <row r="5346">
      <c r="A5346" s="6">
        <v>298</v>
      </c>
      <c r="B5346" s="6" t="str">
        <f>'Lineal Mixto'!$C$302</f>
      </c>
      <c r="C5346" s="6" t="str">
        <f>'Lineal Mixto'!$C$303</f>
      </c>
      <c r="D5346" s="6" t="str">
        <f>MIN(INT(B5346*5),4)</f>
      </c>
      <c r="E5346" s="6" t="str">
        <f>MIN(INT(C5346*5),4)</f>
      </c>
      <c r="F5346" s="6" t="str">
        <f>D5346*5+E5346</f>
      </c>
    </row>
    <row r="5347">
      <c r="A5347" s="5">
        <v>299</v>
      </c>
      <c r="B5347" s="5" t="str">
        <f>'Lineal Mixto'!$C$303</f>
      </c>
      <c r="C5347" s="5" t="str">
        <f>'Lineal Mixto'!$C$304</f>
      </c>
      <c r="D5347" s="5" t="str">
        <f>MIN(INT(B5347*5),4)</f>
      </c>
      <c r="E5347" s="5" t="str">
        <f>MIN(INT(C5347*5),4)</f>
      </c>
      <c r="F5347" s="5" t="str">
        <f>D5347*5+E5347</f>
      </c>
    </row>
    <row r="5348">
      <c r="A5348" s="6">
        <v>300</v>
      </c>
      <c r="B5348" s="6" t="str">
        <f>'Lineal Mixto'!$C$304</f>
      </c>
      <c r="C5348" s="6" t="str">
        <f>'Lineal Mixto'!$C$305</f>
      </c>
      <c r="D5348" s="6" t="str">
        <f>MIN(INT(B5348*5),4)</f>
      </c>
      <c r="E5348" s="6" t="str">
        <f>MIN(INT(C5348*5),4)</f>
      </c>
      <c r="F5348" s="6" t="str">
        <f>D5348*5+E5348</f>
      </c>
    </row>
    <row r="5349">
      <c r="A5349" s="5">
        <v>301</v>
      </c>
      <c r="B5349" s="5" t="str">
        <f>'Lineal Mixto'!$C$305</f>
      </c>
      <c r="C5349" s="5" t="str">
        <f>'Lineal Mixto'!$C$306</f>
      </c>
      <c r="D5349" s="5" t="str">
        <f>MIN(INT(B5349*5),4)</f>
      </c>
      <c r="E5349" s="5" t="str">
        <f>MIN(INT(C5349*5),4)</f>
      </c>
      <c r="F5349" s="5" t="str">
        <f>D5349*5+E5349</f>
      </c>
    </row>
    <row r="5350">
      <c r="A5350" s="6">
        <v>302</v>
      </c>
      <c r="B5350" s="6" t="str">
        <f>'Lineal Mixto'!$C$306</f>
      </c>
      <c r="C5350" s="6" t="str">
        <f>'Lineal Mixto'!$C$307</f>
      </c>
      <c r="D5350" s="6" t="str">
        <f>MIN(INT(B5350*5),4)</f>
      </c>
      <c r="E5350" s="6" t="str">
        <f>MIN(INT(C5350*5),4)</f>
      </c>
      <c r="F5350" s="6" t="str">
        <f>D5350*5+E5350</f>
      </c>
    </row>
    <row r="5351">
      <c r="A5351" s="5">
        <v>303</v>
      </c>
      <c r="B5351" s="5" t="str">
        <f>'Lineal Mixto'!$C$307</f>
      </c>
      <c r="C5351" s="5" t="str">
        <f>'Lineal Mixto'!$C$308</f>
      </c>
      <c r="D5351" s="5" t="str">
        <f>MIN(INT(B5351*5),4)</f>
      </c>
      <c r="E5351" s="5" t="str">
        <f>MIN(INT(C5351*5),4)</f>
      </c>
      <c r="F5351" s="5" t="str">
        <f>D5351*5+E5351</f>
      </c>
    </row>
    <row r="5352">
      <c r="A5352" s="6">
        <v>304</v>
      </c>
      <c r="B5352" s="6" t="str">
        <f>'Lineal Mixto'!$C$308</f>
      </c>
      <c r="C5352" s="6" t="str">
        <f>'Lineal Mixto'!$C$309</f>
      </c>
      <c r="D5352" s="6" t="str">
        <f>MIN(INT(B5352*5),4)</f>
      </c>
      <c r="E5352" s="6" t="str">
        <f>MIN(INT(C5352*5),4)</f>
      </c>
      <c r="F5352" s="6" t="str">
        <f>D5352*5+E5352</f>
      </c>
    </row>
    <row r="5353">
      <c r="A5353" s="5">
        <v>305</v>
      </c>
      <c r="B5353" s="5" t="str">
        <f>'Lineal Mixto'!$C$309</f>
      </c>
      <c r="C5353" s="5" t="str">
        <f>'Lineal Mixto'!$C$310</f>
      </c>
      <c r="D5353" s="5" t="str">
        <f>MIN(INT(B5353*5),4)</f>
      </c>
      <c r="E5353" s="5" t="str">
        <f>MIN(INT(C5353*5),4)</f>
      </c>
      <c r="F5353" s="5" t="str">
        <f>D5353*5+E5353</f>
      </c>
    </row>
    <row r="5354">
      <c r="A5354" s="6">
        <v>306</v>
      </c>
      <c r="B5354" s="6" t="str">
        <f>'Lineal Mixto'!$C$310</f>
      </c>
      <c r="C5354" s="6" t="str">
        <f>'Lineal Mixto'!$C$311</f>
      </c>
      <c r="D5354" s="6" t="str">
        <f>MIN(INT(B5354*5),4)</f>
      </c>
      <c r="E5354" s="6" t="str">
        <f>MIN(INT(C5354*5),4)</f>
      </c>
      <c r="F5354" s="6" t="str">
        <f>D5354*5+E5354</f>
      </c>
    </row>
    <row r="5355">
      <c r="A5355" s="5">
        <v>307</v>
      </c>
      <c r="B5355" s="5" t="str">
        <f>'Lineal Mixto'!$C$311</f>
      </c>
      <c r="C5355" s="5" t="str">
        <f>'Lineal Mixto'!$C$312</f>
      </c>
      <c r="D5355" s="5" t="str">
        <f>MIN(INT(B5355*5),4)</f>
      </c>
      <c r="E5355" s="5" t="str">
        <f>MIN(INT(C5355*5),4)</f>
      </c>
      <c r="F5355" s="5" t="str">
        <f>D5355*5+E5355</f>
      </c>
    </row>
    <row r="5356">
      <c r="A5356" s="6">
        <v>308</v>
      </c>
      <c r="B5356" s="6" t="str">
        <f>'Lineal Mixto'!$C$312</f>
      </c>
      <c r="C5356" s="6" t="str">
        <f>'Lineal Mixto'!$C$313</f>
      </c>
      <c r="D5356" s="6" t="str">
        <f>MIN(INT(B5356*5),4)</f>
      </c>
      <c r="E5356" s="6" t="str">
        <f>MIN(INT(C5356*5),4)</f>
      </c>
      <c r="F5356" s="6" t="str">
        <f>D5356*5+E5356</f>
      </c>
    </row>
    <row r="5357">
      <c r="A5357" s="5">
        <v>309</v>
      </c>
      <c r="B5357" s="5" t="str">
        <f>'Lineal Mixto'!$C$313</f>
      </c>
      <c r="C5357" s="5" t="str">
        <f>'Lineal Mixto'!$C$314</f>
      </c>
      <c r="D5357" s="5" t="str">
        <f>MIN(INT(B5357*5),4)</f>
      </c>
      <c r="E5357" s="5" t="str">
        <f>MIN(INT(C5357*5),4)</f>
      </c>
      <c r="F5357" s="5" t="str">
        <f>D5357*5+E5357</f>
      </c>
    </row>
    <row r="5358">
      <c r="A5358" s="6">
        <v>310</v>
      </c>
      <c r="B5358" s="6" t="str">
        <f>'Lineal Mixto'!$C$314</f>
      </c>
      <c r="C5358" s="6" t="str">
        <f>'Lineal Mixto'!$C$315</f>
      </c>
      <c r="D5358" s="6" t="str">
        <f>MIN(INT(B5358*5),4)</f>
      </c>
      <c r="E5358" s="6" t="str">
        <f>MIN(INT(C5358*5),4)</f>
      </c>
      <c r="F5358" s="6" t="str">
        <f>D5358*5+E5358</f>
      </c>
    </row>
    <row r="5359">
      <c r="A5359" s="5">
        <v>311</v>
      </c>
      <c r="B5359" s="5" t="str">
        <f>'Lineal Mixto'!$C$315</f>
      </c>
      <c r="C5359" s="5" t="str">
        <f>'Lineal Mixto'!$C$316</f>
      </c>
      <c r="D5359" s="5" t="str">
        <f>MIN(INT(B5359*5),4)</f>
      </c>
      <c r="E5359" s="5" t="str">
        <f>MIN(INT(C5359*5),4)</f>
      </c>
      <c r="F5359" s="5" t="str">
        <f>D5359*5+E5359</f>
      </c>
    </row>
    <row r="5360">
      <c r="A5360" s="6">
        <v>312</v>
      </c>
      <c r="B5360" s="6" t="str">
        <f>'Lineal Mixto'!$C$316</f>
      </c>
      <c r="C5360" s="6" t="str">
        <f>'Lineal Mixto'!$C$317</f>
      </c>
      <c r="D5360" s="6" t="str">
        <f>MIN(INT(B5360*5),4)</f>
      </c>
      <c r="E5360" s="6" t="str">
        <f>MIN(INT(C5360*5),4)</f>
      </c>
      <c r="F5360" s="6" t="str">
        <f>D5360*5+E5360</f>
      </c>
    </row>
    <row r="5361">
      <c r="A5361" s="5">
        <v>313</v>
      </c>
      <c r="B5361" s="5" t="str">
        <f>'Lineal Mixto'!$C$317</f>
      </c>
      <c r="C5361" s="5" t="str">
        <f>'Lineal Mixto'!$C$318</f>
      </c>
      <c r="D5361" s="5" t="str">
        <f>MIN(INT(B5361*5),4)</f>
      </c>
      <c r="E5361" s="5" t="str">
        <f>MIN(INT(C5361*5),4)</f>
      </c>
      <c r="F5361" s="5" t="str">
        <f>D5361*5+E5361</f>
      </c>
    </row>
    <row r="5362">
      <c r="A5362" s="6">
        <v>314</v>
      </c>
      <c r="B5362" s="6" t="str">
        <f>'Lineal Mixto'!$C$318</f>
      </c>
      <c r="C5362" s="6" t="str">
        <f>'Lineal Mixto'!$C$319</f>
      </c>
      <c r="D5362" s="6" t="str">
        <f>MIN(INT(B5362*5),4)</f>
      </c>
      <c r="E5362" s="6" t="str">
        <f>MIN(INT(C5362*5),4)</f>
      </c>
      <c r="F5362" s="6" t="str">
        <f>D5362*5+E5362</f>
      </c>
    </row>
    <row r="5363">
      <c r="A5363" s="5">
        <v>315</v>
      </c>
      <c r="B5363" s="5" t="str">
        <f>'Lineal Mixto'!$C$319</f>
      </c>
      <c r="C5363" s="5" t="str">
        <f>'Lineal Mixto'!$C$320</f>
      </c>
      <c r="D5363" s="5" t="str">
        <f>MIN(INT(B5363*5),4)</f>
      </c>
      <c r="E5363" s="5" t="str">
        <f>MIN(INT(C5363*5),4)</f>
      </c>
      <c r="F5363" s="5" t="str">
        <f>D5363*5+E5363</f>
      </c>
    </row>
    <row r="5364">
      <c r="A5364" s="6">
        <v>316</v>
      </c>
      <c r="B5364" s="6" t="str">
        <f>'Lineal Mixto'!$C$320</f>
      </c>
      <c r="C5364" s="6" t="str">
        <f>'Lineal Mixto'!$C$321</f>
      </c>
      <c r="D5364" s="6" t="str">
        <f>MIN(INT(B5364*5),4)</f>
      </c>
      <c r="E5364" s="6" t="str">
        <f>MIN(INT(C5364*5),4)</f>
      </c>
      <c r="F5364" s="6" t="str">
        <f>D5364*5+E5364</f>
      </c>
    </row>
    <row r="5365">
      <c r="A5365" s="5">
        <v>317</v>
      </c>
      <c r="B5365" s="5" t="str">
        <f>'Lineal Mixto'!$C$321</f>
      </c>
      <c r="C5365" s="5" t="str">
        <f>'Lineal Mixto'!$C$322</f>
      </c>
      <c r="D5365" s="5" t="str">
        <f>MIN(INT(B5365*5),4)</f>
      </c>
      <c r="E5365" s="5" t="str">
        <f>MIN(INT(C5365*5),4)</f>
      </c>
      <c r="F5365" s="5" t="str">
        <f>D5365*5+E5365</f>
      </c>
    </row>
    <row r="5366">
      <c r="A5366" s="6">
        <v>318</v>
      </c>
      <c r="B5366" s="6" t="str">
        <f>'Lineal Mixto'!$C$322</f>
      </c>
      <c r="C5366" s="6" t="str">
        <f>'Lineal Mixto'!$C$323</f>
      </c>
      <c r="D5366" s="6" t="str">
        <f>MIN(INT(B5366*5),4)</f>
      </c>
      <c r="E5366" s="6" t="str">
        <f>MIN(INT(C5366*5),4)</f>
      </c>
      <c r="F5366" s="6" t="str">
        <f>D5366*5+E5366</f>
      </c>
    </row>
    <row r="5367">
      <c r="A5367" s="5">
        <v>319</v>
      </c>
      <c r="B5367" s="5" t="str">
        <f>'Lineal Mixto'!$C$323</f>
      </c>
      <c r="C5367" s="5" t="str">
        <f>'Lineal Mixto'!$C$324</f>
      </c>
      <c r="D5367" s="5" t="str">
        <f>MIN(INT(B5367*5),4)</f>
      </c>
      <c r="E5367" s="5" t="str">
        <f>MIN(INT(C5367*5),4)</f>
      </c>
      <c r="F5367" s="5" t="str">
        <f>D5367*5+E5367</f>
      </c>
    </row>
    <row r="5368">
      <c r="A5368" s="6">
        <v>320</v>
      </c>
      <c r="B5368" s="6" t="str">
        <f>'Lineal Mixto'!$C$324</f>
      </c>
      <c r="C5368" s="6" t="str">
        <f>'Lineal Mixto'!$C$325</f>
      </c>
      <c r="D5368" s="6" t="str">
        <f>MIN(INT(B5368*5),4)</f>
      </c>
      <c r="E5368" s="6" t="str">
        <f>MIN(INT(C5368*5),4)</f>
      </c>
      <c r="F5368" s="6" t="str">
        <f>D5368*5+E5368</f>
      </c>
    </row>
    <row r="5369">
      <c r="A5369" s="5">
        <v>321</v>
      </c>
      <c r="B5369" s="5" t="str">
        <f>'Lineal Mixto'!$C$325</f>
      </c>
      <c r="C5369" s="5" t="str">
        <f>'Lineal Mixto'!$C$326</f>
      </c>
      <c r="D5369" s="5" t="str">
        <f>MIN(INT(B5369*5),4)</f>
      </c>
      <c r="E5369" s="5" t="str">
        <f>MIN(INT(C5369*5),4)</f>
      </c>
      <c r="F5369" s="5" t="str">
        <f>D5369*5+E5369</f>
      </c>
    </row>
    <row r="5370">
      <c r="A5370" s="6">
        <v>322</v>
      </c>
      <c r="B5370" s="6" t="str">
        <f>'Lineal Mixto'!$C$326</f>
      </c>
      <c r="C5370" s="6" t="str">
        <f>'Lineal Mixto'!$C$327</f>
      </c>
      <c r="D5370" s="6" t="str">
        <f>MIN(INT(B5370*5),4)</f>
      </c>
      <c r="E5370" s="6" t="str">
        <f>MIN(INT(C5370*5),4)</f>
      </c>
      <c r="F5370" s="6" t="str">
        <f>D5370*5+E5370</f>
      </c>
    </row>
    <row r="5371">
      <c r="A5371" s="5">
        <v>323</v>
      </c>
      <c r="B5371" s="5" t="str">
        <f>'Lineal Mixto'!$C$327</f>
      </c>
      <c r="C5371" s="5" t="str">
        <f>'Lineal Mixto'!$C$328</f>
      </c>
      <c r="D5371" s="5" t="str">
        <f>MIN(INT(B5371*5),4)</f>
      </c>
      <c r="E5371" s="5" t="str">
        <f>MIN(INT(C5371*5),4)</f>
      </c>
      <c r="F5371" s="5" t="str">
        <f>D5371*5+E5371</f>
      </c>
    </row>
    <row r="5372">
      <c r="A5372" s="6">
        <v>324</v>
      </c>
      <c r="B5372" s="6" t="str">
        <f>'Lineal Mixto'!$C$328</f>
      </c>
      <c r="C5372" s="6" t="str">
        <f>'Lineal Mixto'!$C$329</f>
      </c>
      <c r="D5372" s="6" t="str">
        <f>MIN(INT(B5372*5),4)</f>
      </c>
      <c r="E5372" s="6" t="str">
        <f>MIN(INT(C5372*5),4)</f>
      </c>
      <c r="F5372" s="6" t="str">
        <f>D5372*5+E5372</f>
      </c>
    </row>
    <row r="5373">
      <c r="A5373" s="5">
        <v>325</v>
      </c>
      <c r="B5373" s="5" t="str">
        <f>'Lineal Mixto'!$C$329</f>
      </c>
      <c r="C5373" s="5" t="str">
        <f>'Lineal Mixto'!$C$330</f>
      </c>
      <c r="D5373" s="5" t="str">
        <f>MIN(INT(B5373*5),4)</f>
      </c>
      <c r="E5373" s="5" t="str">
        <f>MIN(INT(C5373*5),4)</f>
      </c>
      <c r="F5373" s="5" t="str">
        <f>D5373*5+E5373</f>
      </c>
    </row>
    <row r="5374">
      <c r="A5374" s="6">
        <v>326</v>
      </c>
      <c r="B5374" s="6" t="str">
        <f>'Lineal Mixto'!$C$330</f>
      </c>
      <c r="C5374" s="6" t="str">
        <f>'Lineal Mixto'!$C$331</f>
      </c>
      <c r="D5374" s="6" t="str">
        <f>MIN(INT(B5374*5),4)</f>
      </c>
      <c r="E5374" s="6" t="str">
        <f>MIN(INT(C5374*5),4)</f>
      </c>
      <c r="F5374" s="6" t="str">
        <f>D5374*5+E5374</f>
      </c>
    </row>
    <row r="5375">
      <c r="A5375" s="5">
        <v>327</v>
      </c>
      <c r="B5375" s="5" t="str">
        <f>'Lineal Mixto'!$C$331</f>
      </c>
      <c r="C5375" s="5" t="str">
        <f>'Lineal Mixto'!$C$332</f>
      </c>
      <c r="D5375" s="5" t="str">
        <f>MIN(INT(B5375*5),4)</f>
      </c>
      <c r="E5375" s="5" t="str">
        <f>MIN(INT(C5375*5),4)</f>
      </c>
      <c r="F5375" s="5" t="str">
        <f>D5375*5+E5375</f>
      </c>
    </row>
    <row r="5376">
      <c r="A5376" s="6">
        <v>328</v>
      </c>
      <c r="B5376" s="6" t="str">
        <f>'Lineal Mixto'!$C$332</f>
      </c>
      <c r="C5376" s="6" t="str">
        <f>'Lineal Mixto'!$C$333</f>
      </c>
      <c r="D5376" s="6" t="str">
        <f>MIN(INT(B5376*5),4)</f>
      </c>
      <c r="E5376" s="6" t="str">
        <f>MIN(INT(C5376*5),4)</f>
      </c>
      <c r="F5376" s="6" t="str">
        <f>D5376*5+E5376</f>
      </c>
    </row>
    <row r="5377">
      <c r="A5377" s="5">
        <v>329</v>
      </c>
      <c r="B5377" s="5" t="str">
        <f>'Lineal Mixto'!$C$333</f>
      </c>
      <c r="C5377" s="5" t="str">
        <f>'Lineal Mixto'!$C$334</f>
      </c>
      <c r="D5377" s="5" t="str">
        <f>MIN(INT(B5377*5),4)</f>
      </c>
      <c r="E5377" s="5" t="str">
        <f>MIN(INT(C5377*5),4)</f>
      </c>
      <c r="F5377" s="5" t="str">
        <f>D5377*5+E5377</f>
      </c>
    </row>
    <row r="5378">
      <c r="A5378" s="6">
        <v>330</v>
      </c>
      <c r="B5378" s="6" t="str">
        <f>'Lineal Mixto'!$C$334</f>
      </c>
      <c r="C5378" s="6" t="str">
        <f>'Lineal Mixto'!$C$335</f>
      </c>
      <c r="D5378" s="6" t="str">
        <f>MIN(INT(B5378*5),4)</f>
      </c>
      <c r="E5378" s="6" t="str">
        <f>MIN(INT(C5378*5),4)</f>
      </c>
      <c r="F5378" s="6" t="str">
        <f>D5378*5+E5378</f>
      </c>
    </row>
    <row r="5379">
      <c r="A5379" s="5">
        <v>331</v>
      </c>
      <c r="B5379" s="5" t="str">
        <f>'Lineal Mixto'!$C$335</f>
      </c>
      <c r="C5379" s="5" t="str">
        <f>'Lineal Mixto'!$C$336</f>
      </c>
      <c r="D5379" s="5" t="str">
        <f>MIN(INT(B5379*5),4)</f>
      </c>
      <c r="E5379" s="5" t="str">
        <f>MIN(INT(C5379*5),4)</f>
      </c>
      <c r="F5379" s="5" t="str">
        <f>D5379*5+E5379</f>
      </c>
    </row>
    <row r="5380">
      <c r="A5380" s="6">
        <v>332</v>
      </c>
      <c r="B5380" s="6" t="str">
        <f>'Lineal Mixto'!$C$336</f>
      </c>
      <c r="C5380" s="6" t="str">
        <f>'Lineal Mixto'!$C$337</f>
      </c>
      <c r="D5380" s="6" t="str">
        <f>MIN(INT(B5380*5),4)</f>
      </c>
      <c r="E5380" s="6" t="str">
        <f>MIN(INT(C5380*5),4)</f>
      </c>
      <c r="F5380" s="6" t="str">
        <f>D5380*5+E5380</f>
      </c>
    </row>
    <row r="5381">
      <c r="A5381" s="5">
        <v>333</v>
      </c>
      <c r="B5381" s="5" t="str">
        <f>'Lineal Mixto'!$C$337</f>
      </c>
      <c r="C5381" s="5" t="str">
        <f>'Lineal Mixto'!$C$338</f>
      </c>
      <c r="D5381" s="5" t="str">
        <f>MIN(INT(B5381*5),4)</f>
      </c>
      <c r="E5381" s="5" t="str">
        <f>MIN(INT(C5381*5),4)</f>
      </c>
      <c r="F5381" s="5" t="str">
        <f>D5381*5+E5381</f>
      </c>
    </row>
    <row r="5382">
      <c r="A5382" s="6">
        <v>334</v>
      </c>
      <c r="B5382" s="6" t="str">
        <f>'Lineal Mixto'!$C$338</f>
      </c>
      <c r="C5382" s="6" t="str">
        <f>'Lineal Mixto'!$C$339</f>
      </c>
      <c r="D5382" s="6" t="str">
        <f>MIN(INT(B5382*5),4)</f>
      </c>
      <c r="E5382" s="6" t="str">
        <f>MIN(INT(C5382*5),4)</f>
      </c>
      <c r="F5382" s="6" t="str">
        <f>D5382*5+E5382</f>
      </c>
    </row>
    <row r="5383">
      <c r="A5383" s="5">
        <v>335</v>
      </c>
      <c r="B5383" s="5" t="str">
        <f>'Lineal Mixto'!$C$339</f>
      </c>
      <c r="C5383" s="5" t="str">
        <f>'Lineal Mixto'!$C$340</f>
      </c>
      <c r="D5383" s="5" t="str">
        <f>MIN(INT(B5383*5),4)</f>
      </c>
      <c r="E5383" s="5" t="str">
        <f>MIN(INT(C5383*5),4)</f>
      </c>
      <c r="F5383" s="5" t="str">
        <f>D5383*5+E5383</f>
      </c>
    </row>
    <row r="5384">
      <c r="A5384" s="6">
        <v>336</v>
      </c>
      <c r="B5384" s="6" t="str">
        <f>'Lineal Mixto'!$C$340</f>
      </c>
      <c r="C5384" s="6" t="str">
        <f>'Lineal Mixto'!$C$341</f>
      </c>
      <c r="D5384" s="6" t="str">
        <f>MIN(INT(B5384*5),4)</f>
      </c>
      <c r="E5384" s="6" t="str">
        <f>MIN(INT(C5384*5),4)</f>
      </c>
      <c r="F5384" s="6" t="str">
        <f>D5384*5+E5384</f>
      </c>
    </row>
    <row r="5385">
      <c r="A5385" s="5">
        <v>337</v>
      </c>
      <c r="B5385" s="5" t="str">
        <f>'Lineal Mixto'!$C$341</f>
      </c>
      <c r="C5385" s="5" t="str">
        <f>'Lineal Mixto'!$C$342</f>
      </c>
      <c r="D5385" s="5" t="str">
        <f>MIN(INT(B5385*5),4)</f>
      </c>
      <c r="E5385" s="5" t="str">
        <f>MIN(INT(C5385*5),4)</f>
      </c>
      <c r="F5385" s="5" t="str">
        <f>D5385*5+E5385</f>
      </c>
    </row>
    <row r="5386">
      <c r="A5386" s="6">
        <v>338</v>
      </c>
      <c r="B5386" s="6" t="str">
        <f>'Lineal Mixto'!$C$342</f>
      </c>
      <c r="C5386" s="6" t="str">
        <f>'Lineal Mixto'!$C$343</f>
      </c>
      <c r="D5386" s="6" t="str">
        <f>MIN(INT(B5386*5),4)</f>
      </c>
      <c r="E5386" s="6" t="str">
        <f>MIN(INT(C5386*5),4)</f>
      </c>
      <c r="F5386" s="6" t="str">
        <f>D5386*5+E5386</f>
      </c>
    </row>
    <row r="5387">
      <c r="A5387" s="5">
        <v>339</v>
      </c>
      <c r="B5387" s="5" t="str">
        <f>'Lineal Mixto'!$C$343</f>
      </c>
      <c r="C5387" s="5" t="str">
        <f>'Lineal Mixto'!$C$344</f>
      </c>
      <c r="D5387" s="5" t="str">
        <f>MIN(INT(B5387*5),4)</f>
      </c>
      <c r="E5387" s="5" t="str">
        <f>MIN(INT(C5387*5),4)</f>
      </c>
      <c r="F5387" s="5" t="str">
        <f>D5387*5+E5387</f>
      </c>
    </row>
    <row r="5388">
      <c r="A5388" s="6">
        <v>340</v>
      </c>
      <c r="B5388" s="6" t="str">
        <f>'Lineal Mixto'!$C$344</f>
      </c>
      <c r="C5388" s="6" t="str">
        <f>'Lineal Mixto'!$C$345</f>
      </c>
      <c r="D5388" s="6" t="str">
        <f>MIN(INT(B5388*5),4)</f>
      </c>
      <c r="E5388" s="6" t="str">
        <f>MIN(INT(C5388*5),4)</f>
      </c>
      <c r="F5388" s="6" t="str">
        <f>D5388*5+E5388</f>
      </c>
    </row>
    <row r="5389">
      <c r="A5389" s="5">
        <v>341</v>
      </c>
      <c r="B5389" s="5" t="str">
        <f>'Lineal Mixto'!$C$345</f>
      </c>
      <c r="C5389" s="5" t="str">
        <f>'Lineal Mixto'!$C$346</f>
      </c>
      <c r="D5389" s="5" t="str">
        <f>MIN(INT(B5389*5),4)</f>
      </c>
      <c r="E5389" s="5" t="str">
        <f>MIN(INT(C5389*5),4)</f>
      </c>
      <c r="F5389" s="5" t="str">
        <f>D5389*5+E5389</f>
      </c>
    </row>
    <row r="5390">
      <c r="A5390" s="6">
        <v>342</v>
      </c>
      <c r="B5390" s="6" t="str">
        <f>'Lineal Mixto'!$C$346</f>
      </c>
      <c r="C5390" s="6" t="str">
        <f>'Lineal Mixto'!$C$347</f>
      </c>
      <c r="D5390" s="6" t="str">
        <f>MIN(INT(B5390*5),4)</f>
      </c>
      <c r="E5390" s="6" t="str">
        <f>MIN(INT(C5390*5),4)</f>
      </c>
      <c r="F5390" s="6" t="str">
        <f>D5390*5+E5390</f>
      </c>
    </row>
    <row r="5391">
      <c r="A5391" s="5">
        <v>343</v>
      </c>
      <c r="B5391" s="5" t="str">
        <f>'Lineal Mixto'!$C$347</f>
      </c>
      <c r="C5391" s="5" t="str">
        <f>'Lineal Mixto'!$C$348</f>
      </c>
      <c r="D5391" s="5" t="str">
        <f>MIN(INT(B5391*5),4)</f>
      </c>
      <c r="E5391" s="5" t="str">
        <f>MIN(INT(C5391*5),4)</f>
      </c>
      <c r="F5391" s="5" t="str">
        <f>D5391*5+E5391</f>
      </c>
    </row>
    <row r="5392">
      <c r="A5392" s="6">
        <v>344</v>
      </c>
      <c r="B5392" s="6" t="str">
        <f>'Lineal Mixto'!$C$348</f>
      </c>
      <c r="C5392" s="6" t="str">
        <f>'Lineal Mixto'!$C$349</f>
      </c>
      <c r="D5392" s="6" t="str">
        <f>MIN(INT(B5392*5),4)</f>
      </c>
      <c r="E5392" s="6" t="str">
        <f>MIN(INT(C5392*5),4)</f>
      </c>
      <c r="F5392" s="6" t="str">
        <f>D5392*5+E5392</f>
      </c>
    </row>
    <row r="5393">
      <c r="A5393" s="5">
        <v>345</v>
      </c>
      <c r="B5393" s="5" t="str">
        <f>'Lineal Mixto'!$C$349</f>
      </c>
      <c r="C5393" s="5" t="str">
        <f>'Lineal Mixto'!$C$350</f>
      </c>
      <c r="D5393" s="5" t="str">
        <f>MIN(INT(B5393*5),4)</f>
      </c>
      <c r="E5393" s="5" t="str">
        <f>MIN(INT(C5393*5),4)</f>
      </c>
      <c r="F5393" s="5" t="str">
        <f>D5393*5+E5393</f>
      </c>
    </row>
    <row r="5394">
      <c r="A5394" s="6">
        <v>346</v>
      </c>
      <c r="B5394" s="6" t="str">
        <f>'Lineal Mixto'!$C$350</f>
      </c>
      <c r="C5394" s="6" t="str">
        <f>'Lineal Mixto'!$C$351</f>
      </c>
      <c r="D5394" s="6" t="str">
        <f>MIN(INT(B5394*5),4)</f>
      </c>
      <c r="E5394" s="6" t="str">
        <f>MIN(INT(C5394*5),4)</f>
      </c>
      <c r="F5394" s="6" t="str">
        <f>D5394*5+E5394</f>
      </c>
    </row>
    <row r="5395">
      <c r="A5395" s="5">
        <v>347</v>
      </c>
      <c r="B5395" s="5" t="str">
        <f>'Lineal Mixto'!$C$351</f>
      </c>
      <c r="C5395" s="5" t="str">
        <f>'Lineal Mixto'!$C$352</f>
      </c>
      <c r="D5395" s="5" t="str">
        <f>MIN(INT(B5395*5),4)</f>
      </c>
      <c r="E5395" s="5" t="str">
        <f>MIN(INT(C5395*5),4)</f>
      </c>
      <c r="F5395" s="5" t="str">
        <f>D5395*5+E5395</f>
      </c>
    </row>
    <row r="5396">
      <c r="A5396" s="6">
        <v>348</v>
      </c>
      <c r="B5396" s="6" t="str">
        <f>'Lineal Mixto'!$C$352</f>
      </c>
      <c r="C5396" s="6" t="str">
        <f>'Lineal Mixto'!$C$353</f>
      </c>
      <c r="D5396" s="6" t="str">
        <f>MIN(INT(B5396*5),4)</f>
      </c>
      <c r="E5396" s="6" t="str">
        <f>MIN(INT(C5396*5),4)</f>
      </c>
      <c r="F5396" s="6" t="str">
        <f>D5396*5+E5396</f>
      </c>
    </row>
    <row r="5397">
      <c r="A5397" s="5">
        <v>349</v>
      </c>
      <c r="B5397" s="5" t="str">
        <f>'Lineal Mixto'!$C$353</f>
      </c>
      <c r="C5397" s="5" t="str">
        <f>'Lineal Mixto'!$C$354</f>
      </c>
      <c r="D5397" s="5" t="str">
        <f>MIN(INT(B5397*5),4)</f>
      </c>
      <c r="E5397" s="5" t="str">
        <f>MIN(INT(C5397*5),4)</f>
      </c>
      <c r="F5397" s="5" t="str">
        <f>D5397*5+E5397</f>
      </c>
    </row>
    <row r="5398">
      <c r="A5398" s="6">
        <v>350</v>
      </c>
      <c r="B5398" s="6" t="str">
        <f>'Lineal Mixto'!$C$354</f>
      </c>
      <c r="C5398" s="6" t="str">
        <f>'Lineal Mixto'!$C$355</f>
      </c>
      <c r="D5398" s="6" t="str">
        <f>MIN(INT(B5398*5),4)</f>
      </c>
      <c r="E5398" s="6" t="str">
        <f>MIN(INT(C5398*5),4)</f>
      </c>
      <c r="F5398" s="6" t="str">
        <f>D5398*5+E5398</f>
      </c>
    </row>
    <row r="5399">
      <c r="A5399" s="5">
        <v>351</v>
      </c>
      <c r="B5399" s="5" t="str">
        <f>'Lineal Mixto'!$C$355</f>
      </c>
      <c r="C5399" s="5" t="str">
        <f>'Lineal Mixto'!$C$356</f>
      </c>
      <c r="D5399" s="5" t="str">
        <f>MIN(INT(B5399*5),4)</f>
      </c>
      <c r="E5399" s="5" t="str">
        <f>MIN(INT(C5399*5),4)</f>
      </c>
      <c r="F5399" s="5" t="str">
        <f>D5399*5+E5399</f>
      </c>
    </row>
    <row r="5400">
      <c r="A5400" s="6">
        <v>352</v>
      </c>
      <c r="B5400" s="6" t="str">
        <f>'Lineal Mixto'!$C$356</f>
      </c>
      <c r="C5400" s="6" t="str">
        <f>'Lineal Mixto'!$C$357</f>
      </c>
      <c r="D5400" s="6" t="str">
        <f>MIN(INT(B5400*5),4)</f>
      </c>
      <c r="E5400" s="6" t="str">
        <f>MIN(INT(C5400*5),4)</f>
      </c>
      <c r="F5400" s="6" t="str">
        <f>D5400*5+E5400</f>
      </c>
    </row>
    <row r="5401">
      <c r="A5401" s="5">
        <v>353</v>
      </c>
      <c r="B5401" s="5" t="str">
        <f>'Lineal Mixto'!$C$357</f>
      </c>
      <c r="C5401" s="5" t="str">
        <f>'Lineal Mixto'!$C$358</f>
      </c>
      <c r="D5401" s="5" t="str">
        <f>MIN(INT(B5401*5),4)</f>
      </c>
      <c r="E5401" s="5" t="str">
        <f>MIN(INT(C5401*5),4)</f>
      </c>
      <c r="F5401" s="5" t="str">
        <f>D5401*5+E5401</f>
      </c>
    </row>
    <row r="5402">
      <c r="A5402" s="6">
        <v>354</v>
      </c>
      <c r="B5402" s="6" t="str">
        <f>'Lineal Mixto'!$C$358</f>
      </c>
      <c r="C5402" s="6" t="str">
        <f>'Lineal Mixto'!$C$359</f>
      </c>
      <c r="D5402" s="6" t="str">
        <f>MIN(INT(B5402*5),4)</f>
      </c>
      <c r="E5402" s="6" t="str">
        <f>MIN(INT(C5402*5),4)</f>
      </c>
      <c r="F5402" s="6" t="str">
        <f>D5402*5+E5402</f>
      </c>
    </row>
    <row r="5403">
      <c r="A5403" s="5">
        <v>355</v>
      </c>
      <c r="B5403" s="5" t="str">
        <f>'Lineal Mixto'!$C$359</f>
      </c>
      <c r="C5403" s="5" t="str">
        <f>'Lineal Mixto'!$C$360</f>
      </c>
      <c r="D5403" s="5" t="str">
        <f>MIN(INT(B5403*5),4)</f>
      </c>
      <c r="E5403" s="5" t="str">
        <f>MIN(INT(C5403*5),4)</f>
      </c>
      <c r="F5403" s="5" t="str">
        <f>D5403*5+E5403</f>
      </c>
    </row>
    <row r="5404">
      <c r="A5404" s="6">
        <v>356</v>
      </c>
      <c r="B5404" s="6" t="str">
        <f>'Lineal Mixto'!$C$360</f>
      </c>
      <c r="C5404" s="6" t="str">
        <f>'Lineal Mixto'!$C$361</f>
      </c>
      <c r="D5404" s="6" t="str">
        <f>MIN(INT(B5404*5),4)</f>
      </c>
      <c r="E5404" s="6" t="str">
        <f>MIN(INT(C5404*5),4)</f>
      </c>
      <c r="F5404" s="6" t="str">
        <f>D5404*5+E5404</f>
      </c>
    </row>
    <row r="5405">
      <c r="A5405" s="5">
        <v>357</v>
      </c>
      <c r="B5405" s="5" t="str">
        <f>'Lineal Mixto'!$C$361</f>
      </c>
      <c r="C5405" s="5" t="str">
        <f>'Lineal Mixto'!$C$362</f>
      </c>
      <c r="D5405" s="5" t="str">
        <f>MIN(INT(B5405*5),4)</f>
      </c>
      <c r="E5405" s="5" t="str">
        <f>MIN(INT(C5405*5),4)</f>
      </c>
      <c r="F5405" s="5" t="str">
        <f>D5405*5+E5405</f>
      </c>
    </row>
    <row r="5406">
      <c r="A5406" s="6">
        <v>358</v>
      </c>
      <c r="B5406" s="6" t="str">
        <f>'Lineal Mixto'!$C$362</f>
      </c>
      <c r="C5406" s="6" t="str">
        <f>'Lineal Mixto'!$C$363</f>
      </c>
      <c r="D5406" s="6" t="str">
        <f>MIN(INT(B5406*5),4)</f>
      </c>
      <c r="E5406" s="6" t="str">
        <f>MIN(INT(C5406*5),4)</f>
      </c>
      <c r="F5406" s="6" t="str">
        <f>D5406*5+E5406</f>
      </c>
    </row>
    <row r="5407">
      <c r="A5407" s="5">
        <v>359</v>
      </c>
      <c r="B5407" s="5" t="str">
        <f>'Lineal Mixto'!$C$363</f>
      </c>
      <c r="C5407" s="5" t="str">
        <f>'Lineal Mixto'!$C$364</f>
      </c>
      <c r="D5407" s="5" t="str">
        <f>MIN(INT(B5407*5),4)</f>
      </c>
      <c r="E5407" s="5" t="str">
        <f>MIN(INT(C5407*5),4)</f>
      </c>
      <c r="F5407" s="5" t="str">
        <f>D5407*5+E5407</f>
      </c>
    </row>
    <row r="5408">
      <c r="A5408" s="6">
        <v>360</v>
      </c>
      <c r="B5408" s="6" t="str">
        <f>'Lineal Mixto'!$C$364</f>
      </c>
      <c r="C5408" s="6" t="str">
        <f>'Lineal Mixto'!$C$365</f>
      </c>
      <c r="D5408" s="6" t="str">
        <f>MIN(INT(B5408*5),4)</f>
      </c>
      <c r="E5408" s="6" t="str">
        <f>MIN(INT(C5408*5),4)</f>
      </c>
      <c r="F5408" s="6" t="str">
        <f>D5408*5+E5408</f>
      </c>
    </row>
    <row r="5409">
      <c r="A5409" s="5">
        <v>361</v>
      </c>
      <c r="B5409" s="5" t="str">
        <f>'Lineal Mixto'!$C$365</f>
      </c>
      <c r="C5409" s="5" t="str">
        <f>'Lineal Mixto'!$C$366</f>
      </c>
      <c r="D5409" s="5" t="str">
        <f>MIN(INT(B5409*5),4)</f>
      </c>
      <c r="E5409" s="5" t="str">
        <f>MIN(INT(C5409*5),4)</f>
      </c>
      <c r="F5409" s="5" t="str">
        <f>D5409*5+E5409</f>
      </c>
    </row>
    <row r="5410">
      <c r="A5410" s="6">
        <v>362</v>
      </c>
      <c r="B5410" s="6" t="str">
        <f>'Lineal Mixto'!$C$366</f>
      </c>
      <c r="C5410" s="6" t="str">
        <f>'Lineal Mixto'!$C$367</f>
      </c>
      <c r="D5410" s="6" t="str">
        <f>MIN(INT(B5410*5),4)</f>
      </c>
      <c r="E5410" s="6" t="str">
        <f>MIN(INT(C5410*5),4)</f>
      </c>
      <c r="F5410" s="6" t="str">
        <f>D5410*5+E5410</f>
      </c>
    </row>
    <row r="5411">
      <c r="A5411" s="5">
        <v>363</v>
      </c>
      <c r="B5411" s="5" t="str">
        <f>'Lineal Mixto'!$C$367</f>
      </c>
      <c r="C5411" s="5" t="str">
        <f>'Lineal Mixto'!$C$368</f>
      </c>
      <c r="D5411" s="5" t="str">
        <f>MIN(INT(B5411*5),4)</f>
      </c>
      <c r="E5411" s="5" t="str">
        <f>MIN(INT(C5411*5),4)</f>
      </c>
      <c r="F5411" s="5" t="str">
        <f>D5411*5+E5411</f>
      </c>
    </row>
    <row r="5412">
      <c r="A5412" s="6">
        <v>364</v>
      </c>
      <c r="B5412" s="6" t="str">
        <f>'Lineal Mixto'!$C$368</f>
      </c>
      <c r="C5412" s="6" t="str">
        <f>'Lineal Mixto'!$C$369</f>
      </c>
      <c r="D5412" s="6" t="str">
        <f>MIN(INT(B5412*5),4)</f>
      </c>
      <c r="E5412" s="6" t="str">
        <f>MIN(INT(C5412*5),4)</f>
      </c>
      <c r="F5412" s="6" t="str">
        <f>D5412*5+E5412</f>
      </c>
    </row>
    <row r="5413">
      <c r="A5413" s="5">
        <v>365</v>
      </c>
      <c r="B5413" s="5" t="str">
        <f>'Lineal Mixto'!$C$369</f>
      </c>
      <c r="C5413" s="5" t="str">
        <f>'Lineal Mixto'!$C$370</f>
      </c>
      <c r="D5413" s="5" t="str">
        <f>MIN(INT(B5413*5),4)</f>
      </c>
      <c r="E5413" s="5" t="str">
        <f>MIN(INT(C5413*5),4)</f>
      </c>
      <c r="F5413" s="5" t="str">
        <f>D5413*5+E5413</f>
      </c>
    </row>
    <row r="5414">
      <c r="A5414" s="6">
        <v>366</v>
      </c>
      <c r="B5414" s="6" t="str">
        <f>'Lineal Mixto'!$C$370</f>
      </c>
      <c r="C5414" s="6" t="str">
        <f>'Lineal Mixto'!$C$371</f>
      </c>
      <c r="D5414" s="6" t="str">
        <f>MIN(INT(B5414*5),4)</f>
      </c>
      <c r="E5414" s="6" t="str">
        <f>MIN(INT(C5414*5),4)</f>
      </c>
      <c r="F5414" s="6" t="str">
        <f>D5414*5+E5414</f>
      </c>
    </row>
    <row r="5415">
      <c r="A5415" s="5">
        <v>367</v>
      </c>
      <c r="B5415" s="5" t="str">
        <f>'Lineal Mixto'!$C$371</f>
      </c>
      <c r="C5415" s="5" t="str">
        <f>'Lineal Mixto'!$C$372</f>
      </c>
      <c r="D5415" s="5" t="str">
        <f>MIN(INT(B5415*5),4)</f>
      </c>
      <c r="E5415" s="5" t="str">
        <f>MIN(INT(C5415*5),4)</f>
      </c>
      <c r="F5415" s="5" t="str">
        <f>D5415*5+E5415</f>
      </c>
    </row>
    <row r="5416">
      <c r="A5416" s="6">
        <v>368</v>
      </c>
      <c r="B5416" s="6" t="str">
        <f>'Lineal Mixto'!$C$372</f>
      </c>
      <c r="C5416" s="6" t="str">
        <f>'Lineal Mixto'!$C$373</f>
      </c>
      <c r="D5416" s="6" t="str">
        <f>MIN(INT(B5416*5),4)</f>
      </c>
      <c r="E5416" s="6" t="str">
        <f>MIN(INT(C5416*5),4)</f>
      </c>
      <c r="F5416" s="6" t="str">
        <f>D5416*5+E5416</f>
      </c>
    </row>
    <row r="5417">
      <c r="A5417" s="5">
        <v>369</v>
      </c>
      <c r="B5417" s="5" t="str">
        <f>'Lineal Mixto'!$C$373</f>
      </c>
      <c r="C5417" s="5" t="str">
        <f>'Lineal Mixto'!$C$374</f>
      </c>
      <c r="D5417" s="5" t="str">
        <f>MIN(INT(B5417*5),4)</f>
      </c>
      <c r="E5417" s="5" t="str">
        <f>MIN(INT(C5417*5),4)</f>
      </c>
      <c r="F5417" s="5" t="str">
        <f>D5417*5+E5417</f>
      </c>
    </row>
    <row r="5418">
      <c r="A5418" s="6">
        <v>370</v>
      </c>
      <c r="B5418" s="6" t="str">
        <f>'Lineal Mixto'!$C$374</f>
      </c>
      <c r="C5418" s="6" t="str">
        <f>'Lineal Mixto'!$C$375</f>
      </c>
      <c r="D5418" s="6" t="str">
        <f>MIN(INT(B5418*5),4)</f>
      </c>
      <c r="E5418" s="6" t="str">
        <f>MIN(INT(C5418*5),4)</f>
      </c>
      <c r="F5418" s="6" t="str">
        <f>D5418*5+E5418</f>
      </c>
    </row>
    <row r="5419">
      <c r="A5419" s="5">
        <v>371</v>
      </c>
      <c r="B5419" s="5" t="str">
        <f>'Lineal Mixto'!$C$375</f>
      </c>
      <c r="C5419" s="5" t="str">
        <f>'Lineal Mixto'!$C$376</f>
      </c>
      <c r="D5419" s="5" t="str">
        <f>MIN(INT(B5419*5),4)</f>
      </c>
      <c r="E5419" s="5" t="str">
        <f>MIN(INT(C5419*5),4)</f>
      </c>
      <c r="F5419" s="5" t="str">
        <f>D5419*5+E5419</f>
      </c>
    </row>
    <row r="5420">
      <c r="A5420" s="6">
        <v>372</v>
      </c>
      <c r="B5420" s="6" t="str">
        <f>'Lineal Mixto'!$C$376</f>
      </c>
      <c r="C5420" s="6" t="str">
        <f>'Lineal Mixto'!$C$377</f>
      </c>
      <c r="D5420" s="6" t="str">
        <f>MIN(INT(B5420*5),4)</f>
      </c>
      <c r="E5420" s="6" t="str">
        <f>MIN(INT(C5420*5),4)</f>
      </c>
      <c r="F5420" s="6" t="str">
        <f>D5420*5+E5420</f>
      </c>
    </row>
    <row r="5421">
      <c r="A5421" s="5">
        <v>373</v>
      </c>
      <c r="B5421" s="5" t="str">
        <f>'Lineal Mixto'!$C$377</f>
      </c>
      <c r="C5421" s="5" t="str">
        <f>'Lineal Mixto'!$C$378</f>
      </c>
      <c r="D5421" s="5" t="str">
        <f>MIN(INT(B5421*5),4)</f>
      </c>
      <c r="E5421" s="5" t="str">
        <f>MIN(INT(C5421*5),4)</f>
      </c>
      <c r="F5421" s="5" t="str">
        <f>D5421*5+E5421</f>
      </c>
    </row>
    <row r="5422">
      <c r="A5422" s="6">
        <v>374</v>
      </c>
      <c r="B5422" s="6" t="str">
        <f>'Lineal Mixto'!$C$378</f>
      </c>
      <c r="C5422" s="6" t="str">
        <f>'Lineal Mixto'!$C$379</f>
      </c>
      <c r="D5422" s="6" t="str">
        <f>MIN(INT(B5422*5),4)</f>
      </c>
      <c r="E5422" s="6" t="str">
        <f>MIN(INT(C5422*5),4)</f>
      </c>
      <c r="F5422" s="6" t="str">
        <f>D5422*5+E5422</f>
      </c>
    </row>
    <row r="5423">
      <c r="A5423" s="5">
        <v>375</v>
      </c>
      <c r="B5423" s="5" t="str">
        <f>'Lineal Mixto'!$C$379</f>
      </c>
      <c r="C5423" s="5" t="str">
        <f>'Lineal Mixto'!$C$380</f>
      </c>
      <c r="D5423" s="5" t="str">
        <f>MIN(INT(B5423*5),4)</f>
      </c>
      <c r="E5423" s="5" t="str">
        <f>MIN(INT(C5423*5),4)</f>
      </c>
      <c r="F5423" s="5" t="str">
        <f>D5423*5+E5423</f>
      </c>
    </row>
    <row r="5424">
      <c r="A5424" s="6">
        <v>376</v>
      </c>
      <c r="B5424" s="6" t="str">
        <f>'Lineal Mixto'!$C$380</f>
      </c>
      <c r="C5424" s="6" t="str">
        <f>'Lineal Mixto'!$C$381</f>
      </c>
      <c r="D5424" s="6" t="str">
        <f>MIN(INT(B5424*5),4)</f>
      </c>
      <c r="E5424" s="6" t="str">
        <f>MIN(INT(C5424*5),4)</f>
      </c>
      <c r="F5424" s="6" t="str">
        <f>D5424*5+E5424</f>
      </c>
    </row>
    <row r="5425">
      <c r="A5425" s="5">
        <v>377</v>
      </c>
      <c r="B5425" s="5" t="str">
        <f>'Lineal Mixto'!$C$381</f>
      </c>
      <c r="C5425" s="5" t="str">
        <f>'Lineal Mixto'!$C$382</f>
      </c>
      <c r="D5425" s="5" t="str">
        <f>MIN(INT(B5425*5),4)</f>
      </c>
      <c r="E5425" s="5" t="str">
        <f>MIN(INT(C5425*5),4)</f>
      </c>
      <c r="F5425" s="5" t="str">
        <f>D5425*5+E5425</f>
      </c>
    </row>
    <row r="5426">
      <c r="A5426" s="6">
        <v>378</v>
      </c>
      <c r="B5426" s="6" t="str">
        <f>'Lineal Mixto'!$C$382</f>
      </c>
      <c r="C5426" s="6" t="str">
        <f>'Lineal Mixto'!$C$383</f>
      </c>
      <c r="D5426" s="6" t="str">
        <f>MIN(INT(B5426*5),4)</f>
      </c>
      <c r="E5426" s="6" t="str">
        <f>MIN(INT(C5426*5),4)</f>
      </c>
      <c r="F5426" s="6" t="str">
        <f>D5426*5+E5426</f>
      </c>
    </row>
    <row r="5427">
      <c r="A5427" s="5">
        <v>379</v>
      </c>
      <c r="B5427" s="5" t="str">
        <f>'Lineal Mixto'!$C$383</f>
      </c>
      <c r="C5427" s="5" t="str">
        <f>'Lineal Mixto'!$C$384</f>
      </c>
      <c r="D5427" s="5" t="str">
        <f>MIN(INT(B5427*5),4)</f>
      </c>
      <c r="E5427" s="5" t="str">
        <f>MIN(INT(C5427*5),4)</f>
      </c>
      <c r="F5427" s="5" t="str">
        <f>D5427*5+E5427</f>
      </c>
    </row>
    <row r="5428">
      <c r="A5428" s="6">
        <v>380</v>
      </c>
      <c r="B5428" s="6" t="str">
        <f>'Lineal Mixto'!$C$384</f>
      </c>
      <c r="C5428" s="6" t="str">
        <f>'Lineal Mixto'!$C$385</f>
      </c>
      <c r="D5428" s="6" t="str">
        <f>MIN(INT(B5428*5),4)</f>
      </c>
      <c r="E5428" s="6" t="str">
        <f>MIN(INT(C5428*5),4)</f>
      </c>
      <c r="F5428" s="6" t="str">
        <f>D5428*5+E5428</f>
      </c>
    </row>
    <row r="5429">
      <c r="A5429" s="5">
        <v>381</v>
      </c>
      <c r="B5429" s="5" t="str">
        <f>'Lineal Mixto'!$C$385</f>
      </c>
      <c r="C5429" s="5" t="str">
        <f>'Lineal Mixto'!$C$386</f>
      </c>
      <c r="D5429" s="5" t="str">
        <f>MIN(INT(B5429*5),4)</f>
      </c>
      <c r="E5429" s="5" t="str">
        <f>MIN(INT(C5429*5),4)</f>
      </c>
      <c r="F5429" s="5" t="str">
        <f>D5429*5+E5429</f>
      </c>
    </row>
    <row r="5430">
      <c r="A5430" s="6">
        <v>382</v>
      </c>
      <c r="B5430" s="6" t="str">
        <f>'Lineal Mixto'!$C$386</f>
      </c>
      <c r="C5430" s="6" t="str">
        <f>'Lineal Mixto'!$C$387</f>
      </c>
      <c r="D5430" s="6" t="str">
        <f>MIN(INT(B5430*5),4)</f>
      </c>
      <c r="E5430" s="6" t="str">
        <f>MIN(INT(C5430*5),4)</f>
      </c>
      <c r="F5430" s="6" t="str">
        <f>D5430*5+E5430</f>
      </c>
    </row>
    <row r="5431">
      <c r="A5431" s="5">
        <v>383</v>
      </c>
      <c r="B5431" s="5" t="str">
        <f>'Lineal Mixto'!$C$387</f>
      </c>
      <c r="C5431" s="5" t="str">
        <f>'Lineal Mixto'!$C$388</f>
      </c>
      <c r="D5431" s="5" t="str">
        <f>MIN(INT(B5431*5),4)</f>
      </c>
      <c r="E5431" s="5" t="str">
        <f>MIN(INT(C5431*5),4)</f>
      </c>
      <c r="F5431" s="5" t="str">
        <f>D5431*5+E5431</f>
      </c>
    </row>
    <row r="5432">
      <c r="A5432" s="6">
        <v>384</v>
      </c>
      <c r="B5432" s="6" t="str">
        <f>'Lineal Mixto'!$C$388</f>
      </c>
      <c r="C5432" s="6" t="str">
        <f>'Lineal Mixto'!$C$389</f>
      </c>
      <c r="D5432" s="6" t="str">
        <f>MIN(INT(B5432*5),4)</f>
      </c>
      <c r="E5432" s="6" t="str">
        <f>MIN(INT(C5432*5),4)</f>
      </c>
      <c r="F5432" s="6" t="str">
        <f>D5432*5+E5432</f>
      </c>
    </row>
    <row r="5433">
      <c r="A5433" s="5">
        <v>385</v>
      </c>
      <c r="B5433" s="5" t="str">
        <f>'Lineal Mixto'!$C$389</f>
      </c>
      <c r="C5433" s="5" t="str">
        <f>'Lineal Mixto'!$C$390</f>
      </c>
      <c r="D5433" s="5" t="str">
        <f>MIN(INT(B5433*5),4)</f>
      </c>
      <c r="E5433" s="5" t="str">
        <f>MIN(INT(C5433*5),4)</f>
      </c>
      <c r="F5433" s="5" t="str">
        <f>D5433*5+E5433</f>
      </c>
    </row>
    <row r="5434">
      <c r="A5434" s="6">
        <v>386</v>
      </c>
      <c r="B5434" s="6" t="str">
        <f>'Lineal Mixto'!$C$390</f>
      </c>
      <c r="C5434" s="6" t="str">
        <f>'Lineal Mixto'!$C$391</f>
      </c>
      <c r="D5434" s="6" t="str">
        <f>MIN(INT(B5434*5),4)</f>
      </c>
      <c r="E5434" s="6" t="str">
        <f>MIN(INT(C5434*5),4)</f>
      </c>
      <c r="F5434" s="6" t="str">
        <f>D5434*5+E5434</f>
      </c>
    </row>
    <row r="5435">
      <c r="A5435" s="5">
        <v>387</v>
      </c>
      <c r="B5435" s="5" t="str">
        <f>'Lineal Mixto'!$C$391</f>
      </c>
      <c r="C5435" s="5" t="str">
        <f>'Lineal Mixto'!$C$392</f>
      </c>
      <c r="D5435" s="5" t="str">
        <f>MIN(INT(B5435*5),4)</f>
      </c>
      <c r="E5435" s="5" t="str">
        <f>MIN(INT(C5435*5),4)</f>
      </c>
      <c r="F5435" s="5" t="str">
        <f>D5435*5+E5435</f>
      </c>
    </row>
    <row r="5436">
      <c r="A5436" s="6">
        <v>388</v>
      </c>
      <c r="B5436" s="6" t="str">
        <f>'Lineal Mixto'!$C$392</f>
      </c>
      <c r="C5436" s="6" t="str">
        <f>'Lineal Mixto'!$C$393</f>
      </c>
      <c r="D5436" s="6" t="str">
        <f>MIN(INT(B5436*5),4)</f>
      </c>
      <c r="E5436" s="6" t="str">
        <f>MIN(INT(C5436*5),4)</f>
      </c>
      <c r="F5436" s="6" t="str">
        <f>D5436*5+E5436</f>
      </c>
    </row>
    <row r="5437">
      <c r="A5437" s="5">
        <v>389</v>
      </c>
      <c r="B5437" s="5" t="str">
        <f>'Lineal Mixto'!$C$393</f>
      </c>
      <c r="C5437" s="5" t="str">
        <f>'Lineal Mixto'!$C$394</f>
      </c>
      <c r="D5437" s="5" t="str">
        <f>MIN(INT(B5437*5),4)</f>
      </c>
      <c r="E5437" s="5" t="str">
        <f>MIN(INT(C5437*5),4)</f>
      </c>
      <c r="F5437" s="5" t="str">
        <f>D5437*5+E5437</f>
      </c>
    </row>
    <row r="5438">
      <c r="A5438" s="6">
        <v>390</v>
      </c>
      <c r="B5438" s="6" t="str">
        <f>'Lineal Mixto'!$C$394</f>
      </c>
      <c r="C5438" s="6" t="str">
        <f>'Lineal Mixto'!$C$395</f>
      </c>
      <c r="D5438" s="6" t="str">
        <f>MIN(INT(B5438*5),4)</f>
      </c>
      <c r="E5438" s="6" t="str">
        <f>MIN(INT(C5438*5),4)</f>
      </c>
      <c r="F5438" s="6" t="str">
        <f>D5438*5+E5438</f>
      </c>
    </row>
    <row r="5439">
      <c r="A5439" s="5">
        <v>391</v>
      </c>
      <c r="B5439" s="5" t="str">
        <f>'Lineal Mixto'!$C$395</f>
      </c>
      <c r="C5439" s="5" t="str">
        <f>'Lineal Mixto'!$C$396</f>
      </c>
      <c r="D5439" s="5" t="str">
        <f>MIN(INT(B5439*5),4)</f>
      </c>
      <c r="E5439" s="5" t="str">
        <f>MIN(INT(C5439*5),4)</f>
      </c>
      <c r="F5439" s="5" t="str">
        <f>D5439*5+E5439</f>
      </c>
    </row>
    <row r="5440">
      <c r="A5440" s="6">
        <v>392</v>
      </c>
      <c r="B5440" s="6" t="str">
        <f>'Lineal Mixto'!$C$396</f>
      </c>
      <c r="C5440" s="6" t="str">
        <f>'Lineal Mixto'!$C$397</f>
      </c>
      <c r="D5440" s="6" t="str">
        <f>MIN(INT(B5440*5),4)</f>
      </c>
      <c r="E5440" s="6" t="str">
        <f>MIN(INT(C5440*5),4)</f>
      </c>
      <c r="F5440" s="6" t="str">
        <f>D5440*5+E5440</f>
      </c>
    </row>
    <row r="5441">
      <c r="A5441" s="5">
        <v>393</v>
      </c>
      <c r="B5441" s="5" t="str">
        <f>'Lineal Mixto'!$C$397</f>
      </c>
      <c r="C5441" s="5" t="str">
        <f>'Lineal Mixto'!$C$398</f>
      </c>
      <c r="D5441" s="5" t="str">
        <f>MIN(INT(B5441*5),4)</f>
      </c>
      <c r="E5441" s="5" t="str">
        <f>MIN(INT(C5441*5),4)</f>
      </c>
      <c r="F5441" s="5" t="str">
        <f>D5441*5+E5441</f>
      </c>
    </row>
    <row r="5442">
      <c r="A5442" s="6">
        <v>394</v>
      </c>
      <c r="B5442" s="6" t="str">
        <f>'Lineal Mixto'!$C$398</f>
      </c>
      <c r="C5442" s="6" t="str">
        <f>'Lineal Mixto'!$C$399</f>
      </c>
      <c r="D5442" s="6" t="str">
        <f>MIN(INT(B5442*5),4)</f>
      </c>
      <c r="E5442" s="6" t="str">
        <f>MIN(INT(C5442*5),4)</f>
      </c>
      <c r="F5442" s="6" t="str">
        <f>D5442*5+E5442</f>
      </c>
    </row>
    <row r="5443">
      <c r="A5443" s="5">
        <v>395</v>
      </c>
      <c r="B5443" s="5" t="str">
        <f>'Lineal Mixto'!$C$399</f>
      </c>
      <c r="C5443" s="5" t="str">
        <f>'Lineal Mixto'!$C$400</f>
      </c>
      <c r="D5443" s="5" t="str">
        <f>MIN(INT(B5443*5),4)</f>
      </c>
      <c r="E5443" s="5" t="str">
        <f>MIN(INT(C5443*5),4)</f>
      </c>
      <c r="F5443" s="5" t="str">
        <f>D5443*5+E5443</f>
      </c>
    </row>
    <row r="5444">
      <c r="A5444" s="6">
        <v>396</v>
      </c>
      <c r="B5444" s="6" t="str">
        <f>'Lineal Mixto'!$C$400</f>
      </c>
      <c r="C5444" s="6" t="str">
        <f>'Lineal Mixto'!$C$401</f>
      </c>
      <c r="D5444" s="6" t="str">
        <f>MIN(INT(B5444*5),4)</f>
      </c>
      <c r="E5444" s="6" t="str">
        <f>MIN(INT(C5444*5),4)</f>
      </c>
      <c r="F5444" s="6" t="str">
        <f>D5444*5+E5444</f>
      </c>
    </row>
    <row r="5445">
      <c r="A5445" s="5">
        <v>397</v>
      </c>
      <c r="B5445" s="5" t="str">
        <f>'Lineal Mixto'!$C$401</f>
      </c>
      <c r="C5445" s="5" t="str">
        <f>'Lineal Mixto'!$C$402</f>
      </c>
      <c r="D5445" s="5" t="str">
        <f>MIN(INT(B5445*5),4)</f>
      </c>
      <c r="E5445" s="5" t="str">
        <f>MIN(INT(C5445*5),4)</f>
      </c>
      <c r="F5445" s="5" t="str">
        <f>D5445*5+E5445</f>
      </c>
    </row>
    <row r="5446">
      <c r="A5446" s="6">
        <v>398</v>
      </c>
      <c r="B5446" s="6" t="str">
        <f>'Lineal Mixto'!$C$402</f>
      </c>
      <c r="C5446" s="6" t="str">
        <f>'Lineal Mixto'!$C$403</f>
      </c>
      <c r="D5446" s="6" t="str">
        <f>MIN(INT(B5446*5),4)</f>
      </c>
      <c r="E5446" s="6" t="str">
        <f>MIN(INT(C5446*5),4)</f>
      </c>
      <c r="F5446" s="6" t="str">
        <f>D5446*5+E5446</f>
      </c>
    </row>
    <row r="5447">
      <c r="A5447" s="5">
        <v>399</v>
      </c>
      <c r="B5447" s="5" t="str">
        <f>'Lineal Mixto'!$C$403</f>
      </c>
      <c r="C5447" s="5" t="str">
        <f>'Lineal Mixto'!$C$404</f>
      </c>
      <c r="D5447" s="5" t="str">
        <f>MIN(INT(B5447*5),4)</f>
      </c>
      <c r="E5447" s="5" t="str">
        <f>MIN(INT(C5447*5),4)</f>
      </c>
      <c r="F5447" s="5" t="str">
        <f>D5447*5+E5447</f>
      </c>
    </row>
    <row r="5448">
      <c r="A5448" s="6">
        <v>400</v>
      </c>
      <c r="B5448" s="6" t="str">
        <f>'Lineal Mixto'!$C$404</f>
      </c>
      <c r="C5448" s="6" t="str">
        <f>'Lineal Mixto'!$C$405</f>
      </c>
      <c r="D5448" s="6" t="str">
        <f>MIN(INT(B5448*5),4)</f>
      </c>
      <c r="E5448" s="6" t="str">
        <f>MIN(INT(C5448*5),4)</f>
      </c>
      <c r="F5448" s="6" t="str">
        <f>D5448*5+E5448</f>
      </c>
    </row>
    <row r="5449">
      <c r="A5449" s="5">
        <v>401</v>
      </c>
      <c r="B5449" s="5" t="str">
        <f>'Lineal Mixto'!$C$405</f>
      </c>
      <c r="C5449" s="5" t="str">
        <f>'Lineal Mixto'!$C$406</f>
      </c>
      <c r="D5449" s="5" t="str">
        <f>MIN(INT(B5449*5),4)</f>
      </c>
      <c r="E5449" s="5" t="str">
        <f>MIN(INT(C5449*5),4)</f>
      </c>
      <c r="F5449" s="5" t="str">
        <f>D5449*5+E5449</f>
      </c>
    </row>
    <row r="5450">
      <c r="A5450" s="6">
        <v>402</v>
      </c>
      <c r="B5450" s="6" t="str">
        <f>'Lineal Mixto'!$C$406</f>
      </c>
      <c r="C5450" s="6" t="str">
        <f>'Lineal Mixto'!$C$407</f>
      </c>
      <c r="D5450" s="6" t="str">
        <f>MIN(INT(B5450*5),4)</f>
      </c>
      <c r="E5450" s="6" t="str">
        <f>MIN(INT(C5450*5),4)</f>
      </c>
      <c r="F5450" s="6" t="str">
        <f>D5450*5+E5450</f>
      </c>
    </row>
    <row r="5451">
      <c r="A5451" s="5">
        <v>403</v>
      </c>
      <c r="B5451" s="5" t="str">
        <f>'Lineal Mixto'!$C$407</f>
      </c>
      <c r="C5451" s="5" t="str">
        <f>'Lineal Mixto'!$C$408</f>
      </c>
      <c r="D5451" s="5" t="str">
        <f>MIN(INT(B5451*5),4)</f>
      </c>
      <c r="E5451" s="5" t="str">
        <f>MIN(INT(C5451*5),4)</f>
      </c>
      <c r="F5451" s="5" t="str">
        <f>D5451*5+E5451</f>
      </c>
    </row>
    <row r="5452">
      <c r="A5452" s="6">
        <v>404</v>
      </c>
      <c r="B5452" s="6" t="str">
        <f>'Lineal Mixto'!$C$408</f>
      </c>
      <c r="C5452" s="6" t="str">
        <f>'Lineal Mixto'!$C$409</f>
      </c>
      <c r="D5452" s="6" t="str">
        <f>MIN(INT(B5452*5),4)</f>
      </c>
      <c r="E5452" s="6" t="str">
        <f>MIN(INT(C5452*5),4)</f>
      </c>
      <c r="F5452" s="6" t="str">
        <f>D5452*5+E5452</f>
      </c>
    </row>
    <row r="5453">
      <c r="A5453" s="5">
        <v>405</v>
      </c>
      <c r="B5453" s="5" t="str">
        <f>'Lineal Mixto'!$C$409</f>
      </c>
      <c r="C5453" s="5" t="str">
        <f>'Lineal Mixto'!$C$410</f>
      </c>
      <c r="D5453" s="5" t="str">
        <f>MIN(INT(B5453*5),4)</f>
      </c>
      <c r="E5453" s="5" t="str">
        <f>MIN(INT(C5453*5),4)</f>
      </c>
      <c r="F5453" s="5" t="str">
        <f>D5453*5+E5453</f>
      </c>
    </row>
    <row r="5454">
      <c r="A5454" s="6">
        <v>406</v>
      </c>
      <c r="B5454" s="6" t="str">
        <f>'Lineal Mixto'!$C$410</f>
      </c>
      <c r="C5454" s="6" t="str">
        <f>'Lineal Mixto'!$C$411</f>
      </c>
      <c r="D5454" s="6" t="str">
        <f>MIN(INT(B5454*5),4)</f>
      </c>
      <c r="E5454" s="6" t="str">
        <f>MIN(INT(C5454*5),4)</f>
      </c>
      <c r="F5454" s="6" t="str">
        <f>D5454*5+E5454</f>
      </c>
    </row>
    <row r="5455">
      <c r="A5455" s="5">
        <v>407</v>
      </c>
      <c r="B5455" s="5" t="str">
        <f>'Lineal Mixto'!$C$411</f>
      </c>
      <c r="C5455" s="5" t="str">
        <f>'Lineal Mixto'!$C$412</f>
      </c>
      <c r="D5455" s="5" t="str">
        <f>MIN(INT(B5455*5),4)</f>
      </c>
      <c r="E5455" s="5" t="str">
        <f>MIN(INT(C5455*5),4)</f>
      </c>
      <c r="F5455" s="5" t="str">
        <f>D5455*5+E5455</f>
      </c>
    </row>
    <row r="5456">
      <c r="A5456" s="6">
        <v>408</v>
      </c>
      <c r="B5456" s="6" t="str">
        <f>'Lineal Mixto'!$C$412</f>
      </c>
      <c r="C5456" s="6" t="str">
        <f>'Lineal Mixto'!$C$413</f>
      </c>
      <c r="D5456" s="6" t="str">
        <f>MIN(INT(B5456*5),4)</f>
      </c>
      <c r="E5456" s="6" t="str">
        <f>MIN(INT(C5456*5),4)</f>
      </c>
      <c r="F5456" s="6" t="str">
        <f>D5456*5+E5456</f>
      </c>
    </row>
    <row r="5457">
      <c r="A5457" s="5">
        <v>409</v>
      </c>
      <c r="B5457" s="5" t="str">
        <f>'Lineal Mixto'!$C$413</f>
      </c>
      <c r="C5457" s="5" t="str">
        <f>'Lineal Mixto'!$C$414</f>
      </c>
      <c r="D5457" s="5" t="str">
        <f>MIN(INT(B5457*5),4)</f>
      </c>
      <c r="E5457" s="5" t="str">
        <f>MIN(INT(C5457*5),4)</f>
      </c>
      <c r="F5457" s="5" t="str">
        <f>D5457*5+E5457</f>
      </c>
    </row>
    <row r="5458">
      <c r="A5458" s="6">
        <v>410</v>
      </c>
      <c r="B5458" s="6" t="str">
        <f>'Lineal Mixto'!$C$414</f>
      </c>
      <c r="C5458" s="6" t="str">
        <f>'Lineal Mixto'!$C$415</f>
      </c>
      <c r="D5458" s="6" t="str">
        <f>MIN(INT(B5458*5),4)</f>
      </c>
      <c r="E5458" s="6" t="str">
        <f>MIN(INT(C5458*5),4)</f>
      </c>
      <c r="F5458" s="6" t="str">
        <f>D5458*5+E5458</f>
      </c>
    </row>
    <row r="5459">
      <c r="A5459" s="5">
        <v>411</v>
      </c>
      <c r="B5459" s="5" t="str">
        <f>'Lineal Mixto'!$C$415</f>
      </c>
      <c r="C5459" s="5" t="str">
        <f>'Lineal Mixto'!$C$416</f>
      </c>
      <c r="D5459" s="5" t="str">
        <f>MIN(INT(B5459*5),4)</f>
      </c>
      <c r="E5459" s="5" t="str">
        <f>MIN(INT(C5459*5),4)</f>
      </c>
      <c r="F5459" s="5" t="str">
        <f>D5459*5+E5459</f>
      </c>
    </row>
    <row r="5460">
      <c r="A5460" s="6">
        <v>412</v>
      </c>
      <c r="B5460" s="6" t="str">
        <f>'Lineal Mixto'!$C$416</f>
      </c>
      <c r="C5460" s="6" t="str">
        <f>'Lineal Mixto'!$C$417</f>
      </c>
      <c r="D5460" s="6" t="str">
        <f>MIN(INT(B5460*5),4)</f>
      </c>
      <c r="E5460" s="6" t="str">
        <f>MIN(INT(C5460*5),4)</f>
      </c>
      <c r="F5460" s="6" t="str">
        <f>D5460*5+E5460</f>
      </c>
    </row>
    <row r="5461">
      <c r="A5461" s="5">
        <v>413</v>
      </c>
      <c r="B5461" s="5" t="str">
        <f>'Lineal Mixto'!$C$417</f>
      </c>
      <c r="C5461" s="5" t="str">
        <f>'Lineal Mixto'!$C$418</f>
      </c>
      <c r="D5461" s="5" t="str">
        <f>MIN(INT(B5461*5),4)</f>
      </c>
      <c r="E5461" s="5" t="str">
        <f>MIN(INT(C5461*5),4)</f>
      </c>
      <c r="F5461" s="5" t="str">
        <f>D5461*5+E5461</f>
      </c>
    </row>
    <row r="5462">
      <c r="A5462" s="6">
        <v>414</v>
      </c>
      <c r="B5462" s="6" t="str">
        <f>'Lineal Mixto'!$C$418</f>
      </c>
      <c r="C5462" s="6" t="str">
        <f>'Lineal Mixto'!$C$419</f>
      </c>
      <c r="D5462" s="6" t="str">
        <f>MIN(INT(B5462*5),4)</f>
      </c>
      <c r="E5462" s="6" t="str">
        <f>MIN(INT(C5462*5),4)</f>
      </c>
      <c r="F5462" s="6" t="str">
        <f>D5462*5+E5462</f>
      </c>
    </row>
    <row r="5463">
      <c r="A5463" s="5">
        <v>415</v>
      </c>
      <c r="B5463" s="5" t="str">
        <f>'Lineal Mixto'!$C$419</f>
      </c>
      <c r="C5463" s="5" t="str">
        <f>'Lineal Mixto'!$C$420</f>
      </c>
      <c r="D5463" s="5" t="str">
        <f>MIN(INT(B5463*5),4)</f>
      </c>
      <c r="E5463" s="5" t="str">
        <f>MIN(INT(C5463*5),4)</f>
      </c>
      <c r="F5463" s="5" t="str">
        <f>D5463*5+E5463</f>
      </c>
    </row>
    <row r="5464">
      <c r="A5464" s="6">
        <v>416</v>
      </c>
      <c r="B5464" s="6" t="str">
        <f>'Lineal Mixto'!$C$420</f>
      </c>
      <c r="C5464" s="6" t="str">
        <f>'Lineal Mixto'!$C$421</f>
      </c>
      <c r="D5464" s="6" t="str">
        <f>MIN(INT(B5464*5),4)</f>
      </c>
      <c r="E5464" s="6" t="str">
        <f>MIN(INT(C5464*5),4)</f>
      </c>
      <c r="F5464" s="6" t="str">
        <f>D5464*5+E5464</f>
      </c>
    </row>
    <row r="5465">
      <c r="A5465" s="5">
        <v>417</v>
      </c>
      <c r="B5465" s="5" t="str">
        <f>'Lineal Mixto'!$C$421</f>
      </c>
      <c r="C5465" s="5" t="str">
        <f>'Lineal Mixto'!$C$422</f>
      </c>
      <c r="D5465" s="5" t="str">
        <f>MIN(INT(B5465*5),4)</f>
      </c>
      <c r="E5465" s="5" t="str">
        <f>MIN(INT(C5465*5),4)</f>
      </c>
      <c r="F5465" s="5" t="str">
        <f>D5465*5+E5465</f>
      </c>
    </row>
    <row r="5466">
      <c r="A5466" s="6">
        <v>418</v>
      </c>
      <c r="B5466" s="6" t="str">
        <f>'Lineal Mixto'!$C$422</f>
      </c>
      <c r="C5466" s="6" t="str">
        <f>'Lineal Mixto'!$C$423</f>
      </c>
      <c r="D5466" s="6" t="str">
        <f>MIN(INT(B5466*5),4)</f>
      </c>
      <c r="E5466" s="6" t="str">
        <f>MIN(INT(C5466*5),4)</f>
      </c>
      <c r="F5466" s="6" t="str">
        <f>D5466*5+E5466</f>
      </c>
    </row>
    <row r="5467">
      <c r="A5467" s="5">
        <v>419</v>
      </c>
      <c r="B5467" s="5" t="str">
        <f>'Lineal Mixto'!$C$423</f>
      </c>
      <c r="C5467" s="5" t="str">
        <f>'Lineal Mixto'!$C$424</f>
      </c>
      <c r="D5467" s="5" t="str">
        <f>MIN(INT(B5467*5),4)</f>
      </c>
      <c r="E5467" s="5" t="str">
        <f>MIN(INT(C5467*5),4)</f>
      </c>
      <c r="F5467" s="5" t="str">
        <f>D5467*5+E5467</f>
      </c>
    </row>
    <row r="5468">
      <c r="A5468" s="6">
        <v>420</v>
      </c>
      <c r="B5468" s="6" t="str">
        <f>'Lineal Mixto'!$C$424</f>
      </c>
      <c r="C5468" s="6" t="str">
        <f>'Lineal Mixto'!$C$425</f>
      </c>
      <c r="D5468" s="6" t="str">
        <f>MIN(INT(B5468*5),4)</f>
      </c>
      <c r="E5468" s="6" t="str">
        <f>MIN(INT(C5468*5),4)</f>
      </c>
      <c r="F5468" s="6" t="str">
        <f>D5468*5+E5468</f>
      </c>
    </row>
    <row r="5469">
      <c r="A5469" s="5">
        <v>421</v>
      </c>
      <c r="B5469" s="5" t="str">
        <f>'Lineal Mixto'!$C$425</f>
      </c>
      <c r="C5469" s="5" t="str">
        <f>'Lineal Mixto'!$C$426</f>
      </c>
      <c r="D5469" s="5" t="str">
        <f>MIN(INT(B5469*5),4)</f>
      </c>
      <c r="E5469" s="5" t="str">
        <f>MIN(INT(C5469*5),4)</f>
      </c>
      <c r="F5469" s="5" t="str">
        <f>D5469*5+E5469</f>
      </c>
    </row>
    <row r="5470">
      <c r="A5470" s="6">
        <v>422</v>
      </c>
      <c r="B5470" s="6" t="str">
        <f>'Lineal Mixto'!$C$426</f>
      </c>
      <c r="C5470" s="6" t="str">
        <f>'Lineal Mixto'!$C$427</f>
      </c>
      <c r="D5470" s="6" t="str">
        <f>MIN(INT(B5470*5),4)</f>
      </c>
      <c r="E5470" s="6" t="str">
        <f>MIN(INT(C5470*5),4)</f>
      </c>
      <c r="F5470" s="6" t="str">
        <f>D5470*5+E5470</f>
      </c>
    </row>
    <row r="5471">
      <c r="A5471" s="5">
        <v>423</v>
      </c>
      <c r="B5471" s="5" t="str">
        <f>'Lineal Mixto'!$C$427</f>
      </c>
      <c r="C5471" s="5" t="str">
        <f>'Lineal Mixto'!$C$428</f>
      </c>
      <c r="D5471" s="5" t="str">
        <f>MIN(INT(B5471*5),4)</f>
      </c>
      <c r="E5471" s="5" t="str">
        <f>MIN(INT(C5471*5),4)</f>
      </c>
      <c r="F5471" s="5" t="str">
        <f>D5471*5+E5471</f>
      </c>
    </row>
    <row r="5472">
      <c r="A5472" s="6">
        <v>424</v>
      </c>
      <c r="B5472" s="6" t="str">
        <f>'Lineal Mixto'!$C$428</f>
      </c>
      <c r="C5472" s="6" t="str">
        <f>'Lineal Mixto'!$C$429</f>
      </c>
      <c r="D5472" s="6" t="str">
        <f>MIN(INT(B5472*5),4)</f>
      </c>
      <c r="E5472" s="6" t="str">
        <f>MIN(INT(C5472*5),4)</f>
      </c>
      <c r="F5472" s="6" t="str">
        <f>D5472*5+E5472</f>
      </c>
    </row>
    <row r="5473">
      <c r="A5473" s="5">
        <v>425</v>
      </c>
      <c r="B5473" s="5" t="str">
        <f>'Lineal Mixto'!$C$429</f>
      </c>
      <c r="C5473" s="5" t="str">
        <f>'Lineal Mixto'!$C$430</f>
      </c>
      <c r="D5473" s="5" t="str">
        <f>MIN(INT(B5473*5),4)</f>
      </c>
      <c r="E5473" s="5" t="str">
        <f>MIN(INT(C5473*5),4)</f>
      </c>
      <c r="F5473" s="5" t="str">
        <f>D5473*5+E5473</f>
      </c>
    </row>
    <row r="5474">
      <c r="A5474" s="6">
        <v>426</v>
      </c>
      <c r="B5474" s="6" t="str">
        <f>'Lineal Mixto'!$C$430</f>
      </c>
      <c r="C5474" s="6" t="str">
        <f>'Lineal Mixto'!$C$431</f>
      </c>
      <c r="D5474" s="6" t="str">
        <f>MIN(INT(B5474*5),4)</f>
      </c>
      <c r="E5474" s="6" t="str">
        <f>MIN(INT(C5474*5),4)</f>
      </c>
      <c r="F5474" s="6" t="str">
        <f>D5474*5+E5474</f>
      </c>
    </row>
    <row r="5475">
      <c r="A5475" s="5">
        <v>427</v>
      </c>
      <c r="B5475" s="5" t="str">
        <f>'Lineal Mixto'!$C$431</f>
      </c>
      <c r="C5475" s="5" t="str">
        <f>'Lineal Mixto'!$C$432</f>
      </c>
      <c r="D5475" s="5" t="str">
        <f>MIN(INT(B5475*5),4)</f>
      </c>
      <c r="E5475" s="5" t="str">
        <f>MIN(INT(C5475*5),4)</f>
      </c>
      <c r="F5475" s="5" t="str">
        <f>D5475*5+E5475</f>
      </c>
    </row>
    <row r="5476">
      <c r="A5476" s="6">
        <v>428</v>
      </c>
      <c r="B5476" s="6" t="str">
        <f>'Lineal Mixto'!$C$432</f>
      </c>
      <c r="C5476" s="6" t="str">
        <f>'Lineal Mixto'!$C$433</f>
      </c>
      <c r="D5476" s="6" t="str">
        <f>MIN(INT(B5476*5),4)</f>
      </c>
      <c r="E5476" s="6" t="str">
        <f>MIN(INT(C5476*5),4)</f>
      </c>
      <c r="F5476" s="6" t="str">
        <f>D5476*5+E5476</f>
      </c>
    </row>
    <row r="5477">
      <c r="A5477" s="5">
        <v>429</v>
      </c>
      <c r="B5477" s="5" t="str">
        <f>'Lineal Mixto'!$C$433</f>
      </c>
      <c r="C5477" s="5" t="str">
        <f>'Lineal Mixto'!$C$434</f>
      </c>
      <c r="D5477" s="5" t="str">
        <f>MIN(INT(B5477*5),4)</f>
      </c>
      <c r="E5477" s="5" t="str">
        <f>MIN(INT(C5477*5),4)</f>
      </c>
      <c r="F5477" s="5" t="str">
        <f>D5477*5+E5477</f>
      </c>
    </row>
    <row r="5478">
      <c r="A5478" s="6">
        <v>430</v>
      </c>
      <c r="B5478" s="6" t="str">
        <f>'Lineal Mixto'!$C$434</f>
      </c>
      <c r="C5478" s="6" t="str">
        <f>'Lineal Mixto'!$C$435</f>
      </c>
      <c r="D5478" s="6" t="str">
        <f>MIN(INT(B5478*5),4)</f>
      </c>
      <c r="E5478" s="6" t="str">
        <f>MIN(INT(C5478*5),4)</f>
      </c>
      <c r="F5478" s="6" t="str">
        <f>D5478*5+E5478</f>
      </c>
    </row>
    <row r="5479">
      <c r="A5479" s="5">
        <v>431</v>
      </c>
      <c r="B5479" s="5" t="str">
        <f>'Lineal Mixto'!$C$435</f>
      </c>
      <c r="C5479" s="5" t="str">
        <f>'Lineal Mixto'!$C$436</f>
      </c>
      <c r="D5479" s="5" t="str">
        <f>MIN(INT(B5479*5),4)</f>
      </c>
      <c r="E5479" s="5" t="str">
        <f>MIN(INT(C5479*5),4)</f>
      </c>
      <c r="F5479" s="5" t="str">
        <f>D5479*5+E5479</f>
      </c>
    </row>
    <row r="5480">
      <c r="A5480" s="6">
        <v>432</v>
      </c>
      <c r="B5480" s="6" t="str">
        <f>'Lineal Mixto'!$C$436</f>
      </c>
      <c r="C5480" s="6" t="str">
        <f>'Lineal Mixto'!$C$437</f>
      </c>
      <c r="D5480" s="6" t="str">
        <f>MIN(INT(B5480*5),4)</f>
      </c>
      <c r="E5480" s="6" t="str">
        <f>MIN(INT(C5480*5),4)</f>
      </c>
      <c r="F5480" s="6" t="str">
        <f>D5480*5+E5480</f>
      </c>
    </row>
    <row r="5481">
      <c r="A5481" s="5">
        <v>433</v>
      </c>
      <c r="B5481" s="5" t="str">
        <f>'Lineal Mixto'!$C$437</f>
      </c>
      <c r="C5481" s="5" t="str">
        <f>'Lineal Mixto'!$C$438</f>
      </c>
      <c r="D5481" s="5" t="str">
        <f>MIN(INT(B5481*5),4)</f>
      </c>
      <c r="E5481" s="5" t="str">
        <f>MIN(INT(C5481*5),4)</f>
      </c>
      <c r="F5481" s="5" t="str">
        <f>D5481*5+E5481</f>
      </c>
    </row>
    <row r="5482">
      <c r="A5482" s="6">
        <v>434</v>
      </c>
      <c r="B5482" s="6" t="str">
        <f>'Lineal Mixto'!$C$438</f>
      </c>
      <c r="C5482" s="6" t="str">
        <f>'Lineal Mixto'!$C$439</f>
      </c>
      <c r="D5482" s="6" t="str">
        <f>MIN(INT(B5482*5),4)</f>
      </c>
      <c r="E5482" s="6" t="str">
        <f>MIN(INT(C5482*5),4)</f>
      </c>
      <c r="F5482" s="6" t="str">
        <f>D5482*5+E5482</f>
      </c>
    </row>
    <row r="5483">
      <c r="A5483" s="5">
        <v>435</v>
      </c>
      <c r="B5483" s="5" t="str">
        <f>'Lineal Mixto'!$C$439</f>
      </c>
      <c r="C5483" s="5" t="str">
        <f>'Lineal Mixto'!$C$440</f>
      </c>
      <c r="D5483" s="5" t="str">
        <f>MIN(INT(B5483*5),4)</f>
      </c>
      <c r="E5483" s="5" t="str">
        <f>MIN(INT(C5483*5),4)</f>
      </c>
      <c r="F5483" s="5" t="str">
        <f>D5483*5+E5483</f>
      </c>
    </row>
    <row r="5484">
      <c r="A5484" s="6">
        <v>436</v>
      </c>
      <c r="B5484" s="6" t="str">
        <f>'Lineal Mixto'!$C$440</f>
      </c>
      <c r="C5484" s="6" t="str">
        <f>'Lineal Mixto'!$C$441</f>
      </c>
      <c r="D5484" s="6" t="str">
        <f>MIN(INT(B5484*5),4)</f>
      </c>
      <c r="E5484" s="6" t="str">
        <f>MIN(INT(C5484*5),4)</f>
      </c>
      <c r="F5484" s="6" t="str">
        <f>D5484*5+E5484</f>
      </c>
    </row>
    <row r="5485">
      <c r="A5485" s="5">
        <v>437</v>
      </c>
      <c r="B5485" s="5" t="str">
        <f>'Lineal Mixto'!$C$441</f>
      </c>
      <c r="C5485" s="5" t="str">
        <f>'Lineal Mixto'!$C$442</f>
      </c>
      <c r="D5485" s="5" t="str">
        <f>MIN(INT(B5485*5),4)</f>
      </c>
      <c r="E5485" s="5" t="str">
        <f>MIN(INT(C5485*5),4)</f>
      </c>
      <c r="F5485" s="5" t="str">
        <f>D5485*5+E5485</f>
      </c>
    </row>
    <row r="5486">
      <c r="A5486" s="6">
        <v>438</v>
      </c>
      <c r="B5486" s="6" t="str">
        <f>'Lineal Mixto'!$C$442</f>
      </c>
      <c r="C5486" s="6" t="str">
        <f>'Lineal Mixto'!$C$443</f>
      </c>
      <c r="D5486" s="6" t="str">
        <f>MIN(INT(B5486*5),4)</f>
      </c>
      <c r="E5486" s="6" t="str">
        <f>MIN(INT(C5486*5),4)</f>
      </c>
      <c r="F5486" s="6" t="str">
        <f>D5486*5+E5486</f>
      </c>
    </row>
    <row r="5487">
      <c r="A5487" s="5">
        <v>439</v>
      </c>
      <c r="B5487" s="5" t="str">
        <f>'Lineal Mixto'!$C$443</f>
      </c>
      <c r="C5487" s="5" t="str">
        <f>'Lineal Mixto'!$C$444</f>
      </c>
      <c r="D5487" s="5" t="str">
        <f>MIN(INT(B5487*5),4)</f>
      </c>
      <c r="E5487" s="5" t="str">
        <f>MIN(INT(C5487*5),4)</f>
      </c>
      <c r="F5487" s="5" t="str">
        <f>D5487*5+E5487</f>
      </c>
    </row>
    <row r="5488">
      <c r="A5488" s="6">
        <v>440</v>
      </c>
      <c r="B5488" s="6" t="str">
        <f>'Lineal Mixto'!$C$444</f>
      </c>
      <c r="C5488" s="6" t="str">
        <f>'Lineal Mixto'!$C$445</f>
      </c>
      <c r="D5488" s="6" t="str">
        <f>MIN(INT(B5488*5),4)</f>
      </c>
      <c r="E5488" s="6" t="str">
        <f>MIN(INT(C5488*5),4)</f>
      </c>
      <c r="F5488" s="6" t="str">
        <f>D5488*5+E5488</f>
      </c>
    </row>
    <row r="5489">
      <c r="A5489" s="5">
        <v>441</v>
      </c>
      <c r="B5489" s="5" t="str">
        <f>'Lineal Mixto'!$C$445</f>
      </c>
      <c r="C5489" s="5" t="str">
        <f>'Lineal Mixto'!$C$446</f>
      </c>
      <c r="D5489" s="5" t="str">
        <f>MIN(INT(B5489*5),4)</f>
      </c>
      <c r="E5489" s="5" t="str">
        <f>MIN(INT(C5489*5),4)</f>
      </c>
      <c r="F5489" s="5" t="str">
        <f>D5489*5+E5489</f>
      </c>
    </row>
    <row r="5490">
      <c r="A5490" s="6">
        <v>442</v>
      </c>
      <c r="B5490" s="6" t="str">
        <f>'Lineal Mixto'!$C$446</f>
      </c>
      <c r="C5490" s="6" t="str">
        <f>'Lineal Mixto'!$C$447</f>
      </c>
      <c r="D5490" s="6" t="str">
        <f>MIN(INT(B5490*5),4)</f>
      </c>
      <c r="E5490" s="6" t="str">
        <f>MIN(INT(C5490*5),4)</f>
      </c>
      <c r="F5490" s="6" t="str">
        <f>D5490*5+E5490</f>
      </c>
    </row>
    <row r="5491">
      <c r="A5491" s="5">
        <v>443</v>
      </c>
      <c r="B5491" s="5" t="str">
        <f>'Lineal Mixto'!$C$447</f>
      </c>
      <c r="C5491" s="5" t="str">
        <f>'Lineal Mixto'!$C$448</f>
      </c>
      <c r="D5491" s="5" t="str">
        <f>MIN(INT(B5491*5),4)</f>
      </c>
      <c r="E5491" s="5" t="str">
        <f>MIN(INT(C5491*5),4)</f>
      </c>
      <c r="F5491" s="5" t="str">
        <f>D5491*5+E5491</f>
      </c>
    </row>
    <row r="5492">
      <c r="A5492" s="6">
        <v>444</v>
      </c>
      <c r="B5492" s="6" t="str">
        <f>'Lineal Mixto'!$C$448</f>
      </c>
      <c r="C5492" s="6" t="str">
        <f>'Lineal Mixto'!$C$449</f>
      </c>
      <c r="D5492" s="6" t="str">
        <f>MIN(INT(B5492*5),4)</f>
      </c>
      <c r="E5492" s="6" t="str">
        <f>MIN(INT(C5492*5),4)</f>
      </c>
      <c r="F5492" s="6" t="str">
        <f>D5492*5+E5492</f>
      </c>
    </row>
    <row r="5493">
      <c r="A5493" s="5">
        <v>445</v>
      </c>
      <c r="B5493" s="5" t="str">
        <f>'Lineal Mixto'!$C$449</f>
      </c>
      <c r="C5493" s="5" t="str">
        <f>'Lineal Mixto'!$C$450</f>
      </c>
      <c r="D5493" s="5" t="str">
        <f>MIN(INT(B5493*5),4)</f>
      </c>
      <c r="E5493" s="5" t="str">
        <f>MIN(INT(C5493*5),4)</f>
      </c>
      <c r="F5493" s="5" t="str">
        <f>D5493*5+E5493</f>
      </c>
    </row>
    <row r="5494">
      <c r="A5494" s="6">
        <v>446</v>
      </c>
      <c r="B5494" s="6" t="str">
        <f>'Lineal Mixto'!$C$450</f>
      </c>
      <c r="C5494" s="6" t="str">
        <f>'Lineal Mixto'!$C$451</f>
      </c>
      <c r="D5494" s="6" t="str">
        <f>MIN(INT(B5494*5),4)</f>
      </c>
      <c r="E5494" s="6" t="str">
        <f>MIN(INT(C5494*5),4)</f>
      </c>
      <c r="F5494" s="6" t="str">
        <f>D5494*5+E5494</f>
      </c>
    </row>
    <row r="5495">
      <c r="A5495" s="5">
        <v>447</v>
      </c>
      <c r="B5495" s="5" t="str">
        <f>'Lineal Mixto'!$C$451</f>
      </c>
      <c r="C5495" s="5" t="str">
        <f>'Lineal Mixto'!$C$452</f>
      </c>
      <c r="D5495" s="5" t="str">
        <f>MIN(INT(B5495*5),4)</f>
      </c>
      <c r="E5495" s="5" t="str">
        <f>MIN(INT(C5495*5),4)</f>
      </c>
      <c r="F5495" s="5" t="str">
        <f>D5495*5+E5495</f>
      </c>
    </row>
    <row r="5496">
      <c r="A5496" s="6">
        <v>448</v>
      </c>
      <c r="B5496" s="6" t="str">
        <f>'Lineal Mixto'!$C$452</f>
      </c>
      <c r="C5496" s="6" t="str">
        <f>'Lineal Mixto'!$C$453</f>
      </c>
      <c r="D5496" s="6" t="str">
        <f>MIN(INT(B5496*5),4)</f>
      </c>
      <c r="E5496" s="6" t="str">
        <f>MIN(INT(C5496*5),4)</f>
      </c>
      <c r="F5496" s="6" t="str">
        <f>D5496*5+E5496</f>
      </c>
    </row>
    <row r="5497">
      <c r="A5497" s="5">
        <v>449</v>
      </c>
      <c r="B5497" s="5" t="str">
        <f>'Lineal Mixto'!$C$453</f>
      </c>
      <c r="C5497" s="5" t="str">
        <f>'Lineal Mixto'!$C$454</f>
      </c>
      <c r="D5497" s="5" t="str">
        <f>MIN(INT(B5497*5),4)</f>
      </c>
      <c r="E5497" s="5" t="str">
        <f>MIN(INT(C5497*5),4)</f>
      </c>
      <c r="F5497" s="5" t="str">
        <f>D5497*5+E5497</f>
      </c>
    </row>
    <row r="5498">
      <c r="A5498" s="6">
        <v>450</v>
      </c>
      <c r="B5498" s="6" t="str">
        <f>'Lineal Mixto'!$C$454</f>
      </c>
      <c r="C5498" s="6" t="str">
        <f>'Lineal Mixto'!$C$455</f>
      </c>
      <c r="D5498" s="6" t="str">
        <f>MIN(INT(B5498*5),4)</f>
      </c>
      <c r="E5498" s="6" t="str">
        <f>MIN(INT(C5498*5),4)</f>
      </c>
      <c r="F5498" s="6" t="str">
        <f>D5498*5+E5498</f>
      </c>
    </row>
    <row r="5499">
      <c r="A5499" s="5">
        <v>451</v>
      </c>
      <c r="B5499" s="5" t="str">
        <f>'Lineal Mixto'!$C$455</f>
      </c>
      <c r="C5499" s="5" t="str">
        <f>'Lineal Mixto'!$C$456</f>
      </c>
      <c r="D5499" s="5" t="str">
        <f>MIN(INT(B5499*5),4)</f>
      </c>
      <c r="E5499" s="5" t="str">
        <f>MIN(INT(C5499*5),4)</f>
      </c>
      <c r="F5499" s="5" t="str">
        <f>D5499*5+E5499</f>
      </c>
    </row>
    <row r="5500">
      <c r="A5500" s="6">
        <v>452</v>
      </c>
      <c r="B5500" s="6" t="str">
        <f>'Lineal Mixto'!$C$456</f>
      </c>
      <c r="C5500" s="6" t="str">
        <f>'Lineal Mixto'!$C$457</f>
      </c>
      <c r="D5500" s="6" t="str">
        <f>MIN(INT(B5500*5),4)</f>
      </c>
      <c r="E5500" s="6" t="str">
        <f>MIN(INT(C5500*5),4)</f>
      </c>
      <c r="F5500" s="6" t="str">
        <f>D5500*5+E5500</f>
      </c>
    </row>
    <row r="5501">
      <c r="A5501" s="5">
        <v>453</v>
      </c>
      <c r="B5501" s="5" t="str">
        <f>'Lineal Mixto'!$C$457</f>
      </c>
      <c r="C5501" s="5" t="str">
        <f>'Lineal Mixto'!$C$458</f>
      </c>
      <c r="D5501" s="5" t="str">
        <f>MIN(INT(B5501*5),4)</f>
      </c>
      <c r="E5501" s="5" t="str">
        <f>MIN(INT(C5501*5),4)</f>
      </c>
      <c r="F5501" s="5" t="str">
        <f>D5501*5+E5501</f>
      </c>
    </row>
    <row r="5502">
      <c r="A5502" s="6">
        <v>454</v>
      </c>
      <c r="B5502" s="6" t="str">
        <f>'Lineal Mixto'!$C$458</f>
      </c>
      <c r="C5502" s="6" t="str">
        <f>'Lineal Mixto'!$C$459</f>
      </c>
      <c r="D5502" s="6" t="str">
        <f>MIN(INT(B5502*5),4)</f>
      </c>
      <c r="E5502" s="6" t="str">
        <f>MIN(INT(C5502*5),4)</f>
      </c>
      <c r="F5502" s="6" t="str">
        <f>D5502*5+E5502</f>
      </c>
    </row>
    <row r="5503">
      <c r="A5503" s="5">
        <v>455</v>
      </c>
      <c r="B5503" s="5" t="str">
        <f>'Lineal Mixto'!$C$459</f>
      </c>
      <c r="C5503" s="5" t="str">
        <f>'Lineal Mixto'!$C$460</f>
      </c>
      <c r="D5503" s="5" t="str">
        <f>MIN(INT(B5503*5),4)</f>
      </c>
      <c r="E5503" s="5" t="str">
        <f>MIN(INT(C5503*5),4)</f>
      </c>
      <c r="F5503" s="5" t="str">
        <f>D5503*5+E5503</f>
      </c>
    </row>
    <row r="5504">
      <c r="A5504" s="6">
        <v>456</v>
      </c>
      <c r="B5504" s="6" t="str">
        <f>'Lineal Mixto'!$C$460</f>
      </c>
      <c r="C5504" s="6" t="str">
        <f>'Lineal Mixto'!$C$461</f>
      </c>
      <c r="D5504" s="6" t="str">
        <f>MIN(INT(B5504*5),4)</f>
      </c>
      <c r="E5504" s="6" t="str">
        <f>MIN(INT(C5504*5),4)</f>
      </c>
      <c r="F5504" s="6" t="str">
        <f>D5504*5+E5504</f>
      </c>
    </row>
    <row r="5505">
      <c r="A5505" s="5">
        <v>457</v>
      </c>
      <c r="B5505" s="5" t="str">
        <f>'Lineal Mixto'!$C$461</f>
      </c>
      <c r="C5505" s="5" t="str">
        <f>'Lineal Mixto'!$C$462</f>
      </c>
      <c r="D5505" s="5" t="str">
        <f>MIN(INT(B5505*5),4)</f>
      </c>
      <c r="E5505" s="5" t="str">
        <f>MIN(INT(C5505*5),4)</f>
      </c>
      <c r="F5505" s="5" t="str">
        <f>D5505*5+E5505</f>
      </c>
    </row>
    <row r="5506">
      <c r="A5506" s="6">
        <v>458</v>
      </c>
      <c r="B5506" s="6" t="str">
        <f>'Lineal Mixto'!$C$462</f>
      </c>
      <c r="C5506" s="6" t="str">
        <f>'Lineal Mixto'!$C$463</f>
      </c>
      <c r="D5506" s="6" t="str">
        <f>MIN(INT(B5506*5),4)</f>
      </c>
      <c r="E5506" s="6" t="str">
        <f>MIN(INT(C5506*5),4)</f>
      </c>
      <c r="F5506" s="6" t="str">
        <f>D5506*5+E5506</f>
      </c>
    </row>
    <row r="5507">
      <c r="A5507" s="5">
        <v>459</v>
      </c>
      <c r="B5507" s="5" t="str">
        <f>'Lineal Mixto'!$C$463</f>
      </c>
      <c r="C5507" s="5" t="str">
        <f>'Lineal Mixto'!$C$464</f>
      </c>
      <c r="D5507" s="5" t="str">
        <f>MIN(INT(B5507*5),4)</f>
      </c>
      <c r="E5507" s="5" t="str">
        <f>MIN(INT(C5507*5),4)</f>
      </c>
      <c r="F5507" s="5" t="str">
        <f>D5507*5+E5507</f>
      </c>
    </row>
    <row r="5508">
      <c r="A5508" s="6">
        <v>460</v>
      </c>
      <c r="B5508" s="6" t="str">
        <f>'Lineal Mixto'!$C$464</f>
      </c>
      <c r="C5508" s="6" t="str">
        <f>'Lineal Mixto'!$C$465</f>
      </c>
      <c r="D5508" s="6" t="str">
        <f>MIN(INT(B5508*5),4)</f>
      </c>
      <c r="E5508" s="6" t="str">
        <f>MIN(INT(C5508*5),4)</f>
      </c>
      <c r="F5508" s="6" t="str">
        <f>D5508*5+E5508</f>
      </c>
    </row>
    <row r="5509">
      <c r="A5509" s="5">
        <v>461</v>
      </c>
      <c r="B5509" s="5" t="str">
        <f>'Lineal Mixto'!$C$465</f>
      </c>
      <c r="C5509" s="5" t="str">
        <f>'Lineal Mixto'!$C$466</f>
      </c>
      <c r="D5509" s="5" t="str">
        <f>MIN(INT(B5509*5),4)</f>
      </c>
      <c r="E5509" s="5" t="str">
        <f>MIN(INT(C5509*5),4)</f>
      </c>
      <c r="F5509" s="5" t="str">
        <f>D5509*5+E5509</f>
      </c>
    </row>
    <row r="5510">
      <c r="A5510" s="6">
        <v>462</v>
      </c>
      <c r="B5510" s="6" t="str">
        <f>'Lineal Mixto'!$C$466</f>
      </c>
      <c r="C5510" s="6" t="str">
        <f>'Lineal Mixto'!$C$467</f>
      </c>
      <c r="D5510" s="6" t="str">
        <f>MIN(INT(B5510*5),4)</f>
      </c>
      <c r="E5510" s="6" t="str">
        <f>MIN(INT(C5510*5),4)</f>
      </c>
      <c r="F5510" s="6" t="str">
        <f>D5510*5+E5510</f>
      </c>
    </row>
    <row r="5511">
      <c r="A5511" s="5">
        <v>463</v>
      </c>
      <c r="B5511" s="5" t="str">
        <f>'Lineal Mixto'!$C$467</f>
      </c>
      <c r="C5511" s="5" t="str">
        <f>'Lineal Mixto'!$C$468</f>
      </c>
      <c r="D5511" s="5" t="str">
        <f>MIN(INT(B5511*5),4)</f>
      </c>
      <c r="E5511" s="5" t="str">
        <f>MIN(INT(C5511*5),4)</f>
      </c>
      <c r="F5511" s="5" t="str">
        <f>D5511*5+E5511</f>
      </c>
    </row>
    <row r="5512">
      <c r="A5512" s="6">
        <v>464</v>
      </c>
      <c r="B5512" s="6" t="str">
        <f>'Lineal Mixto'!$C$468</f>
      </c>
      <c r="C5512" s="6" t="str">
        <f>'Lineal Mixto'!$C$469</f>
      </c>
      <c r="D5512" s="6" t="str">
        <f>MIN(INT(B5512*5),4)</f>
      </c>
      <c r="E5512" s="6" t="str">
        <f>MIN(INT(C5512*5),4)</f>
      </c>
      <c r="F5512" s="6" t="str">
        <f>D5512*5+E5512</f>
      </c>
    </row>
    <row r="5513">
      <c r="A5513" s="5">
        <v>465</v>
      </c>
      <c r="B5513" s="5" t="str">
        <f>'Lineal Mixto'!$C$469</f>
      </c>
      <c r="C5513" s="5" t="str">
        <f>'Lineal Mixto'!$C$470</f>
      </c>
      <c r="D5513" s="5" t="str">
        <f>MIN(INT(B5513*5),4)</f>
      </c>
      <c r="E5513" s="5" t="str">
        <f>MIN(INT(C5513*5),4)</f>
      </c>
      <c r="F5513" s="5" t="str">
        <f>D5513*5+E5513</f>
      </c>
    </row>
    <row r="5514">
      <c r="A5514" s="6">
        <v>466</v>
      </c>
      <c r="B5514" s="6" t="str">
        <f>'Lineal Mixto'!$C$470</f>
      </c>
      <c r="C5514" s="6" t="str">
        <f>'Lineal Mixto'!$C$471</f>
      </c>
      <c r="D5514" s="6" t="str">
        <f>MIN(INT(B5514*5),4)</f>
      </c>
      <c r="E5514" s="6" t="str">
        <f>MIN(INT(C5514*5),4)</f>
      </c>
      <c r="F5514" s="6" t="str">
        <f>D5514*5+E5514</f>
      </c>
    </row>
    <row r="5515">
      <c r="A5515" s="5">
        <v>467</v>
      </c>
      <c r="B5515" s="5" t="str">
        <f>'Lineal Mixto'!$C$471</f>
      </c>
      <c r="C5515" s="5" t="str">
        <f>'Lineal Mixto'!$C$472</f>
      </c>
      <c r="D5515" s="5" t="str">
        <f>MIN(INT(B5515*5),4)</f>
      </c>
      <c r="E5515" s="5" t="str">
        <f>MIN(INT(C5515*5),4)</f>
      </c>
      <c r="F5515" s="5" t="str">
        <f>D5515*5+E5515</f>
      </c>
    </row>
    <row r="5516">
      <c r="A5516" s="6">
        <v>468</v>
      </c>
      <c r="B5516" s="6" t="str">
        <f>'Lineal Mixto'!$C$472</f>
      </c>
      <c r="C5516" s="6" t="str">
        <f>'Lineal Mixto'!$C$473</f>
      </c>
      <c r="D5516" s="6" t="str">
        <f>MIN(INT(B5516*5),4)</f>
      </c>
      <c r="E5516" s="6" t="str">
        <f>MIN(INT(C5516*5),4)</f>
      </c>
      <c r="F5516" s="6" t="str">
        <f>D5516*5+E5516</f>
      </c>
    </row>
    <row r="5517">
      <c r="A5517" s="5">
        <v>469</v>
      </c>
      <c r="B5517" s="5" t="str">
        <f>'Lineal Mixto'!$C$473</f>
      </c>
      <c r="C5517" s="5" t="str">
        <f>'Lineal Mixto'!$C$474</f>
      </c>
      <c r="D5517" s="5" t="str">
        <f>MIN(INT(B5517*5),4)</f>
      </c>
      <c r="E5517" s="5" t="str">
        <f>MIN(INT(C5517*5),4)</f>
      </c>
      <c r="F5517" s="5" t="str">
        <f>D5517*5+E5517</f>
      </c>
    </row>
    <row r="5518">
      <c r="A5518" s="6">
        <v>470</v>
      </c>
      <c r="B5518" s="6" t="str">
        <f>'Lineal Mixto'!$C$474</f>
      </c>
      <c r="C5518" s="6" t="str">
        <f>'Lineal Mixto'!$C$475</f>
      </c>
      <c r="D5518" s="6" t="str">
        <f>MIN(INT(B5518*5),4)</f>
      </c>
      <c r="E5518" s="6" t="str">
        <f>MIN(INT(C5518*5),4)</f>
      </c>
      <c r="F5518" s="6" t="str">
        <f>D5518*5+E5518</f>
      </c>
    </row>
    <row r="5519">
      <c r="A5519" s="5">
        <v>471</v>
      </c>
      <c r="B5519" s="5" t="str">
        <f>'Lineal Mixto'!$C$475</f>
      </c>
      <c r="C5519" s="5" t="str">
        <f>'Lineal Mixto'!$C$476</f>
      </c>
      <c r="D5519" s="5" t="str">
        <f>MIN(INT(B5519*5),4)</f>
      </c>
      <c r="E5519" s="5" t="str">
        <f>MIN(INT(C5519*5),4)</f>
      </c>
      <c r="F5519" s="5" t="str">
        <f>D5519*5+E5519</f>
      </c>
    </row>
    <row r="5520">
      <c r="A5520" s="6">
        <v>472</v>
      </c>
      <c r="B5520" s="6" t="str">
        <f>'Lineal Mixto'!$C$476</f>
      </c>
      <c r="C5520" s="6" t="str">
        <f>'Lineal Mixto'!$C$477</f>
      </c>
      <c r="D5520" s="6" t="str">
        <f>MIN(INT(B5520*5),4)</f>
      </c>
      <c r="E5520" s="6" t="str">
        <f>MIN(INT(C5520*5),4)</f>
      </c>
      <c r="F5520" s="6" t="str">
        <f>D5520*5+E5520</f>
      </c>
    </row>
    <row r="5521">
      <c r="A5521" s="5">
        <v>473</v>
      </c>
      <c r="B5521" s="5" t="str">
        <f>'Lineal Mixto'!$C$477</f>
      </c>
      <c r="C5521" s="5" t="str">
        <f>'Lineal Mixto'!$C$478</f>
      </c>
      <c r="D5521" s="5" t="str">
        <f>MIN(INT(B5521*5),4)</f>
      </c>
      <c r="E5521" s="5" t="str">
        <f>MIN(INT(C5521*5),4)</f>
      </c>
      <c r="F5521" s="5" t="str">
        <f>D5521*5+E5521</f>
      </c>
    </row>
    <row r="5522">
      <c r="A5522" s="6">
        <v>474</v>
      </c>
      <c r="B5522" s="6" t="str">
        <f>'Lineal Mixto'!$C$478</f>
      </c>
      <c r="C5522" s="6" t="str">
        <f>'Lineal Mixto'!$C$479</f>
      </c>
      <c r="D5522" s="6" t="str">
        <f>MIN(INT(B5522*5),4)</f>
      </c>
      <c r="E5522" s="6" t="str">
        <f>MIN(INT(C5522*5),4)</f>
      </c>
      <c r="F5522" s="6" t="str">
        <f>D5522*5+E5522</f>
      </c>
    </row>
    <row r="5523">
      <c r="A5523" s="5">
        <v>475</v>
      </c>
      <c r="B5523" s="5" t="str">
        <f>'Lineal Mixto'!$C$479</f>
      </c>
      <c r="C5523" s="5" t="str">
        <f>'Lineal Mixto'!$C$480</f>
      </c>
      <c r="D5523" s="5" t="str">
        <f>MIN(INT(B5523*5),4)</f>
      </c>
      <c r="E5523" s="5" t="str">
        <f>MIN(INT(C5523*5),4)</f>
      </c>
      <c r="F5523" s="5" t="str">
        <f>D5523*5+E5523</f>
      </c>
    </row>
    <row r="5524">
      <c r="A5524" s="6">
        <v>476</v>
      </c>
      <c r="B5524" s="6" t="str">
        <f>'Lineal Mixto'!$C$480</f>
      </c>
      <c r="C5524" s="6" t="str">
        <f>'Lineal Mixto'!$C$481</f>
      </c>
      <c r="D5524" s="6" t="str">
        <f>MIN(INT(B5524*5),4)</f>
      </c>
      <c r="E5524" s="6" t="str">
        <f>MIN(INT(C5524*5),4)</f>
      </c>
      <c r="F5524" s="6" t="str">
        <f>D5524*5+E5524</f>
      </c>
    </row>
    <row r="5525">
      <c r="A5525" s="5">
        <v>477</v>
      </c>
      <c r="B5525" s="5" t="str">
        <f>'Lineal Mixto'!$C$481</f>
      </c>
      <c r="C5525" s="5" t="str">
        <f>'Lineal Mixto'!$C$482</f>
      </c>
      <c r="D5525" s="5" t="str">
        <f>MIN(INT(B5525*5),4)</f>
      </c>
      <c r="E5525" s="5" t="str">
        <f>MIN(INT(C5525*5),4)</f>
      </c>
      <c r="F5525" s="5" t="str">
        <f>D5525*5+E5525</f>
      </c>
    </row>
    <row r="5526">
      <c r="A5526" s="6">
        <v>478</v>
      </c>
      <c r="B5526" s="6" t="str">
        <f>'Lineal Mixto'!$C$482</f>
      </c>
      <c r="C5526" s="6" t="str">
        <f>'Lineal Mixto'!$C$483</f>
      </c>
      <c r="D5526" s="6" t="str">
        <f>MIN(INT(B5526*5),4)</f>
      </c>
      <c r="E5526" s="6" t="str">
        <f>MIN(INT(C5526*5),4)</f>
      </c>
      <c r="F5526" s="6" t="str">
        <f>D5526*5+E5526</f>
      </c>
    </row>
    <row r="5527">
      <c r="A5527" s="5">
        <v>479</v>
      </c>
      <c r="B5527" s="5" t="str">
        <f>'Lineal Mixto'!$C$483</f>
      </c>
      <c r="C5527" s="5" t="str">
        <f>'Lineal Mixto'!$C$484</f>
      </c>
      <c r="D5527" s="5" t="str">
        <f>MIN(INT(B5527*5),4)</f>
      </c>
      <c r="E5527" s="5" t="str">
        <f>MIN(INT(C5527*5),4)</f>
      </c>
      <c r="F5527" s="5" t="str">
        <f>D5527*5+E5527</f>
      </c>
    </row>
    <row r="5528">
      <c r="A5528" s="6">
        <v>480</v>
      </c>
      <c r="B5528" s="6" t="str">
        <f>'Lineal Mixto'!$C$484</f>
      </c>
      <c r="C5528" s="6" t="str">
        <f>'Lineal Mixto'!$C$485</f>
      </c>
      <c r="D5528" s="6" t="str">
        <f>MIN(INT(B5528*5),4)</f>
      </c>
      <c r="E5528" s="6" t="str">
        <f>MIN(INT(C5528*5),4)</f>
      </c>
      <c r="F5528" s="6" t="str">
        <f>D5528*5+E5528</f>
      </c>
    </row>
    <row r="5529">
      <c r="A5529" s="5">
        <v>481</v>
      </c>
      <c r="B5529" s="5" t="str">
        <f>'Lineal Mixto'!$C$485</f>
      </c>
      <c r="C5529" s="5" t="str">
        <f>'Lineal Mixto'!$C$486</f>
      </c>
      <c r="D5529" s="5" t="str">
        <f>MIN(INT(B5529*5),4)</f>
      </c>
      <c r="E5529" s="5" t="str">
        <f>MIN(INT(C5529*5),4)</f>
      </c>
      <c r="F5529" s="5" t="str">
        <f>D5529*5+E5529</f>
      </c>
    </row>
    <row r="5530">
      <c r="A5530" s="6">
        <v>482</v>
      </c>
      <c r="B5530" s="6" t="str">
        <f>'Lineal Mixto'!$C$486</f>
      </c>
      <c r="C5530" s="6" t="str">
        <f>'Lineal Mixto'!$C$487</f>
      </c>
      <c r="D5530" s="6" t="str">
        <f>MIN(INT(B5530*5),4)</f>
      </c>
      <c r="E5530" s="6" t="str">
        <f>MIN(INT(C5530*5),4)</f>
      </c>
      <c r="F5530" s="6" t="str">
        <f>D5530*5+E5530</f>
      </c>
    </row>
    <row r="5531">
      <c r="A5531" s="5">
        <v>483</v>
      </c>
      <c r="B5531" s="5" t="str">
        <f>'Lineal Mixto'!$C$487</f>
      </c>
      <c r="C5531" s="5" t="str">
        <f>'Lineal Mixto'!$C$488</f>
      </c>
      <c r="D5531" s="5" t="str">
        <f>MIN(INT(B5531*5),4)</f>
      </c>
      <c r="E5531" s="5" t="str">
        <f>MIN(INT(C5531*5),4)</f>
      </c>
      <c r="F5531" s="5" t="str">
        <f>D5531*5+E5531</f>
      </c>
    </row>
    <row r="5532">
      <c r="A5532" s="6">
        <v>484</v>
      </c>
      <c r="B5532" s="6" t="str">
        <f>'Lineal Mixto'!$C$488</f>
      </c>
      <c r="C5532" s="6" t="str">
        <f>'Lineal Mixto'!$C$489</f>
      </c>
      <c r="D5532" s="6" t="str">
        <f>MIN(INT(B5532*5),4)</f>
      </c>
      <c r="E5532" s="6" t="str">
        <f>MIN(INT(C5532*5),4)</f>
      </c>
      <c r="F5532" s="6" t="str">
        <f>D5532*5+E5532</f>
      </c>
    </row>
    <row r="5533">
      <c r="A5533" s="5">
        <v>485</v>
      </c>
      <c r="B5533" s="5" t="str">
        <f>'Lineal Mixto'!$C$489</f>
      </c>
      <c r="C5533" s="5" t="str">
        <f>'Lineal Mixto'!$C$490</f>
      </c>
      <c r="D5533" s="5" t="str">
        <f>MIN(INT(B5533*5),4)</f>
      </c>
      <c r="E5533" s="5" t="str">
        <f>MIN(INT(C5533*5),4)</f>
      </c>
      <c r="F5533" s="5" t="str">
        <f>D5533*5+E5533</f>
      </c>
    </row>
    <row r="5534">
      <c r="A5534" s="6">
        <v>486</v>
      </c>
      <c r="B5534" s="6" t="str">
        <f>'Lineal Mixto'!$C$490</f>
      </c>
      <c r="C5534" s="6" t="str">
        <f>'Lineal Mixto'!$C$491</f>
      </c>
      <c r="D5534" s="6" t="str">
        <f>MIN(INT(B5534*5),4)</f>
      </c>
      <c r="E5534" s="6" t="str">
        <f>MIN(INT(C5534*5),4)</f>
      </c>
      <c r="F5534" s="6" t="str">
        <f>D5534*5+E5534</f>
      </c>
    </row>
    <row r="5535">
      <c r="A5535" s="5">
        <v>487</v>
      </c>
      <c r="B5535" s="5" t="str">
        <f>'Lineal Mixto'!$C$491</f>
      </c>
      <c r="C5535" s="5" t="str">
        <f>'Lineal Mixto'!$C$492</f>
      </c>
      <c r="D5535" s="5" t="str">
        <f>MIN(INT(B5535*5),4)</f>
      </c>
      <c r="E5535" s="5" t="str">
        <f>MIN(INT(C5535*5),4)</f>
      </c>
      <c r="F5535" s="5" t="str">
        <f>D5535*5+E5535</f>
      </c>
    </row>
    <row r="5536">
      <c r="A5536" s="6">
        <v>488</v>
      </c>
      <c r="B5536" s="6" t="str">
        <f>'Lineal Mixto'!$C$492</f>
      </c>
      <c r="C5536" s="6" t="str">
        <f>'Lineal Mixto'!$C$493</f>
      </c>
      <c r="D5536" s="6" t="str">
        <f>MIN(INT(B5536*5),4)</f>
      </c>
      <c r="E5536" s="6" t="str">
        <f>MIN(INT(C5536*5),4)</f>
      </c>
      <c r="F5536" s="6" t="str">
        <f>D5536*5+E5536</f>
      </c>
    </row>
    <row r="5537">
      <c r="A5537" s="5">
        <v>489</v>
      </c>
      <c r="B5537" s="5" t="str">
        <f>'Lineal Mixto'!$C$493</f>
      </c>
      <c r="C5537" s="5" t="str">
        <f>'Lineal Mixto'!$C$494</f>
      </c>
      <c r="D5537" s="5" t="str">
        <f>MIN(INT(B5537*5),4)</f>
      </c>
      <c r="E5537" s="5" t="str">
        <f>MIN(INT(C5537*5),4)</f>
      </c>
      <c r="F5537" s="5" t="str">
        <f>D5537*5+E5537</f>
      </c>
    </row>
    <row r="5538">
      <c r="A5538" s="6">
        <v>490</v>
      </c>
      <c r="B5538" s="6" t="str">
        <f>'Lineal Mixto'!$C$494</f>
      </c>
      <c r="C5538" s="6" t="str">
        <f>'Lineal Mixto'!$C$495</f>
      </c>
      <c r="D5538" s="6" t="str">
        <f>MIN(INT(B5538*5),4)</f>
      </c>
      <c r="E5538" s="6" t="str">
        <f>MIN(INT(C5538*5),4)</f>
      </c>
      <c r="F5538" s="6" t="str">
        <f>D5538*5+E5538</f>
      </c>
    </row>
    <row r="5539">
      <c r="A5539" s="5">
        <v>491</v>
      </c>
      <c r="B5539" s="5" t="str">
        <f>'Lineal Mixto'!$C$495</f>
      </c>
      <c r="C5539" s="5" t="str">
        <f>'Lineal Mixto'!$C$496</f>
      </c>
      <c r="D5539" s="5" t="str">
        <f>MIN(INT(B5539*5),4)</f>
      </c>
      <c r="E5539" s="5" t="str">
        <f>MIN(INT(C5539*5),4)</f>
      </c>
      <c r="F5539" s="5" t="str">
        <f>D5539*5+E5539</f>
      </c>
    </row>
    <row r="5540">
      <c r="A5540" s="6">
        <v>492</v>
      </c>
      <c r="B5540" s="6" t="str">
        <f>'Lineal Mixto'!$C$496</f>
      </c>
      <c r="C5540" s="6" t="str">
        <f>'Lineal Mixto'!$C$497</f>
      </c>
      <c r="D5540" s="6" t="str">
        <f>MIN(INT(B5540*5),4)</f>
      </c>
      <c r="E5540" s="6" t="str">
        <f>MIN(INT(C5540*5),4)</f>
      </c>
      <c r="F5540" s="6" t="str">
        <f>D5540*5+E5540</f>
      </c>
    </row>
    <row r="5541">
      <c r="A5541" s="5">
        <v>493</v>
      </c>
      <c r="B5541" s="5" t="str">
        <f>'Lineal Mixto'!$C$497</f>
      </c>
      <c r="C5541" s="5" t="str">
        <f>'Lineal Mixto'!$C$498</f>
      </c>
      <c r="D5541" s="5" t="str">
        <f>MIN(INT(B5541*5),4)</f>
      </c>
      <c r="E5541" s="5" t="str">
        <f>MIN(INT(C5541*5),4)</f>
      </c>
      <c r="F5541" s="5" t="str">
        <f>D5541*5+E5541</f>
      </c>
    </row>
    <row r="5542">
      <c r="A5542" s="6">
        <v>494</v>
      </c>
      <c r="B5542" s="6" t="str">
        <f>'Lineal Mixto'!$C$498</f>
      </c>
      <c r="C5542" s="6" t="str">
        <f>'Lineal Mixto'!$C$499</f>
      </c>
      <c r="D5542" s="6" t="str">
        <f>MIN(INT(B5542*5),4)</f>
      </c>
      <c r="E5542" s="6" t="str">
        <f>MIN(INT(C5542*5),4)</f>
      </c>
      <c r="F5542" s="6" t="str">
        <f>D5542*5+E5542</f>
      </c>
    </row>
    <row r="5543">
      <c r="A5543" s="5">
        <v>495</v>
      </c>
      <c r="B5543" s="5" t="str">
        <f>'Lineal Mixto'!$C$499</f>
      </c>
      <c r="C5543" s="5" t="str">
        <f>'Lineal Mixto'!$C$500</f>
      </c>
      <c r="D5543" s="5" t="str">
        <f>MIN(INT(B5543*5),4)</f>
      </c>
      <c r="E5543" s="5" t="str">
        <f>MIN(INT(C5543*5),4)</f>
      </c>
      <c r="F5543" s="5" t="str">
        <f>D5543*5+E5543</f>
      </c>
    </row>
    <row r="5544">
      <c r="A5544" s="6">
        <v>496</v>
      </c>
      <c r="B5544" s="6" t="str">
        <f>'Lineal Mixto'!$C$500</f>
      </c>
      <c r="C5544" s="6" t="str">
        <f>'Lineal Mixto'!$C$501</f>
      </c>
      <c r="D5544" s="6" t="str">
        <f>MIN(INT(B5544*5),4)</f>
      </c>
      <c r="E5544" s="6" t="str">
        <f>MIN(INT(C5544*5),4)</f>
      </c>
      <c r="F5544" s="6" t="str">
        <f>D5544*5+E5544</f>
      </c>
    </row>
    <row r="5545">
      <c r="A5545" s="5">
        <v>497</v>
      </c>
      <c r="B5545" s="5" t="str">
        <f>'Lineal Mixto'!$C$501</f>
      </c>
      <c r="C5545" s="5" t="str">
        <f>'Lineal Mixto'!$C$502</f>
      </c>
      <c r="D5545" s="5" t="str">
        <f>MIN(INT(B5545*5),4)</f>
      </c>
      <c r="E5545" s="5" t="str">
        <f>MIN(INT(C5545*5),4)</f>
      </c>
      <c r="F5545" s="5" t="str">
        <f>D5545*5+E5545</f>
      </c>
    </row>
    <row r="5546">
      <c r="A5546" s="6">
        <v>498</v>
      </c>
      <c r="B5546" s="6" t="str">
        <f>'Lineal Mixto'!$C$502</f>
      </c>
      <c r="C5546" s="6" t="str">
        <f>'Lineal Mixto'!$C$503</f>
      </c>
      <c r="D5546" s="6" t="str">
        <f>MIN(INT(B5546*5),4)</f>
      </c>
      <c r="E5546" s="6" t="str">
        <f>MIN(INT(C5546*5),4)</f>
      </c>
      <c r="F5546" s="6" t="str">
        <f>D5546*5+E5546</f>
      </c>
    </row>
    <row r="5547">
      <c r="A5547" s="5">
        <v>499</v>
      </c>
      <c r="B5547" s="5" t="str">
        <f>'Lineal Mixto'!$C$503</f>
      </c>
      <c r="C5547" s="5" t="str">
        <f>'Lineal Mixto'!$C$504</f>
      </c>
      <c r="D5547" s="5" t="str">
        <f>MIN(INT(B5547*5),4)</f>
      </c>
      <c r="E5547" s="5" t="str">
        <f>MIN(INT(C5547*5),4)</f>
      </c>
      <c r="F5547" s="5" t="str">
        <f>D5547*5+E5547</f>
      </c>
    </row>
    <row r="5548">
      <c r="A5548" s="6">
        <v>500</v>
      </c>
      <c r="B5548" s="6" t="str">
        <f>'Lineal Mixto'!$C$504</f>
      </c>
      <c r="C5548" s="6" t="str">
        <f>'Lineal Mixto'!$C$505</f>
      </c>
      <c r="D5548" s="6" t="str">
        <f>MIN(INT(B5548*5),4)</f>
      </c>
      <c r="E5548" s="6" t="str">
        <f>MIN(INT(C5548*5),4)</f>
      </c>
      <c r="F5548" s="6" t="str">
        <f>D5548*5+E5548</f>
      </c>
    </row>
    <row r="5549">
      <c r="A5549" s="5">
        <v>501</v>
      </c>
      <c r="B5549" s="5" t="str">
        <f>'Lineal Mixto'!$C$505</f>
      </c>
      <c r="C5549" s="5" t="str">
        <f>'Lineal Mixto'!$C$506</f>
      </c>
      <c r="D5549" s="5" t="str">
        <f>MIN(INT(B5549*5),4)</f>
      </c>
      <c r="E5549" s="5" t="str">
        <f>MIN(INT(C5549*5),4)</f>
      </c>
      <c r="F5549" s="5" t="str">
        <f>D5549*5+E5549</f>
      </c>
    </row>
    <row r="5550">
      <c r="A5550" s="6">
        <v>502</v>
      </c>
      <c r="B5550" s="6" t="str">
        <f>'Lineal Mixto'!$C$506</f>
      </c>
      <c r="C5550" s="6" t="str">
        <f>'Lineal Mixto'!$C$507</f>
      </c>
      <c r="D5550" s="6" t="str">
        <f>MIN(INT(B5550*5),4)</f>
      </c>
      <c r="E5550" s="6" t="str">
        <f>MIN(INT(C5550*5),4)</f>
      </c>
      <c r="F5550" s="6" t="str">
        <f>D5550*5+E5550</f>
      </c>
    </row>
    <row r="5551">
      <c r="A5551" s="5">
        <v>503</v>
      </c>
      <c r="B5551" s="5" t="str">
        <f>'Lineal Mixto'!$C$507</f>
      </c>
      <c r="C5551" s="5" t="str">
        <f>'Lineal Mixto'!$C$508</f>
      </c>
      <c r="D5551" s="5" t="str">
        <f>MIN(INT(B5551*5),4)</f>
      </c>
      <c r="E5551" s="5" t="str">
        <f>MIN(INT(C5551*5),4)</f>
      </c>
      <c r="F5551" s="5" t="str">
        <f>D5551*5+E5551</f>
      </c>
    </row>
    <row r="5552">
      <c r="A5552" s="6">
        <v>504</v>
      </c>
      <c r="B5552" s="6" t="str">
        <f>'Lineal Mixto'!$C$508</f>
      </c>
      <c r="C5552" s="6" t="str">
        <f>'Lineal Mixto'!$C$509</f>
      </c>
      <c r="D5552" s="6" t="str">
        <f>MIN(INT(B5552*5),4)</f>
      </c>
      <c r="E5552" s="6" t="str">
        <f>MIN(INT(C5552*5),4)</f>
      </c>
      <c r="F5552" s="6" t="str">
        <f>D5552*5+E5552</f>
      </c>
    </row>
    <row r="5553">
      <c r="A5553" s="5">
        <v>505</v>
      </c>
      <c r="B5553" s="5" t="str">
        <f>'Lineal Mixto'!$C$509</f>
      </c>
      <c r="C5553" s="5" t="str">
        <f>'Lineal Mixto'!$C$510</f>
      </c>
      <c r="D5553" s="5" t="str">
        <f>MIN(INT(B5553*5),4)</f>
      </c>
      <c r="E5553" s="5" t="str">
        <f>MIN(INT(C5553*5),4)</f>
      </c>
      <c r="F5553" s="5" t="str">
        <f>D5553*5+E5553</f>
      </c>
    </row>
    <row r="5554">
      <c r="A5554" s="6">
        <v>506</v>
      </c>
      <c r="B5554" s="6" t="str">
        <f>'Lineal Mixto'!$C$510</f>
      </c>
      <c r="C5554" s="6" t="str">
        <f>'Lineal Mixto'!$C$511</f>
      </c>
      <c r="D5554" s="6" t="str">
        <f>MIN(INT(B5554*5),4)</f>
      </c>
      <c r="E5554" s="6" t="str">
        <f>MIN(INT(C5554*5),4)</f>
      </c>
      <c r="F5554" s="6" t="str">
        <f>D5554*5+E5554</f>
      </c>
    </row>
    <row r="5555">
      <c r="A5555" s="5">
        <v>507</v>
      </c>
      <c r="B5555" s="5" t="str">
        <f>'Lineal Mixto'!$C$511</f>
      </c>
      <c r="C5555" s="5" t="str">
        <f>'Lineal Mixto'!$C$512</f>
      </c>
      <c r="D5555" s="5" t="str">
        <f>MIN(INT(B5555*5),4)</f>
      </c>
      <c r="E5555" s="5" t="str">
        <f>MIN(INT(C5555*5),4)</f>
      </c>
      <c r="F5555" s="5" t="str">
        <f>D5555*5+E5555</f>
      </c>
    </row>
    <row r="5556">
      <c r="A5556" s="6">
        <v>508</v>
      </c>
      <c r="B5556" s="6" t="str">
        <f>'Lineal Mixto'!$C$512</f>
      </c>
      <c r="C5556" s="6" t="str">
        <f>'Lineal Mixto'!$C$513</f>
      </c>
      <c r="D5556" s="6" t="str">
        <f>MIN(INT(B5556*5),4)</f>
      </c>
      <c r="E5556" s="6" t="str">
        <f>MIN(INT(C5556*5),4)</f>
      </c>
      <c r="F5556" s="6" t="str">
        <f>D5556*5+E5556</f>
      </c>
    </row>
    <row r="5557">
      <c r="A5557" s="5">
        <v>509</v>
      </c>
      <c r="B5557" s="5" t="str">
        <f>'Lineal Mixto'!$C$513</f>
      </c>
      <c r="C5557" s="5" t="str">
        <f>'Lineal Mixto'!$C$514</f>
      </c>
      <c r="D5557" s="5" t="str">
        <f>MIN(INT(B5557*5),4)</f>
      </c>
      <c r="E5557" s="5" t="str">
        <f>MIN(INT(C5557*5),4)</f>
      </c>
      <c r="F5557" s="5" t="str">
        <f>D5557*5+E5557</f>
      </c>
    </row>
    <row r="5558">
      <c r="A5558" s="6">
        <v>510</v>
      </c>
      <c r="B5558" s="6" t="str">
        <f>'Lineal Mixto'!$C$514</f>
      </c>
      <c r="C5558" s="6" t="str">
        <f>'Lineal Mixto'!$C$515</f>
      </c>
      <c r="D5558" s="6" t="str">
        <f>MIN(INT(B5558*5),4)</f>
      </c>
      <c r="E5558" s="6" t="str">
        <f>MIN(INT(C5558*5),4)</f>
      </c>
      <c r="F5558" s="6" t="str">
        <f>D5558*5+E5558</f>
      </c>
    </row>
    <row r="5559">
      <c r="A5559" s="5">
        <v>511</v>
      </c>
      <c r="B5559" s="5" t="str">
        <f>'Lineal Mixto'!$C$515</f>
      </c>
      <c r="C5559" s="5" t="str">
        <f>'Lineal Mixto'!$C$516</f>
      </c>
      <c r="D5559" s="5" t="str">
        <f>MIN(INT(B5559*5),4)</f>
      </c>
      <c r="E5559" s="5" t="str">
        <f>MIN(INT(C5559*5),4)</f>
      </c>
      <c r="F5559" s="5" t="str">
        <f>D5559*5+E5559</f>
      </c>
    </row>
    <row r="5560">
      <c r="A5560" s="6">
        <v>512</v>
      </c>
      <c r="B5560" s="6" t="str">
        <f>'Lineal Mixto'!$C$516</f>
      </c>
      <c r="C5560" s="6" t="str">
        <f>'Lineal Mixto'!$C$517</f>
      </c>
      <c r="D5560" s="6" t="str">
        <f>MIN(INT(B5560*5),4)</f>
      </c>
      <c r="E5560" s="6" t="str">
        <f>MIN(INT(C5560*5),4)</f>
      </c>
      <c r="F5560" s="6" t="str">
        <f>D5560*5+E5560</f>
      </c>
    </row>
    <row r="5561">
      <c r="A5561" s="5">
        <v>513</v>
      </c>
      <c r="B5561" s="5" t="str">
        <f>'Lineal Mixto'!$C$517</f>
      </c>
      <c r="C5561" s="5" t="str">
        <f>'Lineal Mixto'!$C$518</f>
      </c>
      <c r="D5561" s="5" t="str">
        <f>MIN(INT(B5561*5),4)</f>
      </c>
      <c r="E5561" s="5" t="str">
        <f>MIN(INT(C5561*5),4)</f>
      </c>
      <c r="F5561" s="5" t="str">
        <f>D5561*5+E5561</f>
      </c>
    </row>
    <row r="5562">
      <c r="A5562" s="6">
        <v>514</v>
      </c>
      <c r="B5562" s="6" t="str">
        <f>'Lineal Mixto'!$C$518</f>
      </c>
      <c r="C5562" s="6" t="str">
        <f>'Lineal Mixto'!$C$519</f>
      </c>
      <c r="D5562" s="6" t="str">
        <f>MIN(INT(B5562*5),4)</f>
      </c>
      <c r="E5562" s="6" t="str">
        <f>MIN(INT(C5562*5),4)</f>
      </c>
      <c r="F5562" s="6" t="str">
        <f>D5562*5+E5562</f>
      </c>
    </row>
    <row r="5563">
      <c r="A5563" s="5">
        <v>515</v>
      </c>
      <c r="B5563" s="5" t="str">
        <f>'Lineal Mixto'!$C$519</f>
      </c>
      <c r="C5563" s="5" t="str">
        <f>'Lineal Mixto'!$C$520</f>
      </c>
      <c r="D5563" s="5" t="str">
        <f>MIN(INT(B5563*5),4)</f>
      </c>
      <c r="E5563" s="5" t="str">
        <f>MIN(INT(C5563*5),4)</f>
      </c>
      <c r="F5563" s="5" t="str">
        <f>D5563*5+E5563</f>
      </c>
    </row>
    <row r="5564">
      <c r="A5564" s="6">
        <v>516</v>
      </c>
      <c r="B5564" s="6" t="str">
        <f>'Lineal Mixto'!$C$520</f>
      </c>
      <c r="C5564" s="6" t="str">
        <f>'Lineal Mixto'!$C$521</f>
      </c>
      <c r="D5564" s="6" t="str">
        <f>MIN(INT(B5564*5),4)</f>
      </c>
      <c r="E5564" s="6" t="str">
        <f>MIN(INT(C5564*5),4)</f>
      </c>
      <c r="F5564" s="6" t="str">
        <f>D5564*5+E5564</f>
      </c>
    </row>
    <row r="5565">
      <c r="A5565" s="5">
        <v>517</v>
      </c>
      <c r="B5565" s="5" t="str">
        <f>'Lineal Mixto'!$C$521</f>
      </c>
      <c r="C5565" s="5" t="str">
        <f>'Lineal Mixto'!$C$522</f>
      </c>
      <c r="D5565" s="5" t="str">
        <f>MIN(INT(B5565*5),4)</f>
      </c>
      <c r="E5565" s="5" t="str">
        <f>MIN(INT(C5565*5),4)</f>
      </c>
      <c r="F5565" s="5" t="str">
        <f>D5565*5+E5565</f>
      </c>
    </row>
    <row r="5566">
      <c r="A5566" s="6">
        <v>518</v>
      </c>
      <c r="B5566" s="6" t="str">
        <f>'Lineal Mixto'!$C$522</f>
      </c>
      <c r="C5566" s="6" t="str">
        <f>'Lineal Mixto'!$C$523</f>
      </c>
      <c r="D5566" s="6" t="str">
        <f>MIN(INT(B5566*5),4)</f>
      </c>
      <c r="E5566" s="6" t="str">
        <f>MIN(INT(C5566*5),4)</f>
      </c>
      <c r="F5566" s="6" t="str">
        <f>D5566*5+E5566</f>
      </c>
    </row>
    <row r="5567">
      <c r="A5567" s="5">
        <v>519</v>
      </c>
      <c r="B5567" s="5" t="str">
        <f>'Lineal Mixto'!$C$523</f>
      </c>
      <c r="C5567" s="5" t="str">
        <f>'Lineal Mixto'!$C$524</f>
      </c>
      <c r="D5567" s="5" t="str">
        <f>MIN(INT(B5567*5),4)</f>
      </c>
      <c r="E5567" s="5" t="str">
        <f>MIN(INT(C5567*5),4)</f>
      </c>
      <c r="F5567" s="5" t="str">
        <f>D5567*5+E5567</f>
      </c>
    </row>
    <row r="5568">
      <c r="A5568" s="6">
        <v>520</v>
      </c>
      <c r="B5568" s="6" t="str">
        <f>'Lineal Mixto'!$C$524</f>
      </c>
      <c r="C5568" s="6" t="str">
        <f>'Lineal Mixto'!$C$525</f>
      </c>
      <c r="D5568" s="6" t="str">
        <f>MIN(INT(B5568*5),4)</f>
      </c>
      <c r="E5568" s="6" t="str">
        <f>MIN(INT(C5568*5),4)</f>
      </c>
      <c r="F5568" s="6" t="str">
        <f>D5568*5+E5568</f>
      </c>
    </row>
    <row r="5569">
      <c r="A5569" s="5">
        <v>521</v>
      </c>
      <c r="B5569" s="5" t="str">
        <f>'Lineal Mixto'!$C$525</f>
      </c>
      <c r="C5569" s="5" t="str">
        <f>'Lineal Mixto'!$C$526</f>
      </c>
      <c r="D5569" s="5" t="str">
        <f>MIN(INT(B5569*5),4)</f>
      </c>
      <c r="E5569" s="5" t="str">
        <f>MIN(INT(C5569*5),4)</f>
      </c>
      <c r="F5569" s="5" t="str">
        <f>D5569*5+E5569</f>
      </c>
    </row>
    <row r="5570">
      <c r="A5570" s="6">
        <v>522</v>
      </c>
      <c r="B5570" s="6" t="str">
        <f>'Lineal Mixto'!$C$526</f>
      </c>
      <c r="C5570" s="6" t="str">
        <f>'Lineal Mixto'!$C$527</f>
      </c>
      <c r="D5570" s="6" t="str">
        <f>MIN(INT(B5570*5),4)</f>
      </c>
      <c r="E5570" s="6" t="str">
        <f>MIN(INT(C5570*5),4)</f>
      </c>
      <c r="F5570" s="6" t="str">
        <f>D5570*5+E5570</f>
      </c>
    </row>
    <row r="5571">
      <c r="A5571" s="5">
        <v>523</v>
      </c>
      <c r="B5571" s="5" t="str">
        <f>'Lineal Mixto'!$C$527</f>
      </c>
      <c r="C5571" s="5" t="str">
        <f>'Lineal Mixto'!$C$528</f>
      </c>
      <c r="D5571" s="5" t="str">
        <f>MIN(INT(B5571*5),4)</f>
      </c>
      <c r="E5571" s="5" t="str">
        <f>MIN(INT(C5571*5),4)</f>
      </c>
      <c r="F5571" s="5" t="str">
        <f>D5571*5+E5571</f>
      </c>
    </row>
    <row r="5572">
      <c r="A5572" s="6">
        <v>524</v>
      </c>
      <c r="B5572" s="6" t="str">
        <f>'Lineal Mixto'!$C$528</f>
      </c>
      <c r="C5572" s="6" t="str">
        <f>'Lineal Mixto'!$C$529</f>
      </c>
      <c r="D5572" s="6" t="str">
        <f>MIN(INT(B5572*5),4)</f>
      </c>
      <c r="E5572" s="6" t="str">
        <f>MIN(INT(C5572*5),4)</f>
      </c>
      <c r="F5572" s="6" t="str">
        <f>D5572*5+E5572</f>
      </c>
    </row>
    <row r="5573">
      <c r="A5573" s="5">
        <v>525</v>
      </c>
      <c r="B5573" s="5" t="str">
        <f>'Lineal Mixto'!$C$529</f>
      </c>
      <c r="C5573" s="5" t="str">
        <f>'Lineal Mixto'!$C$530</f>
      </c>
      <c r="D5573" s="5" t="str">
        <f>MIN(INT(B5573*5),4)</f>
      </c>
      <c r="E5573" s="5" t="str">
        <f>MIN(INT(C5573*5),4)</f>
      </c>
      <c r="F5573" s="5" t="str">
        <f>D5573*5+E5573</f>
      </c>
    </row>
    <row r="5574">
      <c r="A5574" s="6">
        <v>526</v>
      </c>
      <c r="B5574" s="6" t="str">
        <f>'Lineal Mixto'!$C$530</f>
      </c>
      <c r="C5574" s="6" t="str">
        <f>'Lineal Mixto'!$C$531</f>
      </c>
      <c r="D5574" s="6" t="str">
        <f>MIN(INT(B5574*5),4)</f>
      </c>
      <c r="E5574" s="6" t="str">
        <f>MIN(INT(C5574*5),4)</f>
      </c>
      <c r="F5574" s="6" t="str">
        <f>D5574*5+E5574</f>
      </c>
    </row>
    <row r="5575">
      <c r="A5575" s="5">
        <v>527</v>
      </c>
      <c r="B5575" s="5" t="str">
        <f>'Lineal Mixto'!$C$531</f>
      </c>
      <c r="C5575" s="5" t="str">
        <f>'Lineal Mixto'!$C$532</f>
      </c>
      <c r="D5575" s="5" t="str">
        <f>MIN(INT(B5575*5),4)</f>
      </c>
      <c r="E5575" s="5" t="str">
        <f>MIN(INT(C5575*5),4)</f>
      </c>
      <c r="F5575" s="5" t="str">
        <f>D5575*5+E5575</f>
      </c>
    </row>
    <row r="5576">
      <c r="A5576" s="6">
        <v>528</v>
      </c>
      <c r="B5576" s="6" t="str">
        <f>'Lineal Mixto'!$C$532</f>
      </c>
      <c r="C5576" s="6" t="str">
        <f>'Lineal Mixto'!$C$533</f>
      </c>
      <c r="D5576" s="6" t="str">
        <f>MIN(INT(B5576*5),4)</f>
      </c>
      <c r="E5576" s="6" t="str">
        <f>MIN(INT(C5576*5),4)</f>
      </c>
      <c r="F5576" s="6" t="str">
        <f>D5576*5+E5576</f>
      </c>
    </row>
    <row r="5577">
      <c r="A5577" s="5">
        <v>529</v>
      </c>
      <c r="B5577" s="5" t="str">
        <f>'Lineal Mixto'!$C$533</f>
      </c>
      <c r="C5577" s="5" t="str">
        <f>'Lineal Mixto'!$C$534</f>
      </c>
      <c r="D5577" s="5" t="str">
        <f>MIN(INT(B5577*5),4)</f>
      </c>
      <c r="E5577" s="5" t="str">
        <f>MIN(INT(C5577*5),4)</f>
      </c>
      <c r="F5577" s="5" t="str">
        <f>D5577*5+E5577</f>
      </c>
    </row>
    <row r="5578">
      <c r="A5578" s="6">
        <v>530</v>
      </c>
      <c r="B5578" s="6" t="str">
        <f>'Lineal Mixto'!$C$534</f>
      </c>
      <c r="C5578" s="6" t="str">
        <f>'Lineal Mixto'!$C$535</f>
      </c>
      <c r="D5578" s="6" t="str">
        <f>MIN(INT(B5578*5),4)</f>
      </c>
      <c r="E5578" s="6" t="str">
        <f>MIN(INT(C5578*5),4)</f>
      </c>
      <c r="F5578" s="6" t="str">
        <f>D5578*5+E5578</f>
      </c>
    </row>
    <row r="5579">
      <c r="A5579" s="5">
        <v>531</v>
      </c>
      <c r="B5579" s="5" t="str">
        <f>'Lineal Mixto'!$C$535</f>
      </c>
      <c r="C5579" s="5" t="str">
        <f>'Lineal Mixto'!$C$536</f>
      </c>
      <c r="D5579" s="5" t="str">
        <f>MIN(INT(B5579*5),4)</f>
      </c>
      <c r="E5579" s="5" t="str">
        <f>MIN(INT(C5579*5),4)</f>
      </c>
      <c r="F5579" s="5" t="str">
        <f>D5579*5+E5579</f>
      </c>
    </row>
    <row r="5580">
      <c r="A5580" s="6">
        <v>532</v>
      </c>
      <c r="B5580" s="6" t="str">
        <f>'Lineal Mixto'!$C$536</f>
      </c>
      <c r="C5580" s="6" t="str">
        <f>'Lineal Mixto'!$C$537</f>
      </c>
      <c r="D5580" s="6" t="str">
        <f>MIN(INT(B5580*5),4)</f>
      </c>
      <c r="E5580" s="6" t="str">
        <f>MIN(INT(C5580*5),4)</f>
      </c>
      <c r="F5580" s="6" t="str">
        <f>D5580*5+E5580</f>
      </c>
    </row>
    <row r="5581">
      <c r="A5581" s="5">
        <v>533</v>
      </c>
      <c r="B5581" s="5" t="str">
        <f>'Lineal Mixto'!$C$537</f>
      </c>
      <c r="C5581" s="5" t="str">
        <f>'Lineal Mixto'!$C$538</f>
      </c>
      <c r="D5581" s="5" t="str">
        <f>MIN(INT(B5581*5),4)</f>
      </c>
      <c r="E5581" s="5" t="str">
        <f>MIN(INT(C5581*5),4)</f>
      </c>
      <c r="F5581" s="5" t="str">
        <f>D5581*5+E5581</f>
      </c>
    </row>
    <row r="5582">
      <c r="A5582" s="6">
        <v>534</v>
      </c>
      <c r="B5582" s="6" t="str">
        <f>'Lineal Mixto'!$C$538</f>
      </c>
      <c r="C5582" s="6" t="str">
        <f>'Lineal Mixto'!$C$539</f>
      </c>
      <c r="D5582" s="6" t="str">
        <f>MIN(INT(B5582*5),4)</f>
      </c>
      <c r="E5582" s="6" t="str">
        <f>MIN(INT(C5582*5),4)</f>
      </c>
      <c r="F5582" s="6" t="str">
        <f>D5582*5+E5582</f>
      </c>
    </row>
    <row r="5583">
      <c r="A5583" s="5">
        <v>535</v>
      </c>
      <c r="B5583" s="5" t="str">
        <f>'Lineal Mixto'!$C$539</f>
      </c>
      <c r="C5583" s="5" t="str">
        <f>'Lineal Mixto'!$C$540</f>
      </c>
      <c r="D5583" s="5" t="str">
        <f>MIN(INT(B5583*5),4)</f>
      </c>
      <c r="E5583" s="5" t="str">
        <f>MIN(INT(C5583*5),4)</f>
      </c>
      <c r="F5583" s="5" t="str">
        <f>D5583*5+E5583</f>
      </c>
    </row>
    <row r="5584">
      <c r="A5584" s="6">
        <v>536</v>
      </c>
      <c r="B5584" s="6" t="str">
        <f>'Lineal Mixto'!$C$540</f>
      </c>
      <c r="C5584" s="6" t="str">
        <f>'Lineal Mixto'!$C$541</f>
      </c>
      <c r="D5584" s="6" t="str">
        <f>MIN(INT(B5584*5),4)</f>
      </c>
      <c r="E5584" s="6" t="str">
        <f>MIN(INT(C5584*5),4)</f>
      </c>
      <c r="F5584" s="6" t="str">
        <f>D5584*5+E5584</f>
      </c>
    </row>
    <row r="5585">
      <c r="A5585" s="5">
        <v>537</v>
      </c>
      <c r="B5585" s="5" t="str">
        <f>'Lineal Mixto'!$C$541</f>
      </c>
      <c r="C5585" s="5" t="str">
        <f>'Lineal Mixto'!$C$542</f>
      </c>
      <c r="D5585" s="5" t="str">
        <f>MIN(INT(B5585*5),4)</f>
      </c>
      <c r="E5585" s="5" t="str">
        <f>MIN(INT(C5585*5),4)</f>
      </c>
      <c r="F5585" s="5" t="str">
        <f>D5585*5+E5585</f>
      </c>
    </row>
    <row r="5586">
      <c r="A5586" s="6">
        <v>538</v>
      </c>
      <c r="B5586" s="6" t="str">
        <f>'Lineal Mixto'!$C$542</f>
      </c>
      <c r="C5586" s="6" t="str">
        <f>'Lineal Mixto'!$C$543</f>
      </c>
      <c r="D5586" s="6" t="str">
        <f>MIN(INT(B5586*5),4)</f>
      </c>
      <c r="E5586" s="6" t="str">
        <f>MIN(INT(C5586*5),4)</f>
      </c>
      <c r="F5586" s="6" t="str">
        <f>D5586*5+E5586</f>
      </c>
    </row>
    <row r="5587">
      <c r="A5587" s="5">
        <v>539</v>
      </c>
      <c r="B5587" s="5" t="str">
        <f>'Lineal Mixto'!$C$543</f>
      </c>
      <c r="C5587" s="5" t="str">
        <f>'Lineal Mixto'!$C$544</f>
      </c>
      <c r="D5587" s="5" t="str">
        <f>MIN(INT(B5587*5),4)</f>
      </c>
      <c r="E5587" s="5" t="str">
        <f>MIN(INT(C5587*5),4)</f>
      </c>
      <c r="F5587" s="5" t="str">
        <f>D5587*5+E5587</f>
      </c>
    </row>
    <row r="5588">
      <c r="A5588" s="6">
        <v>540</v>
      </c>
      <c r="B5588" s="6" t="str">
        <f>'Lineal Mixto'!$C$544</f>
      </c>
      <c r="C5588" s="6" t="str">
        <f>'Lineal Mixto'!$C$545</f>
      </c>
      <c r="D5588" s="6" t="str">
        <f>MIN(INT(B5588*5),4)</f>
      </c>
      <c r="E5588" s="6" t="str">
        <f>MIN(INT(C5588*5),4)</f>
      </c>
      <c r="F5588" s="6" t="str">
        <f>D5588*5+E5588</f>
      </c>
    </row>
    <row r="5589">
      <c r="A5589" s="5">
        <v>541</v>
      </c>
      <c r="B5589" s="5" t="str">
        <f>'Lineal Mixto'!$C$545</f>
      </c>
      <c r="C5589" s="5" t="str">
        <f>'Lineal Mixto'!$C$546</f>
      </c>
      <c r="D5589" s="5" t="str">
        <f>MIN(INT(B5589*5),4)</f>
      </c>
      <c r="E5589" s="5" t="str">
        <f>MIN(INT(C5589*5),4)</f>
      </c>
      <c r="F5589" s="5" t="str">
        <f>D5589*5+E5589</f>
      </c>
    </row>
    <row r="5590">
      <c r="A5590" s="6">
        <v>542</v>
      </c>
      <c r="B5590" s="6" t="str">
        <f>'Lineal Mixto'!$C$546</f>
      </c>
      <c r="C5590" s="6" t="str">
        <f>'Lineal Mixto'!$C$547</f>
      </c>
      <c r="D5590" s="6" t="str">
        <f>MIN(INT(B5590*5),4)</f>
      </c>
      <c r="E5590" s="6" t="str">
        <f>MIN(INT(C5590*5),4)</f>
      </c>
      <c r="F5590" s="6" t="str">
        <f>D5590*5+E5590</f>
      </c>
    </row>
    <row r="5591">
      <c r="A5591" s="5">
        <v>543</v>
      </c>
      <c r="B5591" s="5" t="str">
        <f>'Lineal Mixto'!$C$547</f>
      </c>
      <c r="C5591" s="5" t="str">
        <f>'Lineal Mixto'!$C$548</f>
      </c>
      <c r="D5591" s="5" t="str">
        <f>MIN(INT(B5591*5),4)</f>
      </c>
      <c r="E5591" s="5" t="str">
        <f>MIN(INT(C5591*5),4)</f>
      </c>
      <c r="F5591" s="5" t="str">
        <f>D5591*5+E5591</f>
      </c>
    </row>
    <row r="5592">
      <c r="A5592" s="6">
        <v>544</v>
      </c>
      <c r="B5592" s="6" t="str">
        <f>'Lineal Mixto'!$C$548</f>
      </c>
      <c r="C5592" s="6" t="str">
        <f>'Lineal Mixto'!$C$549</f>
      </c>
      <c r="D5592" s="6" t="str">
        <f>MIN(INT(B5592*5),4)</f>
      </c>
      <c r="E5592" s="6" t="str">
        <f>MIN(INT(C5592*5),4)</f>
      </c>
      <c r="F5592" s="6" t="str">
        <f>D5592*5+E5592</f>
      </c>
    </row>
    <row r="5593">
      <c r="A5593" s="5">
        <v>545</v>
      </c>
      <c r="B5593" s="5" t="str">
        <f>'Lineal Mixto'!$C$549</f>
      </c>
      <c r="C5593" s="5" t="str">
        <f>'Lineal Mixto'!$C$550</f>
      </c>
      <c r="D5593" s="5" t="str">
        <f>MIN(INT(B5593*5),4)</f>
      </c>
      <c r="E5593" s="5" t="str">
        <f>MIN(INT(C5593*5),4)</f>
      </c>
      <c r="F5593" s="5" t="str">
        <f>D5593*5+E5593</f>
      </c>
    </row>
    <row r="5594">
      <c r="A5594" s="6">
        <v>546</v>
      </c>
      <c r="B5594" s="6" t="str">
        <f>'Lineal Mixto'!$C$550</f>
      </c>
      <c r="C5594" s="6" t="str">
        <f>'Lineal Mixto'!$C$551</f>
      </c>
      <c r="D5594" s="6" t="str">
        <f>MIN(INT(B5594*5),4)</f>
      </c>
      <c r="E5594" s="6" t="str">
        <f>MIN(INT(C5594*5),4)</f>
      </c>
      <c r="F5594" s="6" t="str">
        <f>D5594*5+E5594</f>
      </c>
    </row>
    <row r="5595">
      <c r="A5595" s="5">
        <v>547</v>
      </c>
      <c r="B5595" s="5" t="str">
        <f>'Lineal Mixto'!$C$551</f>
      </c>
      <c r="C5595" s="5" t="str">
        <f>'Lineal Mixto'!$C$552</f>
      </c>
      <c r="D5595" s="5" t="str">
        <f>MIN(INT(B5595*5),4)</f>
      </c>
      <c r="E5595" s="5" t="str">
        <f>MIN(INT(C5595*5),4)</f>
      </c>
      <c r="F5595" s="5" t="str">
        <f>D5595*5+E5595</f>
      </c>
    </row>
    <row r="5596">
      <c r="A5596" s="6">
        <v>548</v>
      </c>
      <c r="B5596" s="6" t="str">
        <f>'Lineal Mixto'!$C$552</f>
      </c>
      <c r="C5596" s="6" t="str">
        <f>'Lineal Mixto'!$C$553</f>
      </c>
      <c r="D5596" s="6" t="str">
        <f>MIN(INT(B5596*5),4)</f>
      </c>
      <c r="E5596" s="6" t="str">
        <f>MIN(INT(C5596*5),4)</f>
      </c>
      <c r="F5596" s="6" t="str">
        <f>D5596*5+E5596</f>
      </c>
    </row>
    <row r="5597">
      <c r="A5597" s="5">
        <v>549</v>
      </c>
      <c r="B5597" s="5" t="str">
        <f>'Lineal Mixto'!$C$553</f>
      </c>
      <c r="C5597" s="5" t="str">
        <f>'Lineal Mixto'!$C$554</f>
      </c>
      <c r="D5597" s="5" t="str">
        <f>MIN(INT(B5597*5),4)</f>
      </c>
      <c r="E5597" s="5" t="str">
        <f>MIN(INT(C5597*5),4)</f>
      </c>
      <c r="F5597" s="5" t="str">
        <f>D5597*5+E5597</f>
      </c>
    </row>
    <row r="5598">
      <c r="A5598" s="6">
        <v>550</v>
      </c>
      <c r="B5598" s="6" t="str">
        <f>'Lineal Mixto'!$C$554</f>
      </c>
      <c r="C5598" s="6" t="str">
        <f>'Lineal Mixto'!$C$555</f>
      </c>
      <c r="D5598" s="6" t="str">
        <f>MIN(INT(B5598*5),4)</f>
      </c>
      <c r="E5598" s="6" t="str">
        <f>MIN(INT(C5598*5),4)</f>
      </c>
      <c r="F5598" s="6" t="str">
        <f>D5598*5+E5598</f>
      </c>
    </row>
    <row r="5599">
      <c r="A5599" s="5">
        <v>551</v>
      </c>
      <c r="B5599" s="5" t="str">
        <f>'Lineal Mixto'!$C$555</f>
      </c>
      <c r="C5599" s="5" t="str">
        <f>'Lineal Mixto'!$C$556</f>
      </c>
      <c r="D5599" s="5" t="str">
        <f>MIN(INT(B5599*5),4)</f>
      </c>
      <c r="E5599" s="5" t="str">
        <f>MIN(INT(C5599*5),4)</f>
      </c>
      <c r="F5599" s="5" t="str">
        <f>D5599*5+E5599</f>
      </c>
    </row>
    <row r="5600">
      <c r="A5600" s="6">
        <v>552</v>
      </c>
      <c r="B5600" s="6" t="str">
        <f>'Lineal Mixto'!$C$556</f>
      </c>
      <c r="C5600" s="6" t="str">
        <f>'Lineal Mixto'!$C$557</f>
      </c>
      <c r="D5600" s="6" t="str">
        <f>MIN(INT(B5600*5),4)</f>
      </c>
      <c r="E5600" s="6" t="str">
        <f>MIN(INT(C5600*5),4)</f>
      </c>
      <c r="F5600" s="6" t="str">
        <f>D5600*5+E5600</f>
      </c>
    </row>
    <row r="5601">
      <c r="A5601" s="5">
        <v>553</v>
      </c>
      <c r="B5601" s="5" t="str">
        <f>'Lineal Mixto'!$C$557</f>
      </c>
      <c r="C5601" s="5" t="str">
        <f>'Lineal Mixto'!$C$558</f>
      </c>
      <c r="D5601" s="5" t="str">
        <f>MIN(INT(B5601*5),4)</f>
      </c>
      <c r="E5601" s="5" t="str">
        <f>MIN(INT(C5601*5),4)</f>
      </c>
      <c r="F5601" s="5" t="str">
        <f>D5601*5+E5601</f>
      </c>
    </row>
    <row r="5602">
      <c r="A5602" s="6">
        <v>554</v>
      </c>
      <c r="B5602" s="6" t="str">
        <f>'Lineal Mixto'!$C$558</f>
      </c>
      <c r="C5602" s="6" t="str">
        <f>'Lineal Mixto'!$C$559</f>
      </c>
      <c r="D5602" s="6" t="str">
        <f>MIN(INT(B5602*5),4)</f>
      </c>
      <c r="E5602" s="6" t="str">
        <f>MIN(INT(C5602*5),4)</f>
      </c>
      <c r="F5602" s="6" t="str">
        <f>D5602*5+E5602</f>
      </c>
    </row>
    <row r="5603">
      <c r="A5603" s="5">
        <v>555</v>
      </c>
      <c r="B5603" s="5" t="str">
        <f>'Lineal Mixto'!$C$559</f>
      </c>
      <c r="C5603" s="5" t="str">
        <f>'Lineal Mixto'!$C$560</f>
      </c>
      <c r="D5603" s="5" t="str">
        <f>MIN(INT(B5603*5),4)</f>
      </c>
      <c r="E5603" s="5" t="str">
        <f>MIN(INT(C5603*5),4)</f>
      </c>
      <c r="F5603" s="5" t="str">
        <f>D5603*5+E5603</f>
      </c>
    </row>
    <row r="5604">
      <c r="A5604" s="6">
        <v>556</v>
      </c>
      <c r="B5604" s="6" t="str">
        <f>'Lineal Mixto'!$C$560</f>
      </c>
      <c r="C5604" s="6" t="str">
        <f>'Lineal Mixto'!$C$561</f>
      </c>
      <c r="D5604" s="6" t="str">
        <f>MIN(INT(B5604*5),4)</f>
      </c>
      <c r="E5604" s="6" t="str">
        <f>MIN(INT(C5604*5),4)</f>
      </c>
      <c r="F5604" s="6" t="str">
        <f>D5604*5+E5604</f>
      </c>
    </row>
    <row r="5605">
      <c r="A5605" s="5">
        <v>557</v>
      </c>
      <c r="B5605" s="5" t="str">
        <f>'Lineal Mixto'!$C$561</f>
      </c>
      <c r="C5605" s="5" t="str">
        <f>'Lineal Mixto'!$C$562</f>
      </c>
      <c r="D5605" s="5" t="str">
        <f>MIN(INT(B5605*5),4)</f>
      </c>
      <c r="E5605" s="5" t="str">
        <f>MIN(INT(C5605*5),4)</f>
      </c>
      <c r="F5605" s="5" t="str">
        <f>D5605*5+E5605</f>
      </c>
    </row>
    <row r="5606">
      <c r="A5606" s="6">
        <v>558</v>
      </c>
      <c r="B5606" s="6" t="str">
        <f>'Lineal Mixto'!$C$562</f>
      </c>
      <c r="C5606" s="6" t="str">
        <f>'Lineal Mixto'!$C$563</f>
      </c>
      <c r="D5606" s="6" t="str">
        <f>MIN(INT(B5606*5),4)</f>
      </c>
      <c r="E5606" s="6" t="str">
        <f>MIN(INT(C5606*5),4)</f>
      </c>
      <c r="F5606" s="6" t="str">
        <f>D5606*5+E5606</f>
      </c>
    </row>
    <row r="5607">
      <c r="A5607" s="5">
        <v>559</v>
      </c>
      <c r="B5607" s="5" t="str">
        <f>'Lineal Mixto'!$C$563</f>
      </c>
      <c r="C5607" s="5" t="str">
        <f>'Lineal Mixto'!$C$564</f>
      </c>
      <c r="D5607" s="5" t="str">
        <f>MIN(INT(B5607*5),4)</f>
      </c>
      <c r="E5607" s="5" t="str">
        <f>MIN(INT(C5607*5),4)</f>
      </c>
      <c r="F5607" s="5" t="str">
        <f>D5607*5+E5607</f>
      </c>
    </row>
    <row r="5608">
      <c r="A5608" s="6">
        <v>560</v>
      </c>
      <c r="B5608" s="6" t="str">
        <f>'Lineal Mixto'!$C$564</f>
      </c>
      <c r="C5608" s="6" t="str">
        <f>'Lineal Mixto'!$C$565</f>
      </c>
      <c r="D5608" s="6" t="str">
        <f>MIN(INT(B5608*5),4)</f>
      </c>
      <c r="E5608" s="6" t="str">
        <f>MIN(INT(C5608*5),4)</f>
      </c>
      <c r="F5608" s="6" t="str">
        <f>D5608*5+E5608</f>
      </c>
    </row>
    <row r="5609">
      <c r="A5609" s="5">
        <v>561</v>
      </c>
      <c r="B5609" s="5" t="str">
        <f>'Lineal Mixto'!$C$565</f>
      </c>
      <c r="C5609" s="5" t="str">
        <f>'Lineal Mixto'!$C$566</f>
      </c>
      <c r="D5609" s="5" t="str">
        <f>MIN(INT(B5609*5),4)</f>
      </c>
      <c r="E5609" s="5" t="str">
        <f>MIN(INT(C5609*5),4)</f>
      </c>
      <c r="F5609" s="5" t="str">
        <f>D5609*5+E5609</f>
      </c>
    </row>
    <row r="5610">
      <c r="A5610" s="6">
        <v>562</v>
      </c>
      <c r="B5610" s="6" t="str">
        <f>'Lineal Mixto'!$C$566</f>
      </c>
      <c r="C5610" s="6" t="str">
        <f>'Lineal Mixto'!$C$567</f>
      </c>
      <c r="D5610" s="6" t="str">
        <f>MIN(INT(B5610*5),4)</f>
      </c>
      <c r="E5610" s="6" t="str">
        <f>MIN(INT(C5610*5),4)</f>
      </c>
      <c r="F5610" s="6" t="str">
        <f>D5610*5+E5610</f>
      </c>
    </row>
    <row r="5611">
      <c r="A5611" s="5">
        <v>563</v>
      </c>
      <c r="B5611" s="5" t="str">
        <f>'Lineal Mixto'!$C$567</f>
      </c>
      <c r="C5611" s="5" t="str">
        <f>'Lineal Mixto'!$C$568</f>
      </c>
      <c r="D5611" s="5" t="str">
        <f>MIN(INT(B5611*5),4)</f>
      </c>
      <c r="E5611" s="5" t="str">
        <f>MIN(INT(C5611*5),4)</f>
      </c>
      <c r="F5611" s="5" t="str">
        <f>D5611*5+E5611</f>
      </c>
    </row>
    <row r="5612">
      <c r="A5612" s="6">
        <v>564</v>
      </c>
      <c r="B5612" s="6" t="str">
        <f>'Lineal Mixto'!$C$568</f>
      </c>
      <c r="C5612" s="6" t="str">
        <f>'Lineal Mixto'!$C$569</f>
      </c>
      <c r="D5612" s="6" t="str">
        <f>MIN(INT(B5612*5),4)</f>
      </c>
      <c r="E5612" s="6" t="str">
        <f>MIN(INT(C5612*5),4)</f>
      </c>
      <c r="F5612" s="6" t="str">
        <f>D5612*5+E5612</f>
      </c>
    </row>
    <row r="5613">
      <c r="A5613" s="5">
        <v>565</v>
      </c>
      <c r="B5613" s="5" t="str">
        <f>'Lineal Mixto'!$C$569</f>
      </c>
      <c r="C5613" s="5" t="str">
        <f>'Lineal Mixto'!$C$570</f>
      </c>
      <c r="D5613" s="5" t="str">
        <f>MIN(INT(B5613*5),4)</f>
      </c>
      <c r="E5613" s="5" t="str">
        <f>MIN(INT(C5613*5),4)</f>
      </c>
      <c r="F5613" s="5" t="str">
        <f>D5613*5+E5613</f>
      </c>
    </row>
    <row r="5614">
      <c r="A5614" s="6">
        <v>566</v>
      </c>
      <c r="B5614" s="6" t="str">
        <f>'Lineal Mixto'!$C$570</f>
      </c>
      <c r="C5614" s="6" t="str">
        <f>'Lineal Mixto'!$C$571</f>
      </c>
      <c r="D5614" s="6" t="str">
        <f>MIN(INT(B5614*5),4)</f>
      </c>
      <c r="E5614" s="6" t="str">
        <f>MIN(INT(C5614*5),4)</f>
      </c>
      <c r="F5614" s="6" t="str">
        <f>D5614*5+E5614</f>
      </c>
    </row>
    <row r="5615">
      <c r="A5615" s="5">
        <v>567</v>
      </c>
      <c r="B5615" s="5" t="str">
        <f>'Lineal Mixto'!$C$571</f>
      </c>
      <c r="C5615" s="5" t="str">
        <f>'Lineal Mixto'!$C$572</f>
      </c>
      <c r="D5615" s="5" t="str">
        <f>MIN(INT(B5615*5),4)</f>
      </c>
      <c r="E5615" s="5" t="str">
        <f>MIN(INT(C5615*5),4)</f>
      </c>
      <c r="F5615" s="5" t="str">
        <f>D5615*5+E5615</f>
      </c>
    </row>
    <row r="5616">
      <c r="A5616" s="6">
        <v>568</v>
      </c>
      <c r="B5616" s="6" t="str">
        <f>'Lineal Mixto'!$C$572</f>
      </c>
      <c r="C5616" s="6" t="str">
        <f>'Lineal Mixto'!$C$573</f>
      </c>
      <c r="D5616" s="6" t="str">
        <f>MIN(INT(B5616*5),4)</f>
      </c>
      <c r="E5616" s="6" t="str">
        <f>MIN(INT(C5616*5),4)</f>
      </c>
      <c r="F5616" s="6" t="str">
        <f>D5616*5+E5616</f>
      </c>
    </row>
    <row r="5617">
      <c r="A5617" s="5">
        <v>569</v>
      </c>
      <c r="B5617" s="5" t="str">
        <f>'Lineal Mixto'!$C$573</f>
      </c>
      <c r="C5617" s="5" t="str">
        <f>'Lineal Mixto'!$C$574</f>
      </c>
      <c r="D5617" s="5" t="str">
        <f>MIN(INT(B5617*5),4)</f>
      </c>
      <c r="E5617" s="5" t="str">
        <f>MIN(INT(C5617*5),4)</f>
      </c>
      <c r="F5617" s="5" t="str">
        <f>D5617*5+E5617</f>
      </c>
    </row>
    <row r="5618">
      <c r="A5618" s="6">
        <v>570</v>
      </c>
      <c r="B5618" s="6" t="str">
        <f>'Lineal Mixto'!$C$574</f>
      </c>
      <c r="C5618" s="6" t="str">
        <f>'Lineal Mixto'!$C$575</f>
      </c>
      <c r="D5618" s="6" t="str">
        <f>MIN(INT(B5618*5),4)</f>
      </c>
      <c r="E5618" s="6" t="str">
        <f>MIN(INT(C5618*5),4)</f>
      </c>
      <c r="F5618" s="6" t="str">
        <f>D5618*5+E5618</f>
      </c>
    </row>
    <row r="5619">
      <c r="A5619" s="5">
        <v>571</v>
      </c>
      <c r="B5619" s="5" t="str">
        <f>'Lineal Mixto'!$C$575</f>
      </c>
      <c r="C5619" s="5" t="str">
        <f>'Lineal Mixto'!$C$576</f>
      </c>
      <c r="D5619" s="5" t="str">
        <f>MIN(INT(B5619*5),4)</f>
      </c>
      <c r="E5619" s="5" t="str">
        <f>MIN(INT(C5619*5),4)</f>
      </c>
      <c r="F5619" s="5" t="str">
        <f>D5619*5+E5619</f>
      </c>
    </row>
    <row r="5620">
      <c r="A5620" s="6">
        <v>572</v>
      </c>
      <c r="B5620" s="6" t="str">
        <f>'Lineal Mixto'!$C$576</f>
      </c>
      <c r="C5620" s="6" t="str">
        <f>'Lineal Mixto'!$C$577</f>
      </c>
      <c r="D5620" s="6" t="str">
        <f>MIN(INT(B5620*5),4)</f>
      </c>
      <c r="E5620" s="6" t="str">
        <f>MIN(INT(C5620*5),4)</f>
      </c>
      <c r="F5620" s="6" t="str">
        <f>D5620*5+E5620</f>
      </c>
    </row>
    <row r="5621">
      <c r="A5621" s="5">
        <v>573</v>
      </c>
      <c r="B5621" s="5" t="str">
        <f>'Lineal Mixto'!$C$577</f>
      </c>
      <c r="C5621" s="5" t="str">
        <f>'Lineal Mixto'!$C$578</f>
      </c>
      <c r="D5621" s="5" t="str">
        <f>MIN(INT(B5621*5),4)</f>
      </c>
      <c r="E5621" s="5" t="str">
        <f>MIN(INT(C5621*5),4)</f>
      </c>
      <c r="F5621" s="5" t="str">
        <f>D5621*5+E5621</f>
      </c>
    </row>
    <row r="5622">
      <c r="A5622" s="6">
        <v>574</v>
      </c>
      <c r="B5622" s="6" t="str">
        <f>'Lineal Mixto'!$C$578</f>
      </c>
      <c r="C5622" s="6" t="str">
        <f>'Lineal Mixto'!$C$579</f>
      </c>
      <c r="D5622" s="6" t="str">
        <f>MIN(INT(B5622*5),4)</f>
      </c>
      <c r="E5622" s="6" t="str">
        <f>MIN(INT(C5622*5),4)</f>
      </c>
      <c r="F5622" s="6" t="str">
        <f>D5622*5+E5622</f>
      </c>
    </row>
    <row r="5623">
      <c r="A5623" s="5">
        <v>575</v>
      </c>
      <c r="B5623" s="5" t="str">
        <f>'Lineal Mixto'!$C$579</f>
      </c>
      <c r="C5623" s="5" t="str">
        <f>'Lineal Mixto'!$C$580</f>
      </c>
      <c r="D5623" s="5" t="str">
        <f>MIN(INT(B5623*5),4)</f>
      </c>
      <c r="E5623" s="5" t="str">
        <f>MIN(INT(C5623*5),4)</f>
      </c>
      <c r="F5623" s="5" t="str">
        <f>D5623*5+E5623</f>
      </c>
    </row>
    <row r="5624">
      <c r="A5624" s="6">
        <v>576</v>
      </c>
      <c r="B5624" s="6" t="str">
        <f>'Lineal Mixto'!$C$580</f>
      </c>
      <c r="C5624" s="6" t="str">
        <f>'Lineal Mixto'!$C$581</f>
      </c>
      <c r="D5624" s="6" t="str">
        <f>MIN(INT(B5624*5),4)</f>
      </c>
      <c r="E5624" s="6" t="str">
        <f>MIN(INT(C5624*5),4)</f>
      </c>
      <c r="F5624" s="6" t="str">
        <f>D5624*5+E5624</f>
      </c>
    </row>
    <row r="5625">
      <c r="A5625" s="5">
        <v>577</v>
      </c>
      <c r="B5625" s="5" t="str">
        <f>'Lineal Mixto'!$C$581</f>
      </c>
      <c r="C5625" s="5" t="str">
        <f>'Lineal Mixto'!$C$582</f>
      </c>
      <c r="D5625" s="5" t="str">
        <f>MIN(INT(B5625*5),4)</f>
      </c>
      <c r="E5625" s="5" t="str">
        <f>MIN(INT(C5625*5),4)</f>
      </c>
      <c r="F5625" s="5" t="str">
        <f>D5625*5+E5625</f>
      </c>
    </row>
    <row r="5626">
      <c r="A5626" s="6">
        <v>578</v>
      </c>
      <c r="B5626" s="6" t="str">
        <f>'Lineal Mixto'!$C$582</f>
      </c>
      <c r="C5626" s="6" t="str">
        <f>'Lineal Mixto'!$C$583</f>
      </c>
      <c r="D5626" s="6" t="str">
        <f>MIN(INT(B5626*5),4)</f>
      </c>
      <c r="E5626" s="6" t="str">
        <f>MIN(INT(C5626*5),4)</f>
      </c>
      <c r="F5626" s="6" t="str">
        <f>D5626*5+E5626</f>
      </c>
    </row>
    <row r="5627">
      <c r="A5627" s="5">
        <v>579</v>
      </c>
      <c r="B5627" s="5" t="str">
        <f>'Lineal Mixto'!$C$583</f>
      </c>
      <c r="C5627" s="5" t="str">
        <f>'Lineal Mixto'!$C$584</f>
      </c>
      <c r="D5627" s="5" t="str">
        <f>MIN(INT(B5627*5),4)</f>
      </c>
      <c r="E5627" s="5" t="str">
        <f>MIN(INT(C5627*5),4)</f>
      </c>
      <c r="F5627" s="5" t="str">
        <f>D5627*5+E5627</f>
      </c>
    </row>
    <row r="5628">
      <c r="A5628" s="6">
        <v>580</v>
      </c>
      <c r="B5628" s="6" t="str">
        <f>'Lineal Mixto'!$C$584</f>
      </c>
      <c r="C5628" s="6" t="str">
        <f>'Lineal Mixto'!$C$585</f>
      </c>
      <c r="D5628" s="6" t="str">
        <f>MIN(INT(B5628*5),4)</f>
      </c>
      <c r="E5628" s="6" t="str">
        <f>MIN(INT(C5628*5),4)</f>
      </c>
      <c r="F5628" s="6" t="str">
        <f>D5628*5+E5628</f>
      </c>
    </row>
    <row r="5629">
      <c r="A5629" s="5">
        <v>581</v>
      </c>
      <c r="B5629" s="5" t="str">
        <f>'Lineal Mixto'!$C$585</f>
      </c>
      <c r="C5629" s="5" t="str">
        <f>'Lineal Mixto'!$C$586</f>
      </c>
      <c r="D5629" s="5" t="str">
        <f>MIN(INT(B5629*5),4)</f>
      </c>
      <c r="E5629" s="5" t="str">
        <f>MIN(INT(C5629*5),4)</f>
      </c>
      <c r="F5629" s="5" t="str">
        <f>D5629*5+E5629</f>
      </c>
    </row>
    <row r="5630">
      <c r="A5630" s="6">
        <v>582</v>
      </c>
      <c r="B5630" s="6" t="str">
        <f>'Lineal Mixto'!$C$586</f>
      </c>
      <c r="C5630" s="6" t="str">
        <f>'Lineal Mixto'!$C$587</f>
      </c>
      <c r="D5630" s="6" t="str">
        <f>MIN(INT(B5630*5),4)</f>
      </c>
      <c r="E5630" s="6" t="str">
        <f>MIN(INT(C5630*5),4)</f>
      </c>
      <c r="F5630" s="6" t="str">
        <f>D5630*5+E5630</f>
      </c>
    </row>
    <row r="5631">
      <c r="A5631" s="5">
        <v>583</v>
      </c>
      <c r="B5631" s="5" t="str">
        <f>'Lineal Mixto'!$C$587</f>
      </c>
      <c r="C5631" s="5" t="str">
        <f>'Lineal Mixto'!$C$588</f>
      </c>
      <c r="D5631" s="5" t="str">
        <f>MIN(INT(B5631*5),4)</f>
      </c>
      <c r="E5631" s="5" t="str">
        <f>MIN(INT(C5631*5),4)</f>
      </c>
      <c r="F5631" s="5" t="str">
        <f>D5631*5+E5631</f>
      </c>
    </row>
    <row r="5632">
      <c r="A5632" s="6">
        <v>584</v>
      </c>
      <c r="B5632" s="6" t="str">
        <f>'Lineal Mixto'!$C$588</f>
      </c>
      <c r="C5632" s="6" t="str">
        <f>'Lineal Mixto'!$C$589</f>
      </c>
      <c r="D5632" s="6" t="str">
        <f>MIN(INT(B5632*5),4)</f>
      </c>
      <c r="E5632" s="6" t="str">
        <f>MIN(INT(C5632*5),4)</f>
      </c>
      <c r="F5632" s="6" t="str">
        <f>D5632*5+E5632</f>
      </c>
    </row>
    <row r="5633">
      <c r="A5633" s="5">
        <v>585</v>
      </c>
      <c r="B5633" s="5" t="str">
        <f>'Lineal Mixto'!$C$589</f>
      </c>
      <c r="C5633" s="5" t="str">
        <f>'Lineal Mixto'!$C$590</f>
      </c>
      <c r="D5633" s="5" t="str">
        <f>MIN(INT(B5633*5),4)</f>
      </c>
      <c r="E5633" s="5" t="str">
        <f>MIN(INT(C5633*5),4)</f>
      </c>
      <c r="F5633" s="5" t="str">
        <f>D5633*5+E5633</f>
      </c>
    </row>
    <row r="5634">
      <c r="A5634" s="6">
        <v>586</v>
      </c>
      <c r="B5634" s="6" t="str">
        <f>'Lineal Mixto'!$C$590</f>
      </c>
      <c r="C5634" s="6" t="str">
        <f>'Lineal Mixto'!$C$591</f>
      </c>
      <c r="D5634" s="6" t="str">
        <f>MIN(INT(B5634*5),4)</f>
      </c>
      <c r="E5634" s="6" t="str">
        <f>MIN(INT(C5634*5),4)</f>
      </c>
      <c r="F5634" s="6" t="str">
        <f>D5634*5+E5634</f>
      </c>
    </row>
    <row r="5635">
      <c r="A5635" s="5">
        <v>587</v>
      </c>
      <c r="B5635" s="5" t="str">
        <f>'Lineal Mixto'!$C$591</f>
      </c>
      <c r="C5635" s="5" t="str">
        <f>'Lineal Mixto'!$C$592</f>
      </c>
      <c r="D5635" s="5" t="str">
        <f>MIN(INT(B5635*5),4)</f>
      </c>
      <c r="E5635" s="5" t="str">
        <f>MIN(INT(C5635*5),4)</f>
      </c>
      <c r="F5635" s="5" t="str">
        <f>D5635*5+E5635</f>
      </c>
    </row>
    <row r="5636">
      <c r="A5636" s="6">
        <v>588</v>
      </c>
      <c r="B5636" s="6" t="str">
        <f>'Lineal Mixto'!$C$592</f>
      </c>
      <c r="C5636" s="6" t="str">
        <f>'Lineal Mixto'!$C$593</f>
      </c>
      <c r="D5636" s="6" t="str">
        <f>MIN(INT(B5636*5),4)</f>
      </c>
      <c r="E5636" s="6" t="str">
        <f>MIN(INT(C5636*5),4)</f>
      </c>
      <c r="F5636" s="6" t="str">
        <f>D5636*5+E5636</f>
      </c>
    </row>
    <row r="5637">
      <c r="A5637" s="5">
        <v>589</v>
      </c>
      <c r="B5637" s="5" t="str">
        <f>'Lineal Mixto'!$C$593</f>
      </c>
      <c r="C5637" s="5" t="str">
        <f>'Lineal Mixto'!$C$594</f>
      </c>
      <c r="D5637" s="5" t="str">
        <f>MIN(INT(B5637*5),4)</f>
      </c>
      <c r="E5637" s="5" t="str">
        <f>MIN(INT(C5637*5),4)</f>
      </c>
      <c r="F5637" s="5" t="str">
        <f>D5637*5+E5637</f>
      </c>
    </row>
    <row r="5638">
      <c r="A5638" s="6">
        <v>590</v>
      </c>
      <c r="B5638" s="6" t="str">
        <f>'Lineal Mixto'!$C$594</f>
      </c>
      <c r="C5638" s="6" t="str">
        <f>'Lineal Mixto'!$C$595</f>
      </c>
      <c r="D5638" s="6" t="str">
        <f>MIN(INT(B5638*5),4)</f>
      </c>
      <c r="E5638" s="6" t="str">
        <f>MIN(INT(C5638*5),4)</f>
      </c>
      <c r="F5638" s="6" t="str">
        <f>D5638*5+E5638</f>
      </c>
    </row>
    <row r="5639">
      <c r="A5639" s="5">
        <v>591</v>
      </c>
      <c r="B5639" s="5" t="str">
        <f>'Lineal Mixto'!$C$595</f>
      </c>
      <c r="C5639" s="5" t="str">
        <f>'Lineal Mixto'!$C$596</f>
      </c>
      <c r="D5639" s="5" t="str">
        <f>MIN(INT(B5639*5),4)</f>
      </c>
      <c r="E5639" s="5" t="str">
        <f>MIN(INT(C5639*5),4)</f>
      </c>
      <c r="F5639" s="5" t="str">
        <f>D5639*5+E5639</f>
      </c>
    </row>
    <row r="5640">
      <c r="A5640" s="6">
        <v>592</v>
      </c>
      <c r="B5640" s="6" t="str">
        <f>'Lineal Mixto'!$C$596</f>
      </c>
      <c r="C5640" s="6" t="str">
        <f>'Lineal Mixto'!$C$597</f>
      </c>
      <c r="D5640" s="6" t="str">
        <f>MIN(INT(B5640*5),4)</f>
      </c>
      <c r="E5640" s="6" t="str">
        <f>MIN(INT(C5640*5),4)</f>
      </c>
      <c r="F5640" s="6" t="str">
        <f>D5640*5+E5640</f>
      </c>
    </row>
    <row r="5641">
      <c r="A5641" s="5">
        <v>593</v>
      </c>
      <c r="B5641" s="5" t="str">
        <f>'Lineal Mixto'!$C$597</f>
      </c>
      <c r="C5641" s="5" t="str">
        <f>'Lineal Mixto'!$C$598</f>
      </c>
      <c r="D5641" s="5" t="str">
        <f>MIN(INT(B5641*5),4)</f>
      </c>
      <c r="E5641" s="5" t="str">
        <f>MIN(INT(C5641*5),4)</f>
      </c>
      <c r="F5641" s="5" t="str">
        <f>D5641*5+E5641</f>
      </c>
    </row>
    <row r="5642">
      <c r="A5642" s="6">
        <v>594</v>
      </c>
      <c r="B5642" s="6" t="str">
        <f>'Lineal Mixto'!$C$598</f>
      </c>
      <c r="C5642" s="6" t="str">
        <f>'Lineal Mixto'!$C$599</f>
      </c>
      <c r="D5642" s="6" t="str">
        <f>MIN(INT(B5642*5),4)</f>
      </c>
      <c r="E5642" s="6" t="str">
        <f>MIN(INT(C5642*5),4)</f>
      </c>
      <c r="F5642" s="6" t="str">
        <f>D5642*5+E5642</f>
      </c>
    </row>
    <row r="5643">
      <c r="A5643" s="5">
        <v>595</v>
      </c>
      <c r="B5643" s="5" t="str">
        <f>'Lineal Mixto'!$C$599</f>
      </c>
      <c r="C5643" s="5" t="str">
        <f>'Lineal Mixto'!$C$600</f>
      </c>
      <c r="D5643" s="5" t="str">
        <f>MIN(INT(B5643*5),4)</f>
      </c>
      <c r="E5643" s="5" t="str">
        <f>MIN(INT(C5643*5),4)</f>
      </c>
      <c r="F5643" s="5" t="str">
        <f>D5643*5+E5643</f>
      </c>
    </row>
    <row r="5644">
      <c r="A5644" s="6">
        <v>596</v>
      </c>
      <c r="B5644" s="6" t="str">
        <f>'Lineal Mixto'!$C$600</f>
      </c>
      <c r="C5644" s="6" t="str">
        <f>'Lineal Mixto'!$C$601</f>
      </c>
      <c r="D5644" s="6" t="str">
        <f>MIN(INT(B5644*5),4)</f>
      </c>
      <c r="E5644" s="6" t="str">
        <f>MIN(INT(C5644*5),4)</f>
      </c>
      <c r="F5644" s="6" t="str">
        <f>D5644*5+E5644</f>
      </c>
    </row>
    <row r="5645">
      <c r="A5645" s="5">
        <v>597</v>
      </c>
      <c r="B5645" s="5" t="str">
        <f>'Lineal Mixto'!$C$601</f>
      </c>
      <c r="C5645" s="5" t="str">
        <f>'Lineal Mixto'!$C$602</f>
      </c>
      <c r="D5645" s="5" t="str">
        <f>MIN(INT(B5645*5),4)</f>
      </c>
      <c r="E5645" s="5" t="str">
        <f>MIN(INT(C5645*5),4)</f>
      </c>
      <c r="F5645" s="5" t="str">
        <f>D5645*5+E5645</f>
      </c>
    </row>
    <row r="5646">
      <c r="A5646" s="6">
        <v>598</v>
      </c>
      <c r="B5646" s="6" t="str">
        <f>'Lineal Mixto'!$C$602</f>
      </c>
      <c r="C5646" s="6" t="str">
        <f>'Lineal Mixto'!$C$603</f>
      </c>
      <c r="D5646" s="6" t="str">
        <f>MIN(INT(B5646*5),4)</f>
      </c>
      <c r="E5646" s="6" t="str">
        <f>MIN(INT(C5646*5),4)</f>
      </c>
      <c r="F5646" s="6" t="str">
        <f>D5646*5+E5646</f>
      </c>
    </row>
    <row r="5647">
      <c r="A5647" s="5">
        <v>599</v>
      </c>
      <c r="B5647" s="5" t="str">
        <f>'Lineal Mixto'!$C$603</f>
      </c>
      <c r="C5647" s="5" t="str">
        <f>'Lineal Mixto'!$C$604</f>
      </c>
      <c r="D5647" s="5" t="str">
        <f>MIN(INT(B5647*5),4)</f>
      </c>
      <c r="E5647" s="5" t="str">
        <f>MIN(INT(C5647*5),4)</f>
      </c>
      <c r="F5647" s="5" t="str">
        <f>D5647*5+E5647</f>
      </c>
    </row>
    <row r="5648">
      <c r="A5648" s="6">
        <v>600</v>
      </c>
      <c r="B5648" s="6" t="str">
        <f>'Lineal Mixto'!$C$604</f>
      </c>
      <c r="C5648" s="6" t="str">
        <f>'Lineal Mixto'!$C$605</f>
      </c>
      <c r="D5648" s="6" t="str">
        <f>MIN(INT(B5648*5),4)</f>
      </c>
      <c r="E5648" s="6" t="str">
        <f>MIN(INT(C5648*5),4)</f>
      </c>
      <c r="F5648" s="6" t="str">
        <f>D5648*5+E5648</f>
      </c>
    </row>
    <row r="5649">
      <c r="A5649" s="5">
        <v>601</v>
      </c>
      <c r="B5649" s="5" t="str">
        <f>'Lineal Mixto'!$C$605</f>
      </c>
      <c r="C5649" s="5" t="str">
        <f>'Lineal Mixto'!$C$606</f>
      </c>
      <c r="D5649" s="5" t="str">
        <f>MIN(INT(B5649*5),4)</f>
      </c>
      <c r="E5649" s="5" t="str">
        <f>MIN(INT(C5649*5),4)</f>
      </c>
      <c r="F5649" s="5" t="str">
        <f>D5649*5+E5649</f>
      </c>
    </row>
    <row r="5650">
      <c r="A5650" s="6">
        <v>602</v>
      </c>
      <c r="B5650" s="6" t="str">
        <f>'Lineal Mixto'!$C$606</f>
      </c>
      <c r="C5650" s="6" t="str">
        <f>'Lineal Mixto'!$C$607</f>
      </c>
      <c r="D5650" s="6" t="str">
        <f>MIN(INT(B5650*5),4)</f>
      </c>
      <c r="E5650" s="6" t="str">
        <f>MIN(INT(C5650*5),4)</f>
      </c>
      <c r="F5650" s="6" t="str">
        <f>D5650*5+E5650</f>
      </c>
    </row>
    <row r="5651">
      <c r="A5651" s="5">
        <v>603</v>
      </c>
      <c r="B5651" s="5" t="str">
        <f>'Lineal Mixto'!$C$607</f>
      </c>
      <c r="C5651" s="5" t="str">
        <f>'Lineal Mixto'!$C$608</f>
      </c>
      <c r="D5651" s="5" t="str">
        <f>MIN(INT(B5651*5),4)</f>
      </c>
      <c r="E5651" s="5" t="str">
        <f>MIN(INT(C5651*5),4)</f>
      </c>
      <c r="F5651" s="5" t="str">
        <f>D5651*5+E5651</f>
      </c>
    </row>
    <row r="5652">
      <c r="A5652" s="6">
        <v>604</v>
      </c>
      <c r="B5652" s="6" t="str">
        <f>'Lineal Mixto'!$C$608</f>
      </c>
      <c r="C5652" s="6" t="str">
        <f>'Lineal Mixto'!$C$609</f>
      </c>
      <c r="D5652" s="6" t="str">
        <f>MIN(INT(B5652*5),4)</f>
      </c>
      <c r="E5652" s="6" t="str">
        <f>MIN(INT(C5652*5),4)</f>
      </c>
      <c r="F5652" s="6" t="str">
        <f>D5652*5+E5652</f>
      </c>
    </row>
    <row r="5653">
      <c r="A5653" s="5">
        <v>605</v>
      </c>
      <c r="B5653" s="5" t="str">
        <f>'Lineal Mixto'!$C$609</f>
      </c>
      <c r="C5653" s="5" t="str">
        <f>'Lineal Mixto'!$C$610</f>
      </c>
      <c r="D5653" s="5" t="str">
        <f>MIN(INT(B5653*5),4)</f>
      </c>
      <c r="E5653" s="5" t="str">
        <f>MIN(INT(C5653*5),4)</f>
      </c>
      <c r="F5653" s="5" t="str">
        <f>D5653*5+E5653</f>
      </c>
    </row>
    <row r="5654">
      <c r="A5654" s="6">
        <v>606</v>
      </c>
      <c r="B5654" s="6" t="str">
        <f>'Lineal Mixto'!$C$610</f>
      </c>
      <c r="C5654" s="6" t="str">
        <f>'Lineal Mixto'!$C$611</f>
      </c>
      <c r="D5654" s="6" t="str">
        <f>MIN(INT(B5654*5),4)</f>
      </c>
      <c r="E5654" s="6" t="str">
        <f>MIN(INT(C5654*5),4)</f>
      </c>
      <c r="F5654" s="6" t="str">
        <f>D5654*5+E5654</f>
      </c>
    </row>
    <row r="5655">
      <c r="A5655" s="5">
        <v>607</v>
      </c>
      <c r="B5655" s="5" t="str">
        <f>'Lineal Mixto'!$C$611</f>
      </c>
      <c r="C5655" s="5" t="str">
        <f>'Lineal Mixto'!$C$612</f>
      </c>
      <c r="D5655" s="5" t="str">
        <f>MIN(INT(B5655*5),4)</f>
      </c>
      <c r="E5655" s="5" t="str">
        <f>MIN(INT(C5655*5),4)</f>
      </c>
      <c r="F5655" s="5" t="str">
        <f>D5655*5+E5655</f>
      </c>
    </row>
    <row r="5656">
      <c r="A5656" s="6">
        <v>608</v>
      </c>
      <c r="B5656" s="6" t="str">
        <f>'Lineal Mixto'!$C$612</f>
      </c>
      <c r="C5656" s="6" t="str">
        <f>'Lineal Mixto'!$C$613</f>
      </c>
      <c r="D5656" s="6" t="str">
        <f>MIN(INT(B5656*5),4)</f>
      </c>
      <c r="E5656" s="6" t="str">
        <f>MIN(INT(C5656*5),4)</f>
      </c>
      <c r="F5656" s="6" t="str">
        <f>D5656*5+E5656</f>
      </c>
    </row>
    <row r="5657">
      <c r="A5657" s="5">
        <v>609</v>
      </c>
      <c r="B5657" s="5" t="str">
        <f>'Lineal Mixto'!$C$613</f>
      </c>
      <c r="C5657" s="5" t="str">
        <f>'Lineal Mixto'!$C$614</f>
      </c>
      <c r="D5657" s="5" t="str">
        <f>MIN(INT(B5657*5),4)</f>
      </c>
      <c r="E5657" s="5" t="str">
        <f>MIN(INT(C5657*5),4)</f>
      </c>
      <c r="F5657" s="5" t="str">
        <f>D5657*5+E5657</f>
      </c>
    </row>
    <row r="5658">
      <c r="A5658" s="6">
        <v>610</v>
      </c>
      <c r="B5658" s="6" t="str">
        <f>'Lineal Mixto'!$C$614</f>
      </c>
      <c r="C5658" s="6" t="str">
        <f>'Lineal Mixto'!$C$615</f>
      </c>
      <c r="D5658" s="6" t="str">
        <f>MIN(INT(B5658*5),4)</f>
      </c>
      <c r="E5658" s="6" t="str">
        <f>MIN(INT(C5658*5),4)</f>
      </c>
      <c r="F5658" s="6" t="str">
        <f>D5658*5+E5658</f>
      </c>
    </row>
    <row r="5659">
      <c r="A5659" s="5">
        <v>611</v>
      </c>
      <c r="B5659" s="5" t="str">
        <f>'Lineal Mixto'!$C$615</f>
      </c>
      <c r="C5659" s="5" t="str">
        <f>'Lineal Mixto'!$C$616</f>
      </c>
      <c r="D5659" s="5" t="str">
        <f>MIN(INT(B5659*5),4)</f>
      </c>
      <c r="E5659" s="5" t="str">
        <f>MIN(INT(C5659*5),4)</f>
      </c>
      <c r="F5659" s="5" t="str">
        <f>D5659*5+E5659</f>
      </c>
    </row>
    <row r="5660">
      <c r="A5660" s="6">
        <v>612</v>
      </c>
      <c r="B5660" s="6" t="str">
        <f>'Lineal Mixto'!$C$616</f>
      </c>
      <c r="C5660" s="6" t="str">
        <f>'Lineal Mixto'!$C$617</f>
      </c>
      <c r="D5660" s="6" t="str">
        <f>MIN(INT(B5660*5),4)</f>
      </c>
      <c r="E5660" s="6" t="str">
        <f>MIN(INT(C5660*5),4)</f>
      </c>
      <c r="F5660" s="6" t="str">
        <f>D5660*5+E5660</f>
      </c>
    </row>
    <row r="5661">
      <c r="A5661" s="5">
        <v>613</v>
      </c>
      <c r="B5661" s="5" t="str">
        <f>'Lineal Mixto'!$C$617</f>
      </c>
      <c r="C5661" s="5" t="str">
        <f>'Lineal Mixto'!$C$618</f>
      </c>
      <c r="D5661" s="5" t="str">
        <f>MIN(INT(B5661*5),4)</f>
      </c>
      <c r="E5661" s="5" t="str">
        <f>MIN(INT(C5661*5),4)</f>
      </c>
      <c r="F5661" s="5" t="str">
        <f>D5661*5+E5661</f>
      </c>
    </row>
    <row r="5662">
      <c r="A5662" s="6">
        <v>614</v>
      </c>
      <c r="B5662" s="6" t="str">
        <f>'Lineal Mixto'!$C$618</f>
      </c>
      <c r="C5662" s="6" t="str">
        <f>'Lineal Mixto'!$C$619</f>
      </c>
      <c r="D5662" s="6" t="str">
        <f>MIN(INT(B5662*5),4)</f>
      </c>
      <c r="E5662" s="6" t="str">
        <f>MIN(INT(C5662*5),4)</f>
      </c>
      <c r="F5662" s="6" t="str">
        <f>D5662*5+E5662</f>
      </c>
    </row>
    <row r="5663">
      <c r="A5663" s="5">
        <v>615</v>
      </c>
      <c r="B5663" s="5" t="str">
        <f>'Lineal Mixto'!$C$619</f>
      </c>
      <c r="C5663" s="5" t="str">
        <f>'Lineal Mixto'!$C$620</f>
      </c>
      <c r="D5663" s="5" t="str">
        <f>MIN(INT(B5663*5),4)</f>
      </c>
      <c r="E5663" s="5" t="str">
        <f>MIN(INT(C5663*5),4)</f>
      </c>
      <c r="F5663" s="5" t="str">
        <f>D5663*5+E5663</f>
      </c>
    </row>
    <row r="5664">
      <c r="A5664" s="6">
        <v>616</v>
      </c>
      <c r="B5664" s="6" t="str">
        <f>'Lineal Mixto'!$C$620</f>
      </c>
      <c r="C5664" s="6" t="str">
        <f>'Lineal Mixto'!$C$621</f>
      </c>
      <c r="D5664" s="6" t="str">
        <f>MIN(INT(B5664*5),4)</f>
      </c>
      <c r="E5664" s="6" t="str">
        <f>MIN(INT(C5664*5),4)</f>
      </c>
      <c r="F5664" s="6" t="str">
        <f>D5664*5+E5664</f>
      </c>
    </row>
    <row r="5665">
      <c r="A5665" s="5">
        <v>617</v>
      </c>
      <c r="B5665" s="5" t="str">
        <f>'Lineal Mixto'!$C$621</f>
      </c>
      <c r="C5665" s="5" t="str">
        <f>'Lineal Mixto'!$C$622</f>
      </c>
      <c r="D5665" s="5" t="str">
        <f>MIN(INT(B5665*5),4)</f>
      </c>
      <c r="E5665" s="5" t="str">
        <f>MIN(INT(C5665*5),4)</f>
      </c>
      <c r="F5665" s="5" t="str">
        <f>D5665*5+E5665</f>
      </c>
    </row>
    <row r="5666">
      <c r="A5666" s="6">
        <v>618</v>
      </c>
      <c r="B5666" s="6" t="str">
        <f>'Lineal Mixto'!$C$622</f>
      </c>
      <c r="C5666" s="6" t="str">
        <f>'Lineal Mixto'!$C$623</f>
      </c>
      <c r="D5666" s="6" t="str">
        <f>MIN(INT(B5666*5),4)</f>
      </c>
      <c r="E5666" s="6" t="str">
        <f>MIN(INT(C5666*5),4)</f>
      </c>
      <c r="F5666" s="6" t="str">
        <f>D5666*5+E5666</f>
      </c>
    </row>
    <row r="5667">
      <c r="A5667" s="5">
        <v>619</v>
      </c>
      <c r="B5667" s="5" t="str">
        <f>'Lineal Mixto'!$C$623</f>
      </c>
      <c r="C5667" s="5" t="str">
        <f>'Lineal Mixto'!$C$624</f>
      </c>
      <c r="D5667" s="5" t="str">
        <f>MIN(INT(B5667*5),4)</f>
      </c>
      <c r="E5667" s="5" t="str">
        <f>MIN(INT(C5667*5),4)</f>
      </c>
      <c r="F5667" s="5" t="str">
        <f>D5667*5+E5667</f>
      </c>
    </row>
    <row r="5668">
      <c r="A5668" s="6">
        <v>620</v>
      </c>
      <c r="B5668" s="6" t="str">
        <f>'Lineal Mixto'!$C$624</f>
      </c>
      <c r="C5668" s="6" t="str">
        <f>'Lineal Mixto'!$C$625</f>
      </c>
      <c r="D5668" s="6" t="str">
        <f>MIN(INT(B5668*5),4)</f>
      </c>
      <c r="E5668" s="6" t="str">
        <f>MIN(INT(C5668*5),4)</f>
      </c>
      <c r="F5668" s="6" t="str">
        <f>D5668*5+E5668</f>
      </c>
    </row>
    <row r="5669">
      <c r="A5669" s="5">
        <v>621</v>
      </c>
      <c r="B5669" s="5" t="str">
        <f>'Lineal Mixto'!$C$625</f>
      </c>
      <c r="C5669" s="5" t="str">
        <f>'Lineal Mixto'!$C$626</f>
      </c>
      <c r="D5669" s="5" t="str">
        <f>MIN(INT(B5669*5),4)</f>
      </c>
      <c r="E5669" s="5" t="str">
        <f>MIN(INT(C5669*5),4)</f>
      </c>
      <c r="F5669" s="5" t="str">
        <f>D5669*5+E5669</f>
      </c>
    </row>
    <row r="5670">
      <c r="A5670" s="6">
        <v>622</v>
      </c>
      <c r="B5670" s="6" t="str">
        <f>'Lineal Mixto'!$C$626</f>
      </c>
      <c r="C5670" s="6" t="str">
        <f>'Lineal Mixto'!$C$627</f>
      </c>
      <c r="D5670" s="6" t="str">
        <f>MIN(INT(B5670*5),4)</f>
      </c>
      <c r="E5670" s="6" t="str">
        <f>MIN(INT(C5670*5),4)</f>
      </c>
      <c r="F5670" s="6" t="str">
        <f>D5670*5+E5670</f>
      </c>
    </row>
    <row r="5671">
      <c r="A5671" s="5">
        <v>623</v>
      </c>
      <c r="B5671" s="5" t="str">
        <f>'Lineal Mixto'!$C$627</f>
      </c>
      <c r="C5671" s="5" t="str">
        <f>'Lineal Mixto'!$C$628</f>
      </c>
      <c r="D5671" s="5" t="str">
        <f>MIN(INT(B5671*5),4)</f>
      </c>
      <c r="E5671" s="5" t="str">
        <f>MIN(INT(C5671*5),4)</f>
      </c>
      <c r="F5671" s="5" t="str">
        <f>D5671*5+E5671</f>
      </c>
    </row>
    <row r="5672">
      <c r="A5672" s="6">
        <v>624</v>
      </c>
      <c r="B5672" s="6" t="str">
        <f>'Lineal Mixto'!$C$628</f>
      </c>
      <c r="C5672" s="6" t="str">
        <f>'Lineal Mixto'!$C$629</f>
      </c>
      <c r="D5672" s="6" t="str">
        <f>MIN(INT(B5672*5),4)</f>
      </c>
      <c r="E5672" s="6" t="str">
        <f>MIN(INT(C5672*5),4)</f>
      </c>
      <c r="F5672" s="6" t="str">
        <f>D5672*5+E5672</f>
      </c>
    </row>
    <row r="5673">
      <c r="A5673" s="5">
        <v>625</v>
      </c>
      <c r="B5673" s="5" t="str">
        <f>'Lineal Mixto'!$C$629</f>
      </c>
      <c r="C5673" s="5" t="str">
        <f>'Lineal Mixto'!$C$630</f>
      </c>
      <c r="D5673" s="5" t="str">
        <f>MIN(INT(B5673*5),4)</f>
      </c>
      <c r="E5673" s="5" t="str">
        <f>MIN(INT(C5673*5),4)</f>
      </c>
      <c r="F5673" s="5" t="str">
        <f>D5673*5+E5673</f>
      </c>
    </row>
    <row r="5674">
      <c r="A5674" s="6">
        <v>626</v>
      </c>
      <c r="B5674" s="6" t="str">
        <f>'Lineal Mixto'!$C$630</f>
      </c>
      <c r="C5674" s="6" t="str">
        <f>'Lineal Mixto'!$C$631</f>
      </c>
      <c r="D5674" s="6" t="str">
        <f>MIN(INT(B5674*5),4)</f>
      </c>
      <c r="E5674" s="6" t="str">
        <f>MIN(INT(C5674*5),4)</f>
      </c>
      <c r="F5674" s="6" t="str">
        <f>D5674*5+E5674</f>
      </c>
    </row>
    <row r="5675">
      <c r="A5675" s="5">
        <v>627</v>
      </c>
      <c r="B5675" s="5" t="str">
        <f>'Lineal Mixto'!$C$631</f>
      </c>
      <c r="C5675" s="5" t="str">
        <f>'Lineal Mixto'!$C$632</f>
      </c>
      <c r="D5675" s="5" t="str">
        <f>MIN(INT(B5675*5),4)</f>
      </c>
      <c r="E5675" s="5" t="str">
        <f>MIN(INT(C5675*5),4)</f>
      </c>
      <c r="F5675" s="5" t="str">
        <f>D5675*5+E5675</f>
      </c>
    </row>
    <row r="5676">
      <c r="A5676" s="6">
        <v>628</v>
      </c>
      <c r="B5676" s="6" t="str">
        <f>'Lineal Mixto'!$C$632</f>
      </c>
      <c r="C5676" s="6" t="str">
        <f>'Lineal Mixto'!$C$633</f>
      </c>
      <c r="D5676" s="6" t="str">
        <f>MIN(INT(B5676*5),4)</f>
      </c>
      <c r="E5676" s="6" t="str">
        <f>MIN(INT(C5676*5),4)</f>
      </c>
      <c r="F5676" s="6" t="str">
        <f>D5676*5+E5676</f>
      </c>
    </row>
    <row r="5677">
      <c r="A5677" s="5">
        <v>629</v>
      </c>
      <c r="B5677" s="5" t="str">
        <f>'Lineal Mixto'!$C$633</f>
      </c>
      <c r="C5677" s="5" t="str">
        <f>'Lineal Mixto'!$C$634</f>
      </c>
      <c r="D5677" s="5" t="str">
        <f>MIN(INT(B5677*5),4)</f>
      </c>
      <c r="E5677" s="5" t="str">
        <f>MIN(INT(C5677*5),4)</f>
      </c>
      <c r="F5677" s="5" t="str">
        <f>D5677*5+E5677</f>
      </c>
    </row>
    <row r="5678">
      <c r="A5678" s="6">
        <v>630</v>
      </c>
      <c r="B5678" s="6" t="str">
        <f>'Lineal Mixto'!$C$634</f>
      </c>
      <c r="C5678" s="6" t="str">
        <f>'Lineal Mixto'!$C$635</f>
      </c>
      <c r="D5678" s="6" t="str">
        <f>MIN(INT(B5678*5),4)</f>
      </c>
      <c r="E5678" s="6" t="str">
        <f>MIN(INT(C5678*5),4)</f>
      </c>
      <c r="F5678" s="6" t="str">
        <f>D5678*5+E5678</f>
      </c>
    </row>
    <row r="5679">
      <c r="A5679" s="5">
        <v>631</v>
      </c>
      <c r="B5679" s="5" t="str">
        <f>'Lineal Mixto'!$C$635</f>
      </c>
      <c r="C5679" s="5" t="str">
        <f>'Lineal Mixto'!$C$636</f>
      </c>
      <c r="D5679" s="5" t="str">
        <f>MIN(INT(B5679*5),4)</f>
      </c>
      <c r="E5679" s="5" t="str">
        <f>MIN(INT(C5679*5),4)</f>
      </c>
      <c r="F5679" s="5" t="str">
        <f>D5679*5+E5679</f>
      </c>
    </row>
    <row r="5680">
      <c r="A5680" s="6">
        <v>632</v>
      </c>
      <c r="B5680" s="6" t="str">
        <f>'Lineal Mixto'!$C$636</f>
      </c>
      <c r="C5680" s="6" t="str">
        <f>'Lineal Mixto'!$C$637</f>
      </c>
      <c r="D5680" s="6" t="str">
        <f>MIN(INT(B5680*5),4)</f>
      </c>
      <c r="E5680" s="6" t="str">
        <f>MIN(INT(C5680*5),4)</f>
      </c>
      <c r="F5680" s="6" t="str">
        <f>D5680*5+E5680</f>
      </c>
    </row>
    <row r="5681">
      <c r="A5681" s="5">
        <v>633</v>
      </c>
      <c r="B5681" s="5" t="str">
        <f>'Lineal Mixto'!$C$637</f>
      </c>
      <c r="C5681" s="5" t="str">
        <f>'Lineal Mixto'!$C$638</f>
      </c>
      <c r="D5681" s="5" t="str">
        <f>MIN(INT(B5681*5),4)</f>
      </c>
      <c r="E5681" s="5" t="str">
        <f>MIN(INT(C5681*5),4)</f>
      </c>
      <c r="F5681" s="5" t="str">
        <f>D5681*5+E5681</f>
      </c>
    </row>
    <row r="5682">
      <c r="A5682" s="6">
        <v>634</v>
      </c>
      <c r="B5682" s="6" t="str">
        <f>'Lineal Mixto'!$C$638</f>
      </c>
      <c r="C5682" s="6" t="str">
        <f>'Lineal Mixto'!$C$639</f>
      </c>
      <c r="D5682" s="6" t="str">
        <f>MIN(INT(B5682*5),4)</f>
      </c>
      <c r="E5682" s="6" t="str">
        <f>MIN(INT(C5682*5),4)</f>
      </c>
      <c r="F5682" s="6" t="str">
        <f>D5682*5+E5682</f>
      </c>
    </row>
    <row r="5683">
      <c r="A5683" s="5">
        <v>635</v>
      </c>
      <c r="B5683" s="5" t="str">
        <f>'Lineal Mixto'!$C$639</f>
      </c>
      <c r="C5683" s="5" t="str">
        <f>'Lineal Mixto'!$C$640</f>
      </c>
      <c r="D5683" s="5" t="str">
        <f>MIN(INT(B5683*5),4)</f>
      </c>
      <c r="E5683" s="5" t="str">
        <f>MIN(INT(C5683*5),4)</f>
      </c>
      <c r="F5683" s="5" t="str">
        <f>D5683*5+E5683</f>
      </c>
    </row>
    <row r="5684">
      <c r="A5684" s="6">
        <v>636</v>
      </c>
      <c r="B5684" s="6" t="str">
        <f>'Lineal Mixto'!$C$640</f>
      </c>
      <c r="C5684" s="6" t="str">
        <f>'Lineal Mixto'!$C$641</f>
      </c>
      <c r="D5684" s="6" t="str">
        <f>MIN(INT(B5684*5),4)</f>
      </c>
      <c r="E5684" s="6" t="str">
        <f>MIN(INT(C5684*5),4)</f>
      </c>
      <c r="F5684" s="6" t="str">
        <f>D5684*5+E5684</f>
      </c>
    </row>
    <row r="5685">
      <c r="A5685" s="5">
        <v>637</v>
      </c>
      <c r="B5685" s="5" t="str">
        <f>'Lineal Mixto'!$C$641</f>
      </c>
      <c r="C5685" s="5" t="str">
        <f>'Lineal Mixto'!$C$642</f>
      </c>
      <c r="D5685" s="5" t="str">
        <f>MIN(INT(B5685*5),4)</f>
      </c>
      <c r="E5685" s="5" t="str">
        <f>MIN(INT(C5685*5),4)</f>
      </c>
      <c r="F5685" s="5" t="str">
        <f>D5685*5+E5685</f>
      </c>
    </row>
    <row r="5686">
      <c r="A5686" s="6">
        <v>638</v>
      </c>
      <c r="B5686" s="6" t="str">
        <f>'Lineal Mixto'!$C$642</f>
      </c>
      <c r="C5686" s="6" t="str">
        <f>'Lineal Mixto'!$C$643</f>
      </c>
      <c r="D5686" s="6" t="str">
        <f>MIN(INT(B5686*5),4)</f>
      </c>
      <c r="E5686" s="6" t="str">
        <f>MIN(INT(C5686*5),4)</f>
      </c>
      <c r="F5686" s="6" t="str">
        <f>D5686*5+E5686</f>
      </c>
    </row>
    <row r="5687">
      <c r="A5687" s="5">
        <v>639</v>
      </c>
      <c r="B5687" s="5" t="str">
        <f>'Lineal Mixto'!$C$643</f>
      </c>
      <c r="C5687" s="5" t="str">
        <f>'Lineal Mixto'!$C$644</f>
      </c>
      <c r="D5687" s="5" t="str">
        <f>MIN(INT(B5687*5),4)</f>
      </c>
      <c r="E5687" s="5" t="str">
        <f>MIN(INT(C5687*5),4)</f>
      </c>
      <c r="F5687" s="5" t="str">
        <f>D5687*5+E5687</f>
      </c>
    </row>
    <row r="5688">
      <c r="A5688" s="6">
        <v>640</v>
      </c>
      <c r="B5688" s="6" t="str">
        <f>'Lineal Mixto'!$C$644</f>
      </c>
      <c r="C5688" s="6" t="str">
        <f>'Lineal Mixto'!$C$645</f>
      </c>
      <c r="D5688" s="6" t="str">
        <f>MIN(INT(B5688*5),4)</f>
      </c>
      <c r="E5688" s="6" t="str">
        <f>MIN(INT(C5688*5),4)</f>
      </c>
      <c r="F5688" s="6" t="str">
        <f>D5688*5+E5688</f>
      </c>
    </row>
    <row r="5689">
      <c r="A5689" s="5">
        <v>641</v>
      </c>
      <c r="B5689" s="5" t="str">
        <f>'Lineal Mixto'!$C$645</f>
      </c>
      <c r="C5689" s="5" t="str">
        <f>'Lineal Mixto'!$C$646</f>
      </c>
      <c r="D5689" s="5" t="str">
        <f>MIN(INT(B5689*5),4)</f>
      </c>
      <c r="E5689" s="5" t="str">
        <f>MIN(INT(C5689*5),4)</f>
      </c>
      <c r="F5689" s="5" t="str">
        <f>D5689*5+E5689</f>
      </c>
    </row>
    <row r="5690">
      <c r="A5690" s="6">
        <v>642</v>
      </c>
      <c r="B5690" s="6" t="str">
        <f>'Lineal Mixto'!$C$646</f>
      </c>
      <c r="C5690" s="6" t="str">
        <f>'Lineal Mixto'!$C$647</f>
      </c>
      <c r="D5690" s="6" t="str">
        <f>MIN(INT(B5690*5),4)</f>
      </c>
      <c r="E5690" s="6" t="str">
        <f>MIN(INT(C5690*5),4)</f>
      </c>
      <c r="F5690" s="6" t="str">
        <f>D5690*5+E5690</f>
      </c>
    </row>
    <row r="5691">
      <c r="A5691" s="5">
        <v>643</v>
      </c>
      <c r="B5691" s="5" t="str">
        <f>'Lineal Mixto'!$C$647</f>
      </c>
      <c r="C5691" s="5" t="str">
        <f>'Lineal Mixto'!$C$648</f>
      </c>
      <c r="D5691" s="5" t="str">
        <f>MIN(INT(B5691*5),4)</f>
      </c>
      <c r="E5691" s="5" t="str">
        <f>MIN(INT(C5691*5),4)</f>
      </c>
      <c r="F5691" s="5" t="str">
        <f>D5691*5+E5691</f>
      </c>
    </row>
    <row r="5692">
      <c r="A5692" s="6">
        <v>644</v>
      </c>
      <c r="B5692" s="6" t="str">
        <f>'Lineal Mixto'!$C$648</f>
      </c>
      <c r="C5692" s="6" t="str">
        <f>'Lineal Mixto'!$C$649</f>
      </c>
      <c r="D5692" s="6" t="str">
        <f>MIN(INT(B5692*5),4)</f>
      </c>
      <c r="E5692" s="6" t="str">
        <f>MIN(INT(C5692*5),4)</f>
      </c>
      <c r="F5692" s="6" t="str">
        <f>D5692*5+E5692</f>
      </c>
    </row>
    <row r="5693">
      <c r="A5693" s="5">
        <v>645</v>
      </c>
      <c r="B5693" s="5" t="str">
        <f>'Lineal Mixto'!$C$649</f>
      </c>
      <c r="C5693" s="5" t="str">
        <f>'Lineal Mixto'!$C$650</f>
      </c>
      <c r="D5693" s="5" t="str">
        <f>MIN(INT(B5693*5),4)</f>
      </c>
      <c r="E5693" s="5" t="str">
        <f>MIN(INT(C5693*5),4)</f>
      </c>
      <c r="F5693" s="5" t="str">
        <f>D5693*5+E5693</f>
      </c>
    </row>
    <row r="5694">
      <c r="A5694" s="6">
        <v>646</v>
      </c>
      <c r="B5694" s="6" t="str">
        <f>'Lineal Mixto'!$C$650</f>
      </c>
      <c r="C5694" s="6" t="str">
        <f>'Lineal Mixto'!$C$651</f>
      </c>
      <c r="D5694" s="6" t="str">
        <f>MIN(INT(B5694*5),4)</f>
      </c>
      <c r="E5694" s="6" t="str">
        <f>MIN(INT(C5694*5),4)</f>
      </c>
      <c r="F5694" s="6" t="str">
        <f>D5694*5+E5694</f>
      </c>
    </row>
    <row r="5695">
      <c r="A5695" s="5">
        <v>647</v>
      </c>
      <c r="B5695" s="5" t="str">
        <f>'Lineal Mixto'!$C$651</f>
      </c>
      <c r="C5695" s="5" t="str">
        <f>'Lineal Mixto'!$C$652</f>
      </c>
      <c r="D5695" s="5" t="str">
        <f>MIN(INT(B5695*5),4)</f>
      </c>
      <c r="E5695" s="5" t="str">
        <f>MIN(INT(C5695*5),4)</f>
      </c>
      <c r="F5695" s="5" t="str">
        <f>D5695*5+E5695</f>
      </c>
    </row>
    <row r="5696">
      <c r="A5696" s="6">
        <v>648</v>
      </c>
      <c r="B5696" s="6" t="str">
        <f>'Lineal Mixto'!$C$652</f>
      </c>
      <c r="C5696" s="6" t="str">
        <f>'Lineal Mixto'!$C$653</f>
      </c>
      <c r="D5696" s="6" t="str">
        <f>MIN(INT(B5696*5),4)</f>
      </c>
      <c r="E5696" s="6" t="str">
        <f>MIN(INT(C5696*5),4)</f>
      </c>
      <c r="F5696" s="6" t="str">
        <f>D5696*5+E5696</f>
      </c>
    </row>
    <row r="5697">
      <c r="A5697" s="5">
        <v>649</v>
      </c>
      <c r="B5697" s="5" t="str">
        <f>'Lineal Mixto'!$C$653</f>
      </c>
      <c r="C5697" s="5" t="str">
        <f>'Lineal Mixto'!$C$654</f>
      </c>
      <c r="D5697" s="5" t="str">
        <f>MIN(INT(B5697*5),4)</f>
      </c>
      <c r="E5697" s="5" t="str">
        <f>MIN(INT(C5697*5),4)</f>
      </c>
      <c r="F5697" s="5" t="str">
        <f>D5697*5+E5697</f>
      </c>
    </row>
    <row r="5698">
      <c r="A5698" s="6">
        <v>650</v>
      </c>
      <c r="B5698" s="6" t="str">
        <f>'Lineal Mixto'!$C$654</f>
      </c>
      <c r="C5698" s="6" t="str">
        <f>'Lineal Mixto'!$C$655</f>
      </c>
      <c r="D5698" s="6" t="str">
        <f>MIN(INT(B5698*5),4)</f>
      </c>
      <c r="E5698" s="6" t="str">
        <f>MIN(INT(C5698*5),4)</f>
      </c>
      <c r="F5698" s="6" t="str">
        <f>D5698*5+E5698</f>
      </c>
    </row>
    <row r="5699">
      <c r="A5699" s="5">
        <v>651</v>
      </c>
      <c r="B5699" s="5" t="str">
        <f>'Lineal Mixto'!$C$655</f>
      </c>
      <c r="C5699" s="5" t="str">
        <f>'Lineal Mixto'!$C$656</f>
      </c>
      <c r="D5699" s="5" t="str">
        <f>MIN(INT(B5699*5),4)</f>
      </c>
      <c r="E5699" s="5" t="str">
        <f>MIN(INT(C5699*5),4)</f>
      </c>
      <c r="F5699" s="5" t="str">
        <f>D5699*5+E5699</f>
      </c>
    </row>
    <row r="5700">
      <c r="A5700" s="6">
        <v>652</v>
      </c>
      <c r="B5700" s="6" t="str">
        <f>'Lineal Mixto'!$C$656</f>
      </c>
      <c r="C5700" s="6" t="str">
        <f>'Lineal Mixto'!$C$657</f>
      </c>
      <c r="D5700" s="6" t="str">
        <f>MIN(INT(B5700*5),4)</f>
      </c>
      <c r="E5700" s="6" t="str">
        <f>MIN(INT(C5700*5),4)</f>
      </c>
      <c r="F5700" s="6" t="str">
        <f>D5700*5+E5700</f>
      </c>
    </row>
    <row r="5701">
      <c r="A5701" s="5">
        <v>653</v>
      </c>
      <c r="B5701" s="5" t="str">
        <f>'Lineal Mixto'!$C$657</f>
      </c>
      <c r="C5701" s="5" t="str">
        <f>'Lineal Mixto'!$C$658</f>
      </c>
      <c r="D5701" s="5" t="str">
        <f>MIN(INT(B5701*5),4)</f>
      </c>
      <c r="E5701" s="5" t="str">
        <f>MIN(INT(C5701*5),4)</f>
      </c>
      <c r="F5701" s="5" t="str">
        <f>D5701*5+E5701</f>
      </c>
    </row>
    <row r="5702">
      <c r="A5702" s="6">
        <v>654</v>
      </c>
      <c r="B5702" s="6" t="str">
        <f>'Lineal Mixto'!$C$658</f>
      </c>
      <c r="C5702" s="6" t="str">
        <f>'Lineal Mixto'!$C$659</f>
      </c>
      <c r="D5702" s="6" t="str">
        <f>MIN(INT(B5702*5),4)</f>
      </c>
      <c r="E5702" s="6" t="str">
        <f>MIN(INT(C5702*5),4)</f>
      </c>
      <c r="F5702" s="6" t="str">
        <f>D5702*5+E5702</f>
      </c>
    </row>
    <row r="5703">
      <c r="A5703" s="5">
        <v>655</v>
      </c>
      <c r="B5703" s="5" t="str">
        <f>'Lineal Mixto'!$C$659</f>
      </c>
      <c r="C5703" s="5" t="str">
        <f>'Lineal Mixto'!$C$660</f>
      </c>
      <c r="D5703" s="5" t="str">
        <f>MIN(INT(B5703*5),4)</f>
      </c>
      <c r="E5703" s="5" t="str">
        <f>MIN(INT(C5703*5),4)</f>
      </c>
      <c r="F5703" s="5" t="str">
        <f>D5703*5+E5703</f>
      </c>
    </row>
    <row r="5704">
      <c r="A5704" s="6">
        <v>656</v>
      </c>
      <c r="B5704" s="6" t="str">
        <f>'Lineal Mixto'!$C$660</f>
      </c>
      <c r="C5704" s="6" t="str">
        <f>'Lineal Mixto'!$C$661</f>
      </c>
      <c r="D5704" s="6" t="str">
        <f>MIN(INT(B5704*5),4)</f>
      </c>
      <c r="E5704" s="6" t="str">
        <f>MIN(INT(C5704*5),4)</f>
      </c>
      <c r="F5704" s="6" t="str">
        <f>D5704*5+E5704</f>
      </c>
    </row>
    <row r="5705">
      <c r="A5705" s="5">
        <v>657</v>
      </c>
      <c r="B5705" s="5" t="str">
        <f>'Lineal Mixto'!$C$661</f>
      </c>
      <c r="C5705" s="5" t="str">
        <f>'Lineal Mixto'!$C$662</f>
      </c>
      <c r="D5705" s="5" t="str">
        <f>MIN(INT(B5705*5),4)</f>
      </c>
      <c r="E5705" s="5" t="str">
        <f>MIN(INT(C5705*5),4)</f>
      </c>
      <c r="F5705" s="5" t="str">
        <f>D5705*5+E5705</f>
      </c>
    </row>
    <row r="5706">
      <c r="A5706" s="6">
        <v>658</v>
      </c>
      <c r="B5706" s="6" t="str">
        <f>'Lineal Mixto'!$C$662</f>
      </c>
      <c r="C5706" s="6" t="str">
        <f>'Lineal Mixto'!$C$663</f>
      </c>
      <c r="D5706" s="6" t="str">
        <f>MIN(INT(B5706*5),4)</f>
      </c>
      <c r="E5706" s="6" t="str">
        <f>MIN(INT(C5706*5),4)</f>
      </c>
      <c r="F5706" s="6" t="str">
        <f>D5706*5+E5706</f>
      </c>
    </row>
    <row r="5707">
      <c r="A5707" s="5">
        <v>659</v>
      </c>
      <c r="B5707" s="5" t="str">
        <f>'Lineal Mixto'!$C$663</f>
      </c>
      <c r="C5707" s="5" t="str">
        <f>'Lineal Mixto'!$C$664</f>
      </c>
      <c r="D5707" s="5" t="str">
        <f>MIN(INT(B5707*5),4)</f>
      </c>
      <c r="E5707" s="5" t="str">
        <f>MIN(INT(C5707*5),4)</f>
      </c>
      <c r="F5707" s="5" t="str">
        <f>D5707*5+E5707</f>
      </c>
    </row>
    <row r="5708">
      <c r="A5708" s="6">
        <v>660</v>
      </c>
      <c r="B5708" s="6" t="str">
        <f>'Lineal Mixto'!$C$664</f>
      </c>
      <c r="C5708" s="6" t="str">
        <f>'Lineal Mixto'!$C$665</f>
      </c>
      <c r="D5708" s="6" t="str">
        <f>MIN(INT(B5708*5),4)</f>
      </c>
      <c r="E5708" s="6" t="str">
        <f>MIN(INT(C5708*5),4)</f>
      </c>
      <c r="F5708" s="6" t="str">
        <f>D5708*5+E5708</f>
      </c>
    </row>
    <row r="5709">
      <c r="A5709" s="5">
        <v>661</v>
      </c>
      <c r="B5709" s="5" t="str">
        <f>'Lineal Mixto'!$C$665</f>
      </c>
      <c r="C5709" s="5" t="str">
        <f>'Lineal Mixto'!$C$666</f>
      </c>
      <c r="D5709" s="5" t="str">
        <f>MIN(INT(B5709*5),4)</f>
      </c>
      <c r="E5709" s="5" t="str">
        <f>MIN(INT(C5709*5),4)</f>
      </c>
      <c r="F5709" s="5" t="str">
        <f>D5709*5+E5709</f>
      </c>
    </row>
    <row r="5710">
      <c r="A5710" s="6">
        <v>662</v>
      </c>
      <c r="B5710" s="6" t="str">
        <f>'Lineal Mixto'!$C$666</f>
      </c>
      <c r="C5710" s="6" t="str">
        <f>'Lineal Mixto'!$C$667</f>
      </c>
      <c r="D5710" s="6" t="str">
        <f>MIN(INT(B5710*5),4)</f>
      </c>
      <c r="E5710" s="6" t="str">
        <f>MIN(INT(C5710*5),4)</f>
      </c>
      <c r="F5710" s="6" t="str">
        <f>D5710*5+E5710</f>
      </c>
    </row>
    <row r="5711">
      <c r="A5711" s="5">
        <v>663</v>
      </c>
      <c r="B5711" s="5" t="str">
        <f>'Lineal Mixto'!$C$667</f>
      </c>
      <c r="C5711" s="5" t="str">
        <f>'Lineal Mixto'!$C$668</f>
      </c>
      <c r="D5711" s="5" t="str">
        <f>MIN(INT(B5711*5),4)</f>
      </c>
      <c r="E5711" s="5" t="str">
        <f>MIN(INT(C5711*5),4)</f>
      </c>
      <c r="F5711" s="5" t="str">
        <f>D5711*5+E5711</f>
      </c>
    </row>
    <row r="5712">
      <c r="A5712" s="6">
        <v>664</v>
      </c>
      <c r="B5712" s="6" t="str">
        <f>'Lineal Mixto'!$C$668</f>
      </c>
      <c r="C5712" s="6" t="str">
        <f>'Lineal Mixto'!$C$669</f>
      </c>
      <c r="D5712" s="6" t="str">
        <f>MIN(INT(B5712*5),4)</f>
      </c>
      <c r="E5712" s="6" t="str">
        <f>MIN(INT(C5712*5),4)</f>
      </c>
      <c r="F5712" s="6" t="str">
        <f>D5712*5+E5712</f>
      </c>
    </row>
    <row r="5713">
      <c r="A5713" s="5">
        <v>665</v>
      </c>
      <c r="B5713" s="5" t="str">
        <f>'Lineal Mixto'!$C$669</f>
      </c>
      <c r="C5713" s="5" t="str">
        <f>'Lineal Mixto'!$C$670</f>
      </c>
      <c r="D5713" s="5" t="str">
        <f>MIN(INT(B5713*5),4)</f>
      </c>
      <c r="E5713" s="5" t="str">
        <f>MIN(INT(C5713*5),4)</f>
      </c>
      <c r="F5713" s="5" t="str">
        <f>D5713*5+E5713</f>
      </c>
    </row>
    <row r="5714">
      <c r="A5714" s="6">
        <v>666</v>
      </c>
      <c r="B5714" s="6" t="str">
        <f>'Lineal Mixto'!$C$670</f>
      </c>
      <c r="C5714" s="6" t="str">
        <f>'Lineal Mixto'!$C$671</f>
      </c>
      <c r="D5714" s="6" t="str">
        <f>MIN(INT(B5714*5),4)</f>
      </c>
      <c r="E5714" s="6" t="str">
        <f>MIN(INT(C5714*5),4)</f>
      </c>
      <c r="F5714" s="6" t="str">
        <f>D5714*5+E5714</f>
      </c>
    </row>
    <row r="5715">
      <c r="A5715" s="5">
        <v>667</v>
      </c>
      <c r="B5715" s="5" t="str">
        <f>'Lineal Mixto'!$C$671</f>
      </c>
      <c r="C5715" s="5" t="str">
        <f>'Lineal Mixto'!$C$672</f>
      </c>
      <c r="D5715" s="5" t="str">
        <f>MIN(INT(B5715*5),4)</f>
      </c>
      <c r="E5715" s="5" t="str">
        <f>MIN(INT(C5715*5),4)</f>
      </c>
      <c r="F5715" s="5" t="str">
        <f>D5715*5+E5715</f>
      </c>
    </row>
    <row r="5716">
      <c r="A5716" s="6">
        <v>668</v>
      </c>
      <c r="B5716" s="6" t="str">
        <f>'Lineal Mixto'!$C$672</f>
      </c>
      <c r="C5716" s="6" t="str">
        <f>'Lineal Mixto'!$C$673</f>
      </c>
      <c r="D5716" s="6" t="str">
        <f>MIN(INT(B5716*5),4)</f>
      </c>
      <c r="E5716" s="6" t="str">
        <f>MIN(INT(C5716*5),4)</f>
      </c>
      <c r="F5716" s="6" t="str">
        <f>D5716*5+E5716</f>
      </c>
    </row>
    <row r="5717">
      <c r="A5717" s="5">
        <v>669</v>
      </c>
      <c r="B5717" s="5" t="str">
        <f>'Lineal Mixto'!$C$673</f>
      </c>
      <c r="C5717" s="5" t="str">
        <f>'Lineal Mixto'!$C$674</f>
      </c>
      <c r="D5717" s="5" t="str">
        <f>MIN(INT(B5717*5),4)</f>
      </c>
      <c r="E5717" s="5" t="str">
        <f>MIN(INT(C5717*5),4)</f>
      </c>
      <c r="F5717" s="5" t="str">
        <f>D5717*5+E5717</f>
      </c>
    </row>
    <row r="5718">
      <c r="A5718" s="6">
        <v>670</v>
      </c>
      <c r="B5718" s="6" t="str">
        <f>'Lineal Mixto'!$C$674</f>
      </c>
      <c r="C5718" s="6" t="str">
        <f>'Lineal Mixto'!$C$675</f>
      </c>
      <c r="D5718" s="6" t="str">
        <f>MIN(INT(B5718*5),4)</f>
      </c>
      <c r="E5718" s="6" t="str">
        <f>MIN(INT(C5718*5),4)</f>
      </c>
      <c r="F5718" s="6" t="str">
        <f>D5718*5+E5718</f>
      </c>
    </row>
    <row r="5719">
      <c r="A5719" s="5">
        <v>671</v>
      </c>
      <c r="B5719" s="5" t="str">
        <f>'Lineal Mixto'!$C$675</f>
      </c>
      <c r="C5719" s="5" t="str">
        <f>'Lineal Mixto'!$C$676</f>
      </c>
      <c r="D5719" s="5" t="str">
        <f>MIN(INT(B5719*5),4)</f>
      </c>
      <c r="E5719" s="5" t="str">
        <f>MIN(INT(C5719*5),4)</f>
      </c>
      <c r="F5719" s="5" t="str">
        <f>D5719*5+E5719</f>
      </c>
    </row>
    <row r="5720">
      <c r="A5720" s="6">
        <v>672</v>
      </c>
      <c r="B5720" s="6" t="str">
        <f>'Lineal Mixto'!$C$676</f>
      </c>
      <c r="C5720" s="6" t="str">
        <f>'Lineal Mixto'!$C$677</f>
      </c>
      <c r="D5720" s="6" t="str">
        <f>MIN(INT(B5720*5),4)</f>
      </c>
      <c r="E5720" s="6" t="str">
        <f>MIN(INT(C5720*5),4)</f>
      </c>
      <c r="F5720" s="6" t="str">
        <f>D5720*5+E5720</f>
      </c>
    </row>
    <row r="5721">
      <c r="A5721" s="5">
        <v>673</v>
      </c>
      <c r="B5721" s="5" t="str">
        <f>'Lineal Mixto'!$C$677</f>
      </c>
      <c r="C5721" s="5" t="str">
        <f>'Lineal Mixto'!$C$678</f>
      </c>
      <c r="D5721" s="5" t="str">
        <f>MIN(INT(B5721*5),4)</f>
      </c>
      <c r="E5721" s="5" t="str">
        <f>MIN(INT(C5721*5),4)</f>
      </c>
      <c r="F5721" s="5" t="str">
        <f>D5721*5+E5721</f>
      </c>
    </row>
    <row r="5722">
      <c r="A5722" s="6">
        <v>674</v>
      </c>
      <c r="B5722" s="6" t="str">
        <f>'Lineal Mixto'!$C$678</f>
      </c>
      <c r="C5722" s="6" t="str">
        <f>'Lineal Mixto'!$C$679</f>
      </c>
      <c r="D5722" s="6" t="str">
        <f>MIN(INT(B5722*5),4)</f>
      </c>
      <c r="E5722" s="6" t="str">
        <f>MIN(INT(C5722*5),4)</f>
      </c>
      <c r="F5722" s="6" t="str">
        <f>D5722*5+E5722</f>
      </c>
    </row>
    <row r="5723">
      <c r="A5723" s="5">
        <v>675</v>
      </c>
      <c r="B5723" s="5" t="str">
        <f>'Lineal Mixto'!$C$679</f>
      </c>
      <c r="C5723" s="5" t="str">
        <f>'Lineal Mixto'!$C$680</f>
      </c>
      <c r="D5723" s="5" t="str">
        <f>MIN(INT(B5723*5),4)</f>
      </c>
      <c r="E5723" s="5" t="str">
        <f>MIN(INT(C5723*5),4)</f>
      </c>
      <c r="F5723" s="5" t="str">
        <f>D5723*5+E5723</f>
      </c>
    </row>
    <row r="5724">
      <c r="A5724" s="6">
        <v>676</v>
      </c>
      <c r="B5724" s="6" t="str">
        <f>'Lineal Mixto'!$C$680</f>
      </c>
      <c r="C5724" s="6" t="str">
        <f>'Lineal Mixto'!$C$681</f>
      </c>
      <c r="D5724" s="6" t="str">
        <f>MIN(INT(B5724*5),4)</f>
      </c>
      <c r="E5724" s="6" t="str">
        <f>MIN(INT(C5724*5),4)</f>
      </c>
      <c r="F5724" s="6" t="str">
        <f>D5724*5+E5724</f>
      </c>
    </row>
    <row r="5725">
      <c r="A5725" s="5">
        <v>677</v>
      </c>
      <c r="B5725" s="5" t="str">
        <f>'Lineal Mixto'!$C$681</f>
      </c>
      <c r="C5725" s="5" t="str">
        <f>'Lineal Mixto'!$C$682</f>
      </c>
      <c r="D5725" s="5" t="str">
        <f>MIN(INT(B5725*5),4)</f>
      </c>
      <c r="E5725" s="5" t="str">
        <f>MIN(INT(C5725*5),4)</f>
      </c>
      <c r="F5725" s="5" t="str">
        <f>D5725*5+E5725</f>
      </c>
    </row>
    <row r="5726">
      <c r="A5726" s="6">
        <v>678</v>
      </c>
      <c r="B5726" s="6" t="str">
        <f>'Lineal Mixto'!$C$682</f>
      </c>
      <c r="C5726" s="6" t="str">
        <f>'Lineal Mixto'!$C$683</f>
      </c>
      <c r="D5726" s="6" t="str">
        <f>MIN(INT(B5726*5),4)</f>
      </c>
      <c r="E5726" s="6" t="str">
        <f>MIN(INT(C5726*5),4)</f>
      </c>
      <c r="F5726" s="6" t="str">
        <f>D5726*5+E5726</f>
      </c>
    </row>
    <row r="5727">
      <c r="A5727" s="5">
        <v>679</v>
      </c>
      <c r="B5727" s="5" t="str">
        <f>'Lineal Mixto'!$C$683</f>
      </c>
      <c r="C5727" s="5" t="str">
        <f>'Lineal Mixto'!$C$684</f>
      </c>
      <c r="D5727" s="5" t="str">
        <f>MIN(INT(B5727*5),4)</f>
      </c>
      <c r="E5727" s="5" t="str">
        <f>MIN(INT(C5727*5),4)</f>
      </c>
      <c r="F5727" s="5" t="str">
        <f>D5727*5+E5727</f>
      </c>
    </row>
    <row r="5728">
      <c r="A5728" s="6">
        <v>680</v>
      </c>
      <c r="B5728" s="6" t="str">
        <f>'Lineal Mixto'!$C$684</f>
      </c>
      <c r="C5728" s="6" t="str">
        <f>'Lineal Mixto'!$C$685</f>
      </c>
      <c r="D5728" s="6" t="str">
        <f>MIN(INT(B5728*5),4)</f>
      </c>
      <c r="E5728" s="6" t="str">
        <f>MIN(INT(C5728*5),4)</f>
      </c>
      <c r="F5728" s="6" t="str">
        <f>D5728*5+E5728</f>
      </c>
    </row>
    <row r="5729">
      <c r="A5729" s="5">
        <v>681</v>
      </c>
      <c r="B5729" s="5" t="str">
        <f>'Lineal Mixto'!$C$685</f>
      </c>
      <c r="C5729" s="5" t="str">
        <f>'Lineal Mixto'!$C$686</f>
      </c>
      <c r="D5729" s="5" t="str">
        <f>MIN(INT(B5729*5),4)</f>
      </c>
      <c r="E5729" s="5" t="str">
        <f>MIN(INT(C5729*5),4)</f>
      </c>
      <c r="F5729" s="5" t="str">
        <f>D5729*5+E5729</f>
      </c>
    </row>
    <row r="5730">
      <c r="A5730" s="6">
        <v>682</v>
      </c>
      <c r="B5730" s="6" t="str">
        <f>'Lineal Mixto'!$C$686</f>
      </c>
      <c r="C5730" s="6" t="str">
        <f>'Lineal Mixto'!$C$687</f>
      </c>
      <c r="D5730" s="6" t="str">
        <f>MIN(INT(B5730*5),4)</f>
      </c>
      <c r="E5730" s="6" t="str">
        <f>MIN(INT(C5730*5),4)</f>
      </c>
      <c r="F5730" s="6" t="str">
        <f>D5730*5+E5730</f>
      </c>
    </row>
    <row r="5731">
      <c r="A5731" s="5">
        <v>683</v>
      </c>
      <c r="B5731" s="5" t="str">
        <f>'Lineal Mixto'!$C$687</f>
      </c>
      <c r="C5731" s="5" t="str">
        <f>'Lineal Mixto'!$C$688</f>
      </c>
      <c r="D5731" s="5" t="str">
        <f>MIN(INT(B5731*5),4)</f>
      </c>
      <c r="E5731" s="5" t="str">
        <f>MIN(INT(C5731*5),4)</f>
      </c>
      <c r="F5731" s="5" t="str">
        <f>D5731*5+E5731</f>
      </c>
    </row>
    <row r="5732">
      <c r="A5732" s="6">
        <v>684</v>
      </c>
      <c r="B5732" s="6" t="str">
        <f>'Lineal Mixto'!$C$688</f>
      </c>
      <c r="C5732" s="6" t="str">
        <f>'Lineal Mixto'!$C$689</f>
      </c>
      <c r="D5732" s="6" t="str">
        <f>MIN(INT(B5732*5),4)</f>
      </c>
      <c r="E5732" s="6" t="str">
        <f>MIN(INT(C5732*5),4)</f>
      </c>
      <c r="F5732" s="6" t="str">
        <f>D5732*5+E5732</f>
      </c>
    </row>
    <row r="5733">
      <c r="A5733" s="5">
        <v>685</v>
      </c>
      <c r="B5733" s="5" t="str">
        <f>'Lineal Mixto'!$C$689</f>
      </c>
      <c r="C5733" s="5" t="str">
        <f>'Lineal Mixto'!$C$690</f>
      </c>
      <c r="D5733" s="5" t="str">
        <f>MIN(INT(B5733*5),4)</f>
      </c>
      <c r="E5733" s="5" t="str">
        <f>MIN(INT(C5733*5),4)</f>
      </c>
      <c r="F5733" s="5" t="str">
        <f>D5733*5+E5733</f>
      </c>
    </row>
    <row r="5734">
      <c r="A5734" s="6">
        <v>686</v>
      </c>
      <c r="B5734" s="6" t="str">
        <f>'Lineal Mixto'!$C$690</f>
      </c>
      <c r="C5734" s="6" t="str">
        <f>'Lineal Mixto'!$C$691</f>
      </c>
      <c r="D5734" s="6" t="str">
        <f>MIN(INT(B5734*5),4)</f>
      </c>
      <c r="E5734" s="6" t="str">
        <f>MIN(INT(C5734*5),4)</f>
      </c>
      <c r="F5734" s="6" t="str">
        <f>D5734*5+E5734</f>
      </c>
    </row>
    <row r="5735">
      <c r="A5735" s="5">
        <v>687</v>
      </c>
      <c r="B5735" s="5" t="str">
        <f>'Lineal Mixto'!$C$691</f>
      </c>
      <c r="C5735" s="5" t="str">
        <f>'Lineal Mixto'!$C$692</f>
      </c>
      <c r="D5735" s="5" t="str">
        <f>MIN(INT(B5735*5),4)</f>
      </c>
      <c r="E5735" s="5" t="str">
        <f>MIN(INT(C5735*5),4)</f>
      </c>
      <c r="F5735" s="5" t="str">
        <f>D5735*5+E5735</f>
      </c>
    </row>
    <row r="5736">
      <c r="A5736" s="6">
        <v>688</v>
      </c>
      <c r="B5736" s="6" t="str">
        <f>'Lineal Mixto'!$C$692</f>
      </c>
      <c r="C5736" s="6" t="str">
        <f>'Lineal Mixto'!$C$693</f>
      </c>
      <c r="D5736" s="6" t="str">
        <f>MIN(INT(B5736*5),4)</f>
      </c>
      <c r="E5736" s="6" t="str">
        <f>MIN(INT(C5736*5),4)</f>
      </c>
      <c r="F5736" s="6" t="str">
        <f>D5736*5+E5736</f>
      </c>
    </row>
    <row r="5737">
      <c r="A5737" s="5">
        <v>689</v>
      </c>
      <c r="B5737" s="5" t="str">
        <f>'Lineal Mixto'!$C$693</f>
      </c>
      <c r="C5737" s="5" t="str">
        <f>'Lineal Mixto'!$C$694</f>
      </c>
      <c r="D5737" s="5" t="str">
        <f>MIN(INT(B5737*5),4)</f>
      </c>
      <c r="E5737" s="5" t="str">
        <f>MIN(INT(C5737*5),4)</f>
      </c>
      <c r="F5737" s="5" t="str">
        <f>D5737*5+E5737</f>
      </c>
    </row>
    <row r="5738">
      <c r="A5738" s="6">
        <v>690</v>
      </c>
      <c r="B5738" s="6" t="str">
        <f>'Lineal Mixto'!$C$694</f>
      </c>
      <c r="C5738" s="6" t="str">
        <f>'Lineal Mixto'!$C$695</f>
      </c>
      <c r="D5738" s="6" t="str">
        <f>MIN(INT(B5738*5),4)</f>
      </c>
      <c r="E5738" s="6" t="str">
        <f>MIN(INT(C5738*5),4)</f>
      </c>
      <c r="F5738" s="6" t="str">
        <f>D5738*5+E5738</f>
      </c>
    </row>
    <row r="5739">
      <c r="A5739" s="5">
        <v>691</v>
      </c>
      <c r="B5739" s="5" t="str">
        <f>'Lineal Mixto'!$C$695</f>
      </c>
      <c r="C5739" s="5" t="str">
        <f>'Lineal Mixto'!$C$696</f>
      </c>
      <c r="D5739" s="5" t="str">
        <f>MIN(INT(B5739*5),4)</f>
      </c>
      <c r="E5739" s="5" t="str">
        <f>MIN(INT(C5739*5),4)</f>
      </c>
      <c r="F5739" s="5" t="str">
        <f>D5739*5+E5739</f>
      </c>
    </row>
    <row r="5740">
      <c r="A5740" s="6">
        <v>692</v>
      </c>
      <c r="B5740" s="6" t="str">
        <f>'Lineal Mixto'!$C$696</f>
      </c>
      <c r="C5740" s="6" t="str">
        <f>'Lineal Mixto'!$C$697</f>
      </c>
      <c r="D5740" s="6" t="str">
        <f>MIN(INT(B5740*5),4)</f>
      </c>
      <c r="E5740" s="6" t="str">
        <f>MIN(INT(C5740*5),4)</f>
      </c>
      <c r="F5740" s="6" t="str">
        <f>D5740*5+E5740</f>
      </c>
    </row>
    <row r="5741">
      <c r="A5741" s="5">
        <v>693</v>
      </c>
      <c r="B5741" s="5" t="str">
        <f>'Lineal Mixto'!$C$697</f>
      </c>
      <c r="C5741" s="5" t="str">
        <f>'Lineal Mixto'!$C$698</f>
      </c>
      <c r="D5741" s="5" t="str">
        <f>MIN(INT(B5741*5),4)</f>
      </c>
      <c r="E5741" s="5" t="str">
        <f>MIN(INT(C5741*5),4)</f>
      </c>
      <c r="F5741" s="5" t="str">
        <f>D5741*5+E5741</f>
      </c>
    </row>
    <row r="5742">
      <c r="A5742" s="6">
        <v>694</v>
      </c>
      <c r="B5742" s="6" t="str">
        <f>'Lineal Mixto'!$C$698</f>
      </c>
      <c r="C5742" s="6" t="str">
        <f>'Lineal Mixto'!$C$699</f>
      </c>
      <c r="D5742" s="6" t="str">
        <f>MIN(INT(B5742*5),4)</f>
      </c>
      <c r="E5742" s="6" t="str">
        <f>MIN(INT(C5742*5),4)</f>
      </c>
      <c r="F5742" s="6" t="str">
        <f>D5742*5+E5742</f>
      </c>
    </row>
    <row r="5743">
      <c r="A5743" s="5">
        <v>695</v>
      </c>
      <c r="B5743" s="5" t="str">
        <f>'Lineal Mixto'!$C$699</f>
      </c>
      <c r="C5743" s="5" t="str">
        <f>'Lineal Mixto'!$C$700</f>
      </c>
      <c r="D5743" s="5" t="str">
        <f>MIN(INT(B5743*5),4)</f>
      </c>
      <c r="E5743" s="5" t="str">
        <f>MIN(INT(C5743*5),4)</f>
      </c>
      <c r="F5743" s="5" t="str">
        <f>D5743*5+E5743</f>
      </c>
    </row>
    <row r="5744">
      <c r="A5744" s="6">
        <v>696</v>
      </c>
      <c r="B5744" s="6" t="str">
        <f>'Lineal Mixto'!$C$700</f>
      </c>
      <c r="C5744" s="6" t="str">
        <f>'Lineal Mixto'!$C$701</f>
      </c>
      <c r="D5744" s="6" t="str">
        <f>MIN(INT(B5744*5),4)</f>
      </c>
      <c r="E5744" s="6" t="str">
        <f>MIN(INT(C5744*5),4)</f>
      </c>
      <c r="F5744" s="6" t="str">
        <f>D5744*5+E5744</f>
      </c>
    </row>
    <row r="5745">
      <c r="A5745" s="5">
        <v>697</v>
      </c>
      <c r="B5745" s="5" t="str">
        <f>'Lineal Mixto'!$C$701</f>
      </c>
      <c r="C5745" s="5" t="str">
        <f>'Lineal Mixto'!$C$702</f>
      </c>
      <c r="D5745" s="5" t="str">
        <f>MIN(INT(B5745*5),4)</f>
      </c>
      <c r="E5745" s="5" t="str">
        <f>MIN(INT(C5745*5),4)</f>
      </c>
      <c r="F5745" s="5" t="str">
        <f>D5745*5+E5745</f>
      </c>
    </row>
    <row r="5746">
      <c r="A5746" s="6">
        <v>698</v>
      </c>
      <c r="B5746" s="6" t="str">
        <f>'Lineal Mixto'!$C$702</f>
      </c>
      <c r="C5746" s="6" t="str">
        <f>'Lineal Mixto'!$C$703</f>
      </c>
      <c r="D5746" s="6" t="str">
        <f>MIN(INT(B5746*5),4)</f>
      </c>
      <c r="E5746" s="6" t="str">
        <f>MIN(INT(C5746*5),4)</f>
      </c>
      <c r="F5746" s="6" t="str">
        <f>D5746*5+E5746</f>
      </c>
    </row>
    <row r="5747">
      <c r="A5747" s="5">
        <v>699</v>
      </c>
      <c r="B5747" s="5" t="str">
        <f>'Lineal Mixto'!$C$703</f>
      </c>
      <c r="C5747" s="5" t="str">
        <f>'Lineal Mixto'!$C$704</f>
      </c>
      <c r="D5747" s="5" t="str">
        <f>MIN(INT(B5747*5),4)</f>
      </c>
      <c r="E5747" s="5" t="str">
        <f>MIN(INT(C5747*5),4)</f>
      </c>
      <c r="F5747" s="5" t="str">
        <f>D5747*5+E5747</f>
      </c>
    </row>
    <row r="5748">
      <c r="A5748" s="6">
        <v>700</v>
      </c>
      <c r="B5748" s="6" t="str">
        <f>'Lineal Mixto'!$C$704</f>
      </c>
      <c r="C5748" s="6" t="str">
        <f>'Lineal Mixto'!$C$705</f>
      </c>
      <c r="D5748" s="6" t="str">
        <f>MIN(INT(B5748*5),4)</f>
      </c>
      <c r="E5748" s="6" t="str">
        <f>MIN(INT(C5748*5),4)</f>
      </c>
      <c r="F5748" s="6" t="str">
        <f>D5748*5+E5748</f>
      </c>
    </row>
    <row r="5749">
      <c r="A5749" s="5">
        <v>701</v>
      </c>
      <c r="B5749" s="5" t="str">
        <f>'Lineal Mixto'!$C$705</f>
      </c>
      <c r="C5749" s="5" t="str">
        <f>'Lineal Mixto'!$C$706</f>
      </c>
      <c r="D5749" s="5" t="str">
        <f>MIN(INT(B5749*5),4)</f>
      </c>
      <c r="E5749" s="5" t="str">
        <f>MIN(INT(C5749*5),4)</f>
      </c>
      <c r="F5749" s="5" t="str">
        <f>D5749*5+E5749</f>
      </c>
    </row>
    <row r="5750">
      <c r="A5750" s="6">
        <v>702</v>
      </c>
      <c r="B5750" s="6" t="str">
        <f>'Lineal Mixto'!$C$706</f>
      </c>
      <c r="C5750" s="6" t="str">
        <f>'Lineal Mixto'!$C$707</f>
      </c>
      <c r="D5750" s="6" t="str">
        <f>MIN(INT(B5750*5),4)</f>
      </c>
      <c r="E5750" s="6" t="str">
        <f>MIN(INT(C5750*5),4)</f>
      </c>
      <c r="F5750" s="6" t="str">
        <f>D5750*5+E5750</f>
      </c>
    </row>
    <row r="5751">
      <c r="A5751" s="5">
        <v>703</v>
      </c>
      <c r="B5751" s="5" t="str">
        <f>'Lineal Mixto'!$C$707</f>
      </c>
      <c r="C5751" s="5" t="str">
        <f>'Lineal Mixto'!$C$708</f>
      </c>
      <c r="D5751" s="5" t="str">
        <f>MIN(INT(B5751*5),4)</f>
      </c>
      <c r="E5751" s="5" t="str">
        <f>MIN(INT(C5751*5),4)</f>
      </c>
      <c r="F5751" s="5" t="str">
        <f>D5751*5+E5751</f>
      </c>
    </row>
    <row r="5752">
      <c r="A5752" s="6">
        <v>704</v>
      </c>
      <c r="B5752" s="6" t="str">
        <f>'Lineal Mixto'!$C$708</f>
      </c>
      <c r="C5752" s="6" t="str">
        <f>'Lineal Mixto'!$C$709</f>
      </c>
      <c r="D5752" s="6" t="str">
        <f>MIN(INT(B5752*5),4)</f>
      </c>
      <c r="E5752" s="6" t="str">
        <f>MIN(INT(C5752*5),4)</f>
      </c>
      <c r="F5752" s="6" t="str">
        <f>D5752*5+E5752</f>
      </c>
    </row>
    <row r="5753">
      <c r="A5753" s="5">
        <v>705</v>
      </c>
      <c r="B5753" s="5" t="str">
        <f>'Lineal Mixto'!$C$709</f>
      </c>
      <c r="C5753" s="5" t="str">
        <f>'Lineal Mixto'!$C$710</f>
      </c>
      <c r="D5753" s="5" t="str">
        <f>MIN(INT(B5753*5),4)</f>
      </c>
      <c r="E5753" s="5" t="str">
        <f>MIN(INT(C5753*5),4)</f>
      </c>
      <c r="F5753" s="5" t="str">
        <f>D5753*5+E5753</f>
      </c>
    </row>
    <row r="5754">
      <c r="A5754" s="6">
        <v>706</v>
      </c>
      <c r="B5754" s="6" t="str">
        <f>'Lineal Mixto'!$C$710</f>
      </c>
      <c r="C5754" s="6" t="str">
        <f>'Lineal Mixto'!$C$711</f>
      </c>
      <c r="D5754" s="6" t="str">
        <f>MIN(INT(B5754*5),4)</f>
      </c>
      <c r="E5754" s="6" t="str">
        <f>MIN(INT(C5754*5),4)</f>
      </c>
      <c r="F5754" s="6" t="str">
        <f>D5754*5+E5754</f>
      </c>
    </row>
    <row r="5755">
      <c r="A5755" s="5">
        <v>707</v>
      </c>
      <c r="B5755" s="5" t="str">
        <f>'Lineal Mixto'!$C$711</f>
      </c>
      <c r="C5755" s="5" t="str">
        <f>'Lineal Mixto'!$C$712</f>
      </c>
      <c r="D5755" s="5" t="str">
        <f>MIN(INT(B5755*5),4)</f>
      </c>
      <c r="E5755" s="5" t="str">
        <f>MIN(INT(C5755*5),4)</f>
      </c>
      <c r="F5755" s="5" t="str">
        <f>D5755*5+E5755</f>
      </c>
    </row>
    <row r="5756">
      <c r="A5756" s="6">
        <v>708</v>
      </c>
      <c r="B5756" s="6" t="str">
        <f>'Lineal Mixto'!$C$712</f>
      </c>
      <c r="C5756" s="6" t="str">
        <f>'Lineal Mixto'!$C$713</f>
      </c>
      <c r="D5756" s="6" t="str">
        <f>MIN(INT(B5756*5),4)</f>
      </c>
      <c r="E5756" s="6" t="str">
        <f>MIN(INT(C5756*5),4)</f>
      </c>
      <c r="F5756" s="6" t="str">
        <f>D5756*5+E5756</f>
      </c>
    </row>
    <row r="5757">
      <c r="A5757" s="5">
        <v>709</v>
      </c>
      <c r="B5757" s="5" t="str">
        <f>'Lineal Mixto'!$C$713</f>
      </c>
      <c r="C5757" s="5" t="str">
        <f>'Lineal Mixto'!$C$714</f>
      </c>
      <c r="D5757" s="5" t="str">
        <f>MIN(INT(B5757*5),4)</f>
      </c>
      <c r="E5757" s="5" t="str">
        <f>MIN(INT(C5757*5),4)</f>
      </c>
      <c r="F5757" s="5" t="str">
        <f>D5757*5+E5757</f>
      </c>
    </row>
    <row r="5758">
      <c r="A5758" s="6">
        <v>710</v>
      </c>
      <c r="B5758" s="6" t="str">
        <f>'Lineal Mixto'!$C$714</f>
      </c>
      <c r="C5758" s="6" t="str">
        <f>'Lineal Mixto'!$C$715</f>
      </c>
      <c r="D5758" s="6" t="str">
        <f>MIN(INT(B5758*5),4)</f>
      </c>
      <c r="E5758" s="6" t="str">
        <f>MIN(INT(C5758*5),4)</f>
      </c>
      <c r="F5758" s="6" t="str">
        <f>D5758*5+E5758</f>
      </c>
    </row>
    <row r="5759">
      <c r="A5759" s="5">
        <v>711</v>
      </c>
      <c r="B5759" s="5" t="str">
        <f>'Lineal Mixto'!$C$715</f>
      </c>
      <c r="C5759" s="5" t="str">
        <f>'Lineal Mixto'!$C$716</f>
      </c>
      <c r="D5759" s="5" t="str">
        <f>MIN(INT(B5759*5),4)</f>
      </c>
      <c r="E5759" s="5" t="str">
        <f>MIN(INT(C5759*5),4)</f>
      </c>
      <c r="F5759" s="5" t="str">
        <f>D5759*5+E5759</f>
      </c>
    </row>
    <row r="5760">
      <c r="A5760" s="6">
        <v>712</v>
      </c>
      <c r="B5760" s="6" t="str">
        <f>'Lineal Mixto'!$C$716</f>
      </c>
      <c r="C5760" s="6" t="str">
        <f>'Lineal Mixto'!$C$717</f>
      </c>
      <c r="D5760" s="6" t="str">
        <f>MIN(INT(B5760*5),4)</f>
      </c>
      <c r="E5760" s="6" t="str">
        <f>MIN(INT(C5760*5),4)</f>
      </c>
      <c r="F5760" s="6" t="str">
        <f>D5760*5+E5760</f>
      </c>
    </row>
    <row r="5761">
      <c r="A5761" s="5">
        <v>713</v>
      </c>
      <c r="B5761" s="5" t="str">
        <f>'Lineal Mixto'!$C$717</f>
      </c>
      <c r="C5761" s="5" t="str">
        <f>'Lineal Mixto'!$C$718</f>
      </c>
      <c r="D5761" s="5" t="str">
        <f>MIN(INT(B5761*5),4)</f>
      </c>
      <c r="E5761" s="5" t="str">
        <f>MIN(INT(C5761*5),4)</f>
      </c>
      <c r="F5761" s="5" t="str">
        <f>D5761*5+E5761</f>
      </c>
    </row>
    <row r="5762">
      <c r="A5762" s="6">
        <v>714</v>
      </c>
      <c r="B5762" s="6" t="str">
        <f>'Lineal Mixto'!$C$718</f>
      </c>
      <c r="C5762" s="6" t="str">
        <f>'Lineal Mixto'!$C$719</f>
      </c>
      <c r="D5762" s="6" t="str">
        <f>MIN(INT(B5762*5),4)</f>
      </c>
      <c r="E5762" s="6" t="str">
        <f>MIN(INT(C5762*5),4)</f>
      </c>
      <c r="F5762" s="6" t="str">
        <f>D5762*5+E5762</f>
      </c>
    </row>
    <row r="5763">
      <c r="A5763" s="5">
        <v>715</v>
      </c>
      <c r="B5763" s="5" t="str">
        <f>'Lineal Mixto'!$C$719</f>
      </c>
      <c r="C5763" s="5" t="str">
        <f>'Lineal Mixto'!$C$720</f>
      </c>
      <c r="D5763" s="5" t="str">
        <f>MIN(INT(B5763*5),4)</f>
      </c>
      <c r="E5763" s="5" t="str">
        <f>MIN(INT(C5763*5),4)</f>
      </c>
      <c r="F5763" s="5" t="str">
        <f>D5763*5+E5763</f>
      </c>
    </row>
    <row r="5764">
      <c r="A5764" s="6">
        <v>716</v>
      </c>
      <c r="B5764" s="6" t="str">
        <f>'Lineal Mixto'!$C$720</f>
      </c>
      <c r="C5764" s="6" t="str">
        <f>'Lineal Mixto'!$C$721</f>
      </c>
      <c r="D5764" s="6" t="str">
        <f>MIN(INT(B5764*5),4)</f>
      </c>
      <c r="E5764" s="6" t="str">
        <f>MIN(INT(C5764*5),4)</f>
      </c>
      <c r="F5764" s="6" t="str">
        <f>D5764*5+E5764</f>
      </c>
    </row>
    <row r="5765">
      <c r="A5765" s="5">
        <v>717</v>
      </c>
      <c r="B5765" s="5" t="str">
        <f>'Lineal Mixto'!$C$721</f>
      </c>
      <c r="C5765" s="5" t="str">
        <f>'Lineal Mixto'!$C$722</f>
      </c>
      <c r="D5765" s="5" t="str">
        <f>MIN(INT(B5765*5),4)</f>
      </c>
      <c r="E5765" s="5" t="str">
        <f>MIN(INT(C5765*5),4)</f>
      </c>
      <c r="F5765" s="5" t="str">
        <f>D5765*5+E5765</f>
      </c>
    </row>
    <row r="5766">
      <c r="A5766" s="6">
        <v>718</v>
      </c>
      <c r="B5766" s="6" t="str">
        <f>'Lineal Mixto'!$C$722</f>
      </c>
      <c r="C5766" s="6" t="str">
        <f>'Lineal Mixto'!$C$723</f>
      </c>
      <c r="D5766" s="6" t="str">
        <f>MIN(INT(B5766*5),4)</f>
      </c>
      <c r="E5766" s="6" t="str">
        <f>MIN(INT(C5766*5),4)</f>
      </c>
      <c r="F5766" s="6" t="str">
        <f>D5766*5+E5766</f>
      </c>
    </row>
    <row r="5767">
      <c r="A5767" s="5">
        <v>719</v>
      </c>
      <c r="B5767" s="5" t="str">
        <f>'Lineal Mixto'!$C$723</f>
      </c>
      <c r="C5767" s="5" t="str">
        <f>'Lineal Mixto'!$C$724</f>
      </c>
      <c r="D5767" s="5" t="str">
        <f>MIN(INT(B5767*5),4)</f>
      </c>
      <c r="E5767" s="5" t="str">
        <f>MIN(INT(C5767*5),4)</f>
      </c>
      <c r="F5767" s="5" t="str">
        <f>D5767*5+E5767</f>
      </c>
    </row>
    <row r="5768">
      <c r="A5768" s="6">
        <v>720</v>
      </c>
      <c r="B5768" s="6" t="str">
        <f>'Lineal Mixto'!$C$724</f>
      </c>
      <c r="C5768" s="6" t="str">
        <f>'Lineal Mixto'!$C$725</f>
      </c>
      <c r="D5768" s="6" t="str">
        <f>MIN(INT(B5768*5),4)</f>
      </c>
      <c r="E5768" s="6" t="str">
        <f>MIN(INT(C5768*5),4)</f>
      </c>
      <c r="F5768" s="6" t="str">
        <f>D5768*5+E5768</f>
      </c>
    </row>
    <row r="5769">
      <c r="A5769" s="5">
        <v>721</v>
      </c>
      <c r="B5769" s="5" t="str">
        <f>'Lineal Mixto'!$C$725</f>
      </c>
      <c r="C5769" s="5" t="str">
        <f>'Lineal Mixto'!$C$726</f>
      </c>
      <c r="D5769" s="5" t="str">
        <f>MIN(INT(B5769*5),4)</f>
      </c>
      <c r="E5769" s="5" t="str">
        <f>MIN(INT(C5769*5),4)</f>
      </c>
      <c r="F5769" s="5" t="str">
        <f>D5769*5+E5769</f>
      </c>
    </row>
    <row r="5770">
      <c r="A5770" s="6">
        <v>722</v>
      </c>
      <c r="B5770" s="6" t="str">
        <f>'Lineal Mixto'!$C$726</f>
      </c>
      <c r="C5770" s="6" t="str">
        <f>'Lineal Mixto'!$C$727</f>
      </c>
      <c r="D5770" s="6" t="str">
        <f>MIN(INT(B5770*5),4)</f>
      </c>
      <c r="E5770" s="6" t="str">
        <f>MIN(INT(C5770*5),4)</f>
      </c>
      <c r="F5770" s="6" t="str">
        <f>D5770*5+E5770</f>
      </c>
    </row>
    <row r="5771">
      <c r="A5771" s="5">
        <v>723</v>
      </c>
      <c r="B5771" s="5" t="str">
        <f>'Lineal Mixto'!$C$727</f>
      </c>
      <c r="C5771" s="5" t="str">
        <f>'Lineal Mixto'!$C$728</f>
      </c>
      <c r="D5771" s="5" t="str">
        <f>MIN(INT(B5771*5),4)</f>
      </c>
      <c r="E5771" s="5" t="str">
        <f>MIN(INT(C5771*5),4)</f>
      </c>
      <c r="F5771" s="5" t="str">
        <f>D5771*5+E5771</f>
      </c>
    </row>
    <row r="5772">
      <c r="A5772" s="6">
        <v>724</v>
      </c>
      <c r="B5772" s="6" t="str">
        <f>'Lineal Mixto'!$C$728</f>
      </c>
      <c r="C5772" s="6" t="str">
        <f>'Lineal Mixto'!$C$729</f>
      </c>
      <c r="D5772" s="6" t="str">
        <f>MIN(INT(B5772*5),4)</f>
      </c>
      <c r="E5772" s="6" t="str">
        <f>MIN(INT(C5772*5),4)</f>
      </c>
      <c r="F5772" s="6" t="str">
        <f>D5772*5+E5772</f>
      </c>
    </row>
    <row r="5773">
      <c r="A5773" s="5">
        <v>725</v>
      </c>
      <c r="B5773" s="5" t="str">
        <f>'Lineal Mixto'!$C$729</f>
      </c>
      <c r="C5773" s="5" t="str">
        <f>'Lineal Mixto'!$C$730</f>
      </c>
      <c r="D5773" s="5" t="str">
        <f>MIN(INT(B5773*5),4)</f>
      </c>
      <c r="E5773" s="5" t="str">
        <f>MIN(INT(C5773*5),4)</f>
      </c>
      <c r="F5773" s="5" t="str">
        <f>D5773*5+E5773</f>
      </c>
    </row>
    <row r="5774">
      <c r="A5774" s="6">
        <v>726</v>
      </c>
      <c r="B5774" s="6" t="str">
        <f>'Lineal Mixto'!$C$730</f>
      </c>
      <c r="C5774" s="6" t="str">
        <f>'Lineal Mixto'!$C$731</f>
      </c>
      <c r="D5774" s="6" t="str">
        <f>MIN(INT(B5774*5),4)</f>
      </c>
      <c r="E5774" s="6" t="str">
        <f>MIN(INT(C5774*5),4)</f>
      </c>
      <c r="F5774" s="6" t="str">
        <f>D5774*5+E5774</f>
      </c>
    </row>
    <row r="5775">
      <c r="A5775" s="5">
        <v>727</v>
      </c>
      <c r="B5775" s="5" t="str">
        <f>'Lineal Mixto'!$C$731</f>
      </c>
      <c r="C5775" s="5" t="str">
        <f>'Lineal Mixto'!$C$732</f>
      </c>
      <c r="D5775" s="5" t="str">
        <f>MIN(INT(B5775*5),4)</f>
      </c>
      <c r="E5775" s="5" t="str">
        <f>MIN(INT(C5775*5),4)</f>
      </c>
      <c r="F5775" s="5" t="str">
        <f>D5775*5+E5775</f>
      </c>
    </row>
    <row r="5776">
      <c r="A5776" s="6">
        <v>728</v>
      </c>
      <c r="B5776" s="6" t="str">
        <f>'Lineal Mixto'!$C$732</f>
      </c>
      <c r="C5776" s="6" t="str">
        <f>'Lineal Mixto'!$C$733</f>
      </c>
      <c r="D5776" s="6" t="str">
        <f>MIN(INT(B5776*5),4)</f>
      </c>
      <c r="E5776" s="6" t="str">
        <f>MIN(INT(C5776*5),4)</f>
      </c>
      <c r="F5776" s="6" t="str">
        <f>D5776*5+E5776</f>
      </c>
    </row>
    <row r="5777">
      <c r="A5777" s="5">
        <v>729</v>
      </c>
      <c r="B5777" s="5" t="str">
        <f>'Lineal Mixto'!$C$733</f>
      </c>
      <c r="C5777" s="5" t="str">
        <f>'Lineal Mixto'!$C$734</f>
      </c>
      <c r="D5777" s="5" t="str">
        <f>MIN(INT(B5777*5),4)</f>
      </c>
      <c r="E5777" s="5" t="str">
        <f>MIN(INT(C5777*5),4)</f>
      </c>
      <c r="F5777" s="5" t="str">
        <f>D5777*5+E5777</f>
      </c>
    </row>
    <row r="5778">
      <c r="A5778" s="6">
        <v>730</v>
      </c>
      <c r="B5778" s="6" t="str">
        <f>'Lineal Mixto'!$C$734</f>
      </c>
      <c r="C5778" s="6" t="str">
        <f>'Lineal Mixto'!$C$735</f>
      </c>
      <c r="D5778" s="6" t="str">
        <f>MIN(INT(B5778*5),4)</f>
      </c>
      <c r="E5778" s="6" t="str">
        <f>MIN(INT(C5778*5),4)</f>
      </c>
      <c r="F5778" s="6" t="str">
        <f>D5778*5+E5778</f>
      </c>
    </row>
    <row r="5779">
      <c r="A5779" s="5">
        <v>731</v>
      </c>
      <c r="B5779" s="5" t="str">
        <f>'Lineal Mixto'!$C$735</f>
      </c>
      <c r="C5779" s="5" t="str">
        <f>'Lineal Mixto'!$C$736</f>
      </c>
      <c r="D5779" s="5" t="str">
        <f>MIN(INT(B5779*5),4)</f>
      </c>
      <c r="E5779" s="5" t="str">
        <f>MIN(INT(C5779*5),4)</f>
      </c>
      <c r="F5779" s="5" t="str">
        <f>D5779*5+E5779</f>
      </c>
    </row>
    <row r="5780">
      <c r="A5780" s="6">
        <v>732</v>
      </c>
      <c r="B5780" s="6" t="str">
        <f>'Lineal Mixto'!$C$736</f>
      </c>
      <c r="C5780" s="6" t="str">
        <f>'Lineal Mixto'!$C$737</f>
      </c>
      <c r="D5780" s="6" t="str">
        <f>MIN(INT(B5780*5),4)</f>
      </c>
      <c r="E5780" s="6" t="str">
        <f>MIN(INT(C5780*5),4)</f>
      </c>
      <c r="F5780" s="6" t="str">
        <f>D5780*5+E5780</f>
      </c>
    </row>
    <row r="5781">
      <c r="A5781" s="5">
        <v>733</v>
      </c>
      <c r="B5781" s="5" t="str">
        <f>'Lineal Mixto'!$C$737</f>
      </c>
      <c r="C5781" s="5" t="str">
        <f>'Lineal Mixto'!$C$738</f>
      </c>
      <c r="D5781" s="5" t="str">
        <f>MIN(INT(B5781*5),4)</f>
      </c>
      <c r="E5781" s="5" t="str">
        <f>MIN(INT(C5781*5),4)</f>
      </c>
      <c r="F5781" s="5" t="str">
        <f>D5781*5+E5781</f>
      </c>
    </row>
    <row r="5782">
      <c r="A5782" s="6">
        <v>734</v>
      </c>
      <c r="B5782" s="6" t="str">
        <f>'Lineal Mixto'!$C$738</f>
      </c>
      <c r="C5782" s="6" t="str">
        <f>'Lineal Mixto'!$C$739</f>
      </c>
      <c r="D5782" s="6" t="str">
        <f>MIN(INT(B5782*5),4)</f>
      </c>
      <c r="E5782" s="6" t="str">
        <f>MIN(INT(C5782*5),4)</f>
      </c>
      <c r="F5782" s="6" t="str">
        <f>D5782*5+E5782</f>
      </c>
    </row>
    <row r="5783">
      <c r="A5783" s="5">
        <v>735</v>
      </c>
      <c r="B5783" s="5" t="str">
        <f>'Lineal Mixto'!$C$739</f>
      </c>
      <c r="C5783" s="5" t="str">
        <f>'Lineal Mixto'!$C$740</f>
      </c>
      <c r="D5783" s="5" t="str">
        <f>MIN(INT(B5783*5),4)</f>
      </c>
      <c r="E5783" s="5" t="str">
        <f>MIN(INT(C5783*5),4)</f>
      </c>
      <c r="F5783" s="5" t="str">
        <f>D5783*5+E5783</f>
      </c>
    </row>
    <row r="5784">
      <c r="A5784" s="6">
        <v>736</v>
      </c>
      <c r="B5784" s="6" t="str">
        <f>'Lineal Mixto'!$C$740</f>
      </c>
      <c r="C5784" s="6" t="str">
        <f>'Lineal Mixto'!$C$741</f>
      </c>
      <c r="D5784" s="6" t="str">
        <f>MIN(INT(B5784*5),4)</f>
      </c>
      <c r="E5784" s="6" t="str">
        <f>MIN(INT(C5784*5),4)</f>
      </c>
      <c r="F5784" s="6" t="str">
        <f>D5784*5+E5784</f>
      </c>
    </row>
    <row r="5785">
      <c r="A5785" s="5">
        <v>737</v>
      </c>
      <c r="B5785" s="5" t="str">
        <f>'Lineal Mixto'!$C$741</f>
      </c>
      <c r="C5785" s="5" t="str">
        <f>'Lineal Mixto'!$C$742</f>
      </c>
      <c r="D5785" s="5" t="str">
        <f>MIN(INT(B5785*5),4)</f>
      </c>
      <c r="E5785" s="5" t="str">
        <f>MIN(INT(C5785*5),4)</f>
      </c>
      <c r="F5785" s="5" t="str">
        <f>D5785*5+E5785</f>
      </c>
    </row>
    <row r="5786">
      <c r="A5786" s="6">
        <v>738</v>
      </c>
      <c r="B5786" s="6" t="str">
        <f>'Lineal Mixto'!$C$742</f>
      </c>
      <c r="C5786" s="6" t="str">
        <f>'Lineal Mixto'!$C$743</f>
      </c>
      <c r="D5786" s="6" t="str">
        <f>MIN(INT(B5786*5),4)</f>
      </c>
      <c r="E5786" s="6" t="str">
        <f>MIN(INT(C5786*5),4)</f>
      </c>
      <c r="F5786" s="6" t="str">
        <f>D5786*5+E5786</f>
      </c>
    </row>
    <row r="5787">
      <c r="A5787" s="5">
        <v>739</v>
      </c>
      <c r="B5787" s="5" t="str">
        <f>'Lineal Mixto'!$C$743</f>
      </c>
      <c r="C5787" s="5" t="str">
        <f>'Lineal Mixto'!$C$744</f>
      </c>
      <c r="D5787" s="5" t="str">
        <f>MIN(INT(B5787*5),4)</f>
      </c>
      <c r="E5787" s="5" t="str">
        <f>MIN(INT(C5787*5),4)</f>
      </c>
      <c r="F5787" s="5" t="str">
        <f>D5787*5+E5787</f>
      </c>
    </row>
    <row r="5788">
      <c r="A5788" s="6">
        <v>740</v>
      </c>
      <c r="B5788" s="6" t="str">
        <f>'Lineal Mixto'!$C$744</f>
      </c>
      <c r="C5788" s="6" t="str">
        <f>'Lineal Mixto'!$C$745</f>
      </c>
      <c r="D5788" s="6" t="str">
        <f>MIN(INT(B5788*5),4)</f>
      </c>
      <c r="E5788" s="6" t="str">
        <f>MIN(INT(C5788*5),4)</f>
      </c>
      <c r="F5788" s="6" t="str">
        <f>D5788*5+E5788</f>
      </c>
    </row>
    <row r="5789">
      <c r="A5789" s="5">
        <v>741</v>
      </c>
      <c r="B5789" s="5" t="str">
        <f>'Lineal Mixto'!$C$745</f>
      </c>
      <c r="C5789" s="5" t="str">
        <f>'Lineal Mixto'!$C$746</f>
      </c>
      <c r="D5789" s="5" t="str">
        <f>MIN(INT(B5789*5),4)</f>
      </c>
      <c r="E5789" s="5" t="str">
        <f>MIN(INT(C5789*5),4)</f>
      </c>
      <c r="F5789" s="5" t="str">
        <f>D5789*5+E5789</f>
      </c>
    </row>
    <row r="5790">
      <c r="A5790" s="6">
        <v>742</v>
      </c>
      <c r="B5790" s="6" t="str">
        <f>'Lineal Mixto'!$C$746</f>
      </c>
      <c r="C5790" s="6" t="str">
        <f>'Lineal Mixto'!$C$747</f>
      </c>
      <c r="D5790" s="6" t="str">
        <f>MIN(INT(B5790*5),4)</f>
      </c>
      <c r="E5790" s="6" t="str">
        <f>MIN(INT(C5790*5),4)</f>
      </c>
      <c r="F5790" s="6" t="str">
        <f>D5790*5+E5790</f>
      </c>
    </row>
    <row r="5791">
      <c r="A5791" s="5">
        <v>743</v>
      </c>
      <c r="B5791" s="5" t="str">
        <f>'Lineal Mixto'!$C$747</f>
      </c>
      <c r="C5791" s="5" t="str">
        <f>'Lineal Mixto'!$C$748</f>
      </c>
      <c r="D5791" s="5" t="str">
        <f>MIN(INT(B5791*5),4)</f>
      </c>
      <c r="E5791" s="5" t="str">
        <f>MIN(INT(C5791*5),4)</f>
      </c>
      <c r="F5791" s="5" t="str">
        <f>D5791*5+E5791</f>
      </c>
    </row>
    <row r="5792">
      <c r="A5792" s="6">
        <v>744</v>
      </c>
      <c r="B5792" s="6" t="str">
        <f>'Lineal Mixto'!$C$748</f>
      </c>
      <c r="C5792" s="6" t="str">
        <f>'Lineal Mixto'!$C$749</f>
      </c>
      <c r="D5792" s="6" t="str">
        <f>MIN(INT(B5792*5),4)</f>
      </c>
      <c r="E5792" s="6" t="str">
        <f>MIN(INT(C5792*5),4)</f>
      </c>
      <c r="F5792" s="6" t="str">
        <f>D5792*5+E5792</f>
      </c>
    </row>
    <row r="5793">
      <c r="A5793" s="5">
        <v>745</v>
      </c>
      <c r="B5793" s="5" t="str">
        <f>'Lineal Mixto'!$C$749</f>
      </c>
      <c r="C5793" s="5" t="str">
        <f>'Lineal Mixto'!$C$750</f>
      </c>
      <c r="D5793" s="5" t="str">
        <f>MIN(INT(B5793*5),4)</f>
      </c>
      <c r="E5793" s="5" t="str">
        <f>MIN(INT(C5793*5),4)</f>
      </c>
      <c r="F5793" s="5" t="str">
        <f>D5793*5+E5793</f>
      </c>
    </row>
    <row r="5794">
      <c r="A5794" s="6">
        <v>746</v>
      </c>
      <c r="B5794" s="6" t="str">
        <f>'Lineal Mixto'!$C$750</f>
      </c>
      <c r="C5794" s="6" t="str">
        <f>'Lineal Mixto'!$C$751</f>
      </c>
      <c r="D5794" s="6" t="str">
        <f>MIN(INT(B5794*5),4)</f>
      </c>
      <c r="E5794" s="6" t="str">
        <f>MIN(INT(C5794*5),4)</f>
      </c>
      <c r="F5794" s="6" t="str">
        <f>D5794*5+E5794</f>
      </c>
    </row>
    <row r="5795">
      <c r="A5795" s="5">
        <v>747</v>
      </c>
      <c r="B5795" s="5" t="str">
        <f>'Lineal Mixto'!$C$751</f>
      </c>
      <c r="C5795" s="5" t="str">
        <f>'Lineal Mixto'!$C$752</f>
      </c>
      <c r="D5795" s="5" t="str">
        <f>MIN(INT(B5795*5),4)</f>
      </c>
      <c r="E5795" s="5" t="str">
        <f>MIN(INT(C5795*5),4)</f>
      </c>
      <c r="F5795" s="5" t="str">
        <f>D5795*5+E5795</f>
      </c>
    </row>
    <row r="5796">
      <c r="A5796" s="6">
        <v>748</v>
      </c>
      <c r="B5796" s="6" t="str">
        <f>'Lineal Mixto'!$C$752</f>
      </c>
      <c r="C5796" s="6" t="str">
        <f>'Lineal Mixto'!$C$753</f>
      </c>
      <c r="D5796" s="6" t="str">
        <f>MIN(INT(B5796*5),4)</f>
      </c>
      <c r="E5796" s="6" t="str">
        <f>MIN(INT(C5796*5),4)</f>
      </c>
      <c r="F5796" s="6" t="str">
        <f>D5796*5+E5796</f>
      </c>
    </row>
    <row r="5797">
      <c r="A5797" s="5">
        <v>749</v>
      </c>
      <c r="B5797" s="5" t="str">
        <f>'Lineal Mixto'!$C$753</f>
      </c>
      <c r="C5797" s="5" t="str">
        <f>'Lineal Mixto'!$C$754</f>
      </c>
      <c r="D5797" s="5" t="str">
        <f>MIN(INT(B5797*5),4)</f>
      </c>
      <c r="E5797" s="5" t="str">
        <f>MIN(INT(C5797*5),4)</f>
      </c>
      <c r="F5797" s="5" t="str">
        <f>D5797*5+E5797</f>
      </c>
    </row>
    <row r="5798">
      <c r="A5798" s="6">
        <v>750</v>
      </c>
      <c r="B5798" s="6" t="str">
        <f>'Lineal Mixto'!$C$754</f>
      </c>
      <c r="C5798" s="6" t="str">
        <f>'Lineal Mixto'!$C$755</f>
      </c>
      <c r="D5798" s="6" t="str">
        <f>MIN(INT(B5798*5),4)</f>
      </c>
      <c r="E5798" s="6" t="str">
        <f>MIN(INT(C5798*5),4)</f>
      </c>
      <c r="F5798" s="6" t="str">
        <f>D5798*5+E5798</f>
      </c>
    </row>
    <row r="5799">
      <c r="A5799" s="5">
        <v>751</v>
      </c>
      <c r="B5799" s="5" t="str">
        <f>'Lineal Mixto'!$C$755</f>
      </c>
      <c r="C5799" s="5" t="str">
        <f>'Lineal Mixto'!$C$756</f>
      </c>
      <c r="D5799" s="5" t="str">
        <f>MIN(INT(B5799*5),4)</f>
      </c>
      <c r="E5799" s="5" t="str">
        <f>MIN(INT(C5799*5),4)</f>
      </c>
      <c r="F5799" s="5" t="str">
        <f>D5799*5+E5799</f>
      </c>
    </row>
    <row r="5800">
      <c r="A5800" s="6">
        <v>752</v>
      </c>
      <c r="B5800" s="6" t="str">
        <f>'Lineal Mixto'!$C$756</f>
      </c>
      <c r="C5800" s="6" t="str">
        <f>'Lineal Mixto'!$C$757</f>
      </c>
      <c r="D5800" s="6" t="str">
        <f>MIN(INT(B5800*5),4)</f>
      </c>
      <c r="E5800" s="6" t="str">
        <f>MIN(INT(C5800*5),4)</f>
      </c>
      <c r="F5800" s="6" t="str">
        <f>D5800*5+E5800</f>
      </c>
    </row>
    <row r="5801">
      <c r="A5801" s="5">
        <v>753</v>
      </c>
      <c r="B5801" s="5" t="str">
        <f>'Lineal Mixto'!$C$757</f>
      </c>
      <c r="C5801" s="5" t="str">
        <f>'Lineal Mixto'!$C$758</f>
      </c>
      <c r="D5801" s="5" t="str">
        <f>MIN(INT(B5801*5),4)</f>
      </c>
      <c r="E5801" s="5" t="str">
        <f>MIN(INT(C5801*5),4)</f>
      </c>
      <c r="F5801" s="5" t="str">
        <f>D5801*5+E5801</f>
      </c>
    </row>
    <row r="5802">
      <c r="A5802" s="6">
        <v>754</v>
      </c>
      <c r="B5802" s="6" t="str">
        <f>'Lineal Mixto'!$C$758</f>
      </c>
      <c r="C5802" s="6" t="str">
        <f>'Lineal Mixto'!$C$759</f>
      </c>
      <c r="D5802" s="6" t="str">
        <f>MIN(INT(B5802*5),4)</f>
      </c>
      <c r="E5802" s="6" t="str">
        <f>MIN(INT(C5802*5),4)</f>
      </c>
      <c r="F5802" s="6" t="str">
        <f>D5802*5+E5802</f>
      </c>
    </row>
    <row r="5803">
      <c r="A5803" s="5">
        <v>755</v>
      </c>
      <c r="B5803" s="5" t="str">
        <f>'Lineal Mixto'!$C$759</f>
      </c>
      <c r="C5803" s="5" t="str">
        <f>'Lineal Mixto'!$C$760</f>
      </c>
      <c r="D5803" s="5" t="str">
        <f>MIN(INT(B5803*5),4)</f>
      </c>
      <c r="E5803" s="5" t="str">
        <f>MIN(INT(C5803*5),4)</f>
      </c>
      <c r="F5803" s="5" t="str">
        <f>D5803*5+E5803</f>
      </c>
    </row>
    <row r="5804">
      <c r="A5804" s="6">
        <v>756</v>
      </c>
      <c r="B5804" s="6" t="str">
        <f>'Lineal Mixto'!$C$760</f>
      </c>
      <c r="C5804" s="6" t="str">
        <f>'Lineal Mixto'!$C$761</f>
      </c>
      <c r="D5804" s="6" t="str">
        <f>MIN(INT(B5804*5),4)</f>
      </c>
      <c r="E5804" s="6" t="str">
        <f>MIN(INT(C5804*5),4)</f>
      </c>
      <c r="F5804" s="6" t="str">
        <f>D5804*5+E5804</f>
      </c>
    </row>
    <row r="5805">
      <c r="A5805" s="5">
        <v>757</v>
      </c>
      <c r="B5805" s="5" t="str">
        <f>'Lineal Mixto'!$C$761</f>
      </c>
      <c r="C5805" s="5" t="str">
        <f>'Lineal Mixto'!$C$762</f>
      </c>
      <c r="D5805" s="5" t="str">
        <f>MIN(INT(B5805*5),4)</f>
      </c>
      <c r="E5805" s="5" t="str">
        <f>MIN(INT(C5805*5),4)</f>
      </c>
      <c r="F5805" s="5" t="str">
        <f>D5805*5+E5805</f>
      </c>
    </row>
    <row r="5806">
      <c r="A5806" s="6">
        <v>758</v>
      </c>
      <c r="B5806" s="6" t="str">
        <f>'Lineal Mixto'!$C$762</f>
      </c>
      <c r="C5806" s="6" t="str">
        <f>'Lineal Mixto'!$C$763</f>
      </c>
      <c r="D5806" s="6" t="str">
        <f>MIN(INT(B5806*5),4)</f>
      </c>
      <c r="E5806" s="6" t="str">
        <f>MIN(INT(C5806*5),4)</f>
      </c>
      <c r="F5806" s="6" t="str">
        <f>D5806*5+E5806</f>
      </c>
    </row>
    <row r="5807">
      <c r="A5807" s="5">
        <v>759</v>
      </c>
      <c r="B5807" s="5" t="str">
        <f>'Lineal Mixto'!$C$763</f>
      </c>
      <c r="C5807" s="5" t="str">
        <f>'Lineal Mixto'!$C$764</f>
      </c>
      <c r="D5807" s="5" t="str">
        <f>MIN(INT(B5807*5),4)</f>
      </c>
      <c r="E5807" s="5" t="str">
        <f>MIN(INT(C5807*5),4)</f>
      </c>
      <c r="F5807" s="5" t="str">
        <f>D5807*5+E5807</f>
      </c>
    </row>
    <row r="5808">
      <c r="A5808" s="6">
        <v>760</v>
      </c>
      <c r="B5808" s="6" t="str">
        <f>'Lineal Mixto'!$C$764</f>
      </c>
      <c r="C5808" s="6" t="str">
        <f>'Lineal Mixto'!$C$765</f>
      </c>
      <c r="D5808" s="6" t="str">
        <f>MIN(INT(B5808*5),4)</f>
      </c>
      <c r="E5808" s="6" t="str">
        <f>MIN(INT(C5808*5),4)</f>
      </c>
      <c r="F5808" s="6" t="str">
        <f>D5808*5+E5808</f>
      </c>
    </row>
    <row r="5809">
      <c r="A5809" s="5">
        <v>761</v>
      </c>
      <c r="B5809" s="5" t="str">
        <f>'Lineal Mixto'!$C$765</f>
      </c>
      <c r="C5809" s="5" t="str">
        <f>'Lineal Mixto'!$C$766</f>
      </c>
      <c r="D5809" s="5" t="str">
        <f>MIN(INT(B5809*5),4)</f>
      </c>
      <c r="E5809" s="5" t="str">
        <f>MIN(INT(C5809*5),4)</f>
      </c>
      <c r="F5809" s="5" t="str">
        <f>D5809*5+E5809</f>
      </c>
    </row>
    <row r="5810">
      <c r="A5810" s="6">
        <v>762</v>
      </c>
      <c r="B5810" s="6" t="str">
        <f>'Lineal Mixto'!$C$766</f>
      </c>
      <c r="C5810" s="6" t="str">
        <f>'Lineal Mixto'!$C$767</f>
      </c>
      <c r="D5810" s="6" t="str">
        <f>MIN(INT(B5810*5),4)</f>
      </c>
      <c r="E5810" s="6" t="str">
        <f>MIN(INT(C5810*5),4)</f>
      </c>
      <c r="F5810" s="6" t="str">
        <f>D5810*5+E5810</f>
      </c>
    </row>
    <row r="5811">
      <c r="A5811" s="5">
        <v>763</v>
      </c>
      <c r="B5811" s="5" t="str">
        <f>'Lineal Mixto'!$C$767</f>
      </c>
      <c r="C5811" s="5" t="str">
        <f>'Lineal Mixto'!$C$768</f>
      </c>
      <c r="D5811" s="5" t="str">
        <f>MIN(INT(B5811*5),4)</f>
      </c>
      <c r="E5811" s="5" t="str">
        <f>MIN(INT(C5811*5),4)</f>
      </c>
      <c r="F5811" s="5" t="str">
        <f>D5811*5+E5811</f>
      </c>
    </row>
    <row r="5812">
      <c r="A5812" s="6">
        <v>764</v>
      </c>
      <c r="B5812" s="6" t="str">
        <f>'Lineal Mixto'!$C$768</f>
      </c>
      <c r="C5812" s="6" t="str">
        <f>'Lineal Mixto'!$C$769</f>
      </c>
      <c r="D5812" s="6" t="str">
        <f>MIN(INT(B5812*5),4)</f>
      </c>
      <c r="E5812" s="6" t="str">
        <f>MIN(INT(C5812*5),4)</f>
      </c>
      <c r="F5812" s="6" t="str">
        <f>D5812*5+E5812</f>
      </c>
    </row>
    <row r="5813">
      <c r="A5813" s="5">
        <v>765</v>
      </c>
      <c r="B5813" s="5" t="str">
        <f>'Lineal Mixto'!$C$769</f>
      </c>
      <c r="C5813" s="5" t="str">
        <f>'Lineal Mixto'!$C$770</f>
      </c>
      <c r="D5813" s="5" t="str">
        <f>MIN(INT(B5813*5),4)</f>
      </c>
      <c r="E5813" s="5" t="str">
        <f>MIN(INT(C5813*5),4)</f>
      </c>
      <c r="F5813" s="5" t="str">
        <f>D5813*5+E5813</f>
      </c>
    </row>
    <row r="5814">
      <c r="A5814" s="6">
        <v>766</v>
      </c>
      <c r="B5814" s="6" t="str">
        <f>'Lineal Mixto'!$C$770</f>
      </c>
      <c r="C5814" s="6" t="str">
        <f>'Lineal Mixto'!$C$771</f>
      </c>
      <c r="D5814" s="6" t="str">
        <f>MIN(INT(B5814*5),4)</f>
      </c>
      <c r="E5814" s="6" t="str">
        <f>MIN(INT(C5814*5),4)</f>
      </c>
      <c r="F5814" s="6" t="str">
        <f>D5814*5+E5814</f>
      </c>
    </row>
    <row r="5815">
      <c r="A5815" s="5">
        <v>767</v>
      </c>
      <c r="B5815" s="5" t="str">
        <f>'Lineal Mixto'!$C$771</f>
      </c>
      <c r="C5815" s="5" t="str">
        <f>'Lineal Mixto'!$C$772</f>
      </c>
      <c r="D5815" s="5" t="str">
        <f>MIN(INT(B5815*5),4)</f>
      </c>
      <c r="E5815" s="5" t="str">
        <f>MIN(INT(C5815*5),4)</f>
      </c>
      <c r="F5815" s="5" t="str">
        <f>D5815*5+E5815</f>
      </c>
    </row>
    <row r="5816">
      <c r="A5816" s="6">
        <v>768</v>
      </c>
      <c r="B5816" s="6" t="str">
        <f>'Lineal Mixto'!$C$772</f>
      </c>
      <c r="C5816" s="6" t="str">
        <f>'Lineal Mixto'!$C$773</f>
      </c>
      <c r="D5816" s="6" t="str">
        <f>MIN(INT(B5816*5),4)</f>
      </c>
      <c r="E5816" s="6" t="str">
        <f>MIN(INT(C5816*5),4)</f>
      </c>
      <c r="F5816" s="6" t="str">
        <f>D5816*5+E5816</f>
      </c>
    </row>
    <row r="5817">
      <c r="A5817" s="5">
        <v>769</v>
      </c>
      <c r="B5817" s="5" t="str">
        <f>'Lineal Mixto'!$C$773</f>
      </c>
      <c r="C5817" s="5" t="str">
        <f>'Lineal Mixto'!$C$774</f>
      </c>
      <c r="D5817" s="5" t="str">
        <f>MIN(INT(B5817*5),4)</f>
      </c>
      <c r="E5817" s="5" t="str">
        <f>MIN(INT(C5817*5),4)</f>
      </c>
      <c r="F5817" s="5" t="str">
        <f>D5817*5+E5817</f>
      </c>
    </row>
    <row r="5818">
      <c r="A5818" s="6">
        <v>770</v>
      </c>
      <c r="B5818" s="6" t="str">
        <f>'Lineal Mixto'!$C$774</f>
      </c>
      <c r="C5818" s="6" t="str">
        <f>'Lineal Mixto'!$C$775</f>
      </c>
      <c r="D5818" s="6" t="str">
        <f>MIN(INT(B5818*5),4)</f>
      </c>
      <c r="E5818" s="6" t="str">
        <f>MIN(INT(C5818*5),4)</f>
      </c>
      <c r="F5818" s="6" t="str">
        <f>D5818*5+E5818</f>
      </c>
    </row>
    <row r="5819">
      <c r="A5819" s="5">
        <v>771</v>
      </c>
      <c r="B5819" s="5" t="str">
        <f>'Lineal Mixto'!$C$775</f>
      </c>
      <c r="C5819" s="5" t="str">
        <f>'Lineal Mixto'!$C$776</f>
      </c>
      <c r="D5819" s="5" t="str">
        <f>MIN(INT(B5819*5),4)</f>
      </c>
      <c r="E5819" s="5" t="str">
        <f>MIN(INT(C5819*5),4)</f>
      </c>
      <c r="F5819" s="5" t="str">
        <f>D5819*5+E5819</f>
      </c>
    </row>
    <row r="5820">
      <c r="A5820" s="6">
        <v>772</v>
      </c>
      <c r="B5820" s="6" t="str">
        <f>'Lineal Mixto'!$C$776</f>
      </c>
      <c r="C5820" s="6" t="str">
        <f>'Lineal Mixto'!$C$777</f>
      </c>
      <c r="D5820" s="6" t="str">
        <f>MIN(INT(B5820*5),4)</f>
      </c>
      <c r="E5820" s="6" t="str">
        <f>MIN(INT(C5820*5),4)</f>
      </c>
      <c r="F5820" s="6" t="str">
        <f>D5820*5+E5820</f>
      </c>
    </row>
    <row r="5821">
      <c r="A5821" s="5">
        <v>773</v>
      </c>
      <c r="B5821" s="5" t="str">
        <f>'Lineal Mixto'!$C$777</f>
      </c>
      <c r="C5821" s="5" t="str">
        <f>'Lineal Mixto'!$C$778</f>
      </c>
      <c r="D5821" s="5" t="str">
        <f>MIN(INT(B5821*5),4)</f>
      </c>
      <c r="E5821" s="5" t="str">
        <f>MIN(INT(C5821*5),4)</f>
      </c>
      <c r="F5821" s="5" t="str">
        <f>D5821*5+E5821</f>
      </c>
    </row>
    <row r="5822">
      <c r="A5822" s="6">
        <v>774</v>
      </c>
      <c r="B5822" s="6" t="str">
        <f>'Lineal Mixto'!$C$778</f>
      </c>
      <c r="C5822" s="6" t="str">
        <f>'Lineal Mixto'!$C$779</f>
      </c>
      <c r="D5822" s="6" t="str">
        <f>MIN(INT(B5822*5),4)</f>
      </c>
      <c r="E5822" s="6" t="str">
        <f>MIN(INT(C5822*5),4)</f>
      </c>
      <c r="F5822" s="6" t="str">
        <f>D5822*5+E5822</f>
      </c>
    </row>
    <row r="5823">
      <c r="A5823" s="5">
        <v>775</v>
      </c>
      <c r="B5823" s="5" t="str">
        <f>'Lineal Mixto'!$C$779</f>
      </c>
      <c r="C5823" s="5" t="str">
        <f>'Lineal Mixto'!$C$780</f>
      </c>
      <c r="D5823" s="5" t="str">
        <f>MIN(INT(B5823*5),4)</f>
      </c>
      <c r="E5823" s="5" t="str">
        <f>MIN(INT(C5823*5),4)</f>
      </c>
      <c r="F5823" s="5" t="str">
        <f>D5823*5+E5823</f>
      </c>
    </row>
    <row r="5824">
      <c r="A5824" s="6">
        <v>776</v>
      </c>
      <c r="B5824" s="6" t="str">
        <f>'Lineal Mixto'!$C$780</f>
      </c>
      <c r="C5824" s="6" t="str">
        <f>'Lineal Mixto'!$C$781</f>
      </c>
      <c r="D5824" s="6" t="str">
        <f>MIN(INT(B5824*5),4)</f>
      </c>
      <c r="E5824" s="6" t="str">
        <f>MIN(INT(C5824*5),4)</f>
      </c>
      <c r="F5824" s="6" t="str">
        <f>D5824*5+E5824</f>
      </c>
    </row>
    <row r="5825">
      <c r="A5825" s="5">
        <v>777</v>
      </c>
      <c r="B5825" s="5" t="str">
        <f>'Lineal Mixto'!$C$781</f>
      </c>
      <c r="C5825" s="5" t="str">
        <f>'Lineal Mixto'!$C$782</f>
      </c>
      <c r="D5825" s="5" t="str">
        <f>MIN(INT(B5825*5),4)</f>
      </c>
      <c r="E5825" s="5" t="str">
        <f>MIN(INT(C5825*5),4)</f>
      </c>
      <c r="F5825" s="5" t="str">
        <f>D5825*5+E5825</f>
      </c>
    </row>
    <row r="5826">
      <c r="A5826" s="6">
        <v>778</v>
      </c>
      <c r="B5826" s="6" t="str">
        <f>'Lineal Mixto'!$C$782</f>
      </c>
      <c r="C5826" s="6" t="str">
        <f>'Lineal Mixto'!$C$783</f>
      </c>
      <c r="D5826" s="6" t="str">
        <f>MIN(INT(B5826*5),4)</f>
      </c>
      <c r="E5826" s="6" t="str">
        <f>MIN(INT(C5826*5),4)</f>
      </c>
      <c r="F5826" s="6" t="str">
        <f>D5826*5+E5826</f>
      </c>
    </row>
    <row r="5827">
      <c r="A5827" s="5">
        <v>779</v>
      </c>
      <c r="B5827" s="5" t="str">
        <f>'Lineal Mixto'!$C$783</f>
      </c>
      <c r="C5827" s="5" t="str">
        <f>'Lineal Mixto'!$C$784</f>
      </c>
      <c r="D5827" s="5" t="str">
        <f>MIN(INT(B5827*5),4)</f>
      </c>
      <c r="E5827" s="5" t="str">
        <f>MIN(INT(C5827*5),4)</f>
      </c>
      <c r="F5827" s="5" t="str">
        <f>D5827*5+E5827</f>
      </c>
    </row>
    <row r="5828">
      <c r="A5828" s="6">
        <v>780</v>
      </c>
      <c r="B5828" s="6" t="str">
        <f>'Lineal Mixto'!$C$784</f>
      </c>
      <c r="C5828" s="6" t="str">
        <f>'Lineal Mixto'!$C$785</f>
      </c>
      <c r="D5828" s="6" t="str">
        <f>MIN(INT(B5828*5),4)</f>
      </c>
      <c r="E5828" s="6" t="str">
        <f>MIN(INT(C5828*5),4)</f>
      </c>
      <c r="F5828" s="6" t="str">
        <f>D5828*5+E5828</f>
      </c>
    </row>
    <row r="5829">
      <c r="A5829" s="5">
        <v>781</v>
      </c>
      <c r="B5829" s="5" t="str">
        <f>'Lineal Mixto'!$C$785</f>
      </c>
      <c r="C5829" s="5" t="str">
        <f>'Lineal Mixto'!$C$786</f>
      </c>
      <c r="D5829" s="5" t="str">
        <f>MIN(INT(B5829*5),4)</f>
      </c>
      <c r="E5829" s="5" t="str">
        <f>MIN(INT(C5829*5),4)</f>
      </c>
      <c r="F5829" s="5" t="str">
        <f>D5829*5+E5829</f>
      </c>
    </row>
    <row r="5830">
      <c r="A5830" s="6">
        <v>782</v>
      </c>
      <c r="B5830" s="6" t="str">
        <f>'Lineal Mixto'!$C$786</f>
      </c>
      <c r="C5830" s="6" t="str">
        <f>'Lineal Mixto'!$C$787</f>
      </c>
      <c r="D5830" s="6" t="str">
        <f>MIN(INT(B5830*5),4)</f>
      </c>
      <c r="E5830" s="6" t="str">
        <f>MIN(INT(C5830*5),4)</f>
      </c>
      <c r="F5830" s="6" t="str">
        <f>D5830*5+E5830</f>
      </c>
    </row>
    <row r="5831">
      <c r="A5831" s="5">
        <v>783</v>
      </c>
      <c r="B5831" s="5" t="str">
        <f>'Lineal Mixto'!$C$787</f>
      </c>
      <c r="C5831" s="5" t="str">
        <f>'Lineal Mixto'!$C$788</f>
      </c>
      <c r="D5831" s="5" t="str">
        <f>MIN(INT(B5831*5),4)</f>
      </c>
      <c r="E5831" s="5" t="str">
        <f>MIN(INT(C5831*5),4)</f>
      </c>
      <c r="F5831" s="5" t="str">
        <f>D5831*5+E5831</f>
      </c>
    </row>
    <row r="5832">
      <c r="A5832" s="6">
        <v>784</v>
      </c>
      <c r="B5832" s="6" t="str">
        <f>'Lineal Mixto'!$C$788</f>
      </c>
      <c r="C5832" s="6" t="str">
        <f>'Lineal Mixto'!$C$789</f>
      </c>
      <c r="D5832" s="6" t="str">
        <f>MIN(INT(B5832*5),4)</f>
      </c>
      <c r="E5832" s="6" t="str">
        <f>MIN(INT(C5832*5),4)</f>
      </c>
      <c r="F5832" s="6" t="str">
        <f>D5832*5+E5832</f>
      </c>
    </row>
    <row r="5833">
      <c r="A5833" s="5">
        <v>785</v>
      </c>
      <c r="B5833" s="5" t="str">
        <f>'Lineal Mixto'!$C$789</f>
      </c>
      <c r="C5833" s="5" t="str">
        <f>'Lineal Mixto'!$C$790</f>
      </c>
      <c r="D5833" s="5" t="str">
        <f>MIN(INT(B5833*5),4)</f>
      </c>
      <c r="E5833" s="5" t="str">
        <f>MIN(INT(C5833*5),4)</f>
      </c>
      <c r="F5833" s="5" t="str">
        <f>D5833*5+E5833</f>
      </c>
    </row>
    <row r="5834">
      <c r="A5834" s="6">
        <v>786</v>
      </c>
      <c r="B5834" s="6" t="str">
        <f>'Lineal Mixto'!$C$790</f>
      </c>
      <c r="C5834" s="6" t="str">
        <f>'Lineal Mixto'!$C$791</f>
      </c>
      <c r="D5834" s="6" t="str">
        <f>MIN(INT(B5834*5),4)</f>
      </c>
      <c r="E5834" s="6" t="str">
        <f>MIN(INT(C5834*5),4)</f>
      </c>
      <c r="F5834" s="6" t="str">
        <f>D5834*5+E5834</f>
      </c>
    </row>
    <row r="5835">
      <c r="A5835" s="5">
        <v>787</v>
      </c>
      <c r="B5835" s="5" t="str">
        <f>'Lineal Mixto'!$C$791</f>
      </c>
      <c r="C5835" s="5" t="str">
        <f>'Lineal Mixto'!$C$792</f>
      </c>
      <c r="D5835" s="5" t="str">
        <f>MIN(INT(B5835*5),4)</f>
      </c>
      <c r="E5835" s="5" t="str">
        <f>MIN(INT(C5835*5),4)</f>
      </c>
      <c r="F5835" s="5" t="str">
        <f>D5835*5+E5835</f>
      </c>
    </row>
    <row r="5836">
      <c r="A5836" s="6">
        <v>788</v>
      </c>
      <c r="B5836" s="6" t="str">
        <f>'Lineal Mixto'!$C$792</f>
      </c>
      <c r="C5836" s="6" t="str">
        <f>'Lineal Mixto'!$C$793</f>
      </c>
      <c r="D5836" s="6" t="str">
        <f>MIN(INT(B5836*5),4)</f>
      </c>
      <c r="E5836" s="6" t="str">
        <f>MIN(INT(C5836*5),4)</f>
      </c>
      <c r="F5836" s="6" t="str">
        <f>D5836*5+E5836</f>
      </c>
    </row>
    <row r="5837">
      <c r="A5837" s="5">
        <v>789</v>
      </c>
      <c r="B5837" s="5" t="str">
        <f>'Lineal Mixto'!$C$793</f>
      </c>
      <c r="C5837" s="5" t="str">
        <f>'Lineal Mixto'!$C$794</f>
      </c>
      <c r="D5837" s="5" t="str">
        <f>MIN(INT(B5837*5),4)</f>
      </c>
      <c r="E5837" s="5" t="str">
        <f>MIN(INT(C5837*5),4)</f>
      </c>
      <c r="F5837" s="5" t="str">
        <f>D5837*5+E5837</f>
      </c>
    </row>
    <row r="5838">
      <c r="A5838" s="6">
        <v>790</v>
      </c>
      <c r="B5838" s="6" t="str">
        <f>'Lineal Mixto'!$C$794</f>
      </c>
      <c r="C5838" s="6" t="str">
        <f>'Lineal Mixto'!$C$795</f>
      </c>
      <c r="D5838" s="6" t="str">
        <f>MIN(INT(B5838*5),4)</f>
      </c>
      <c r="E5838" s="6" t="str">
        <f>MIN(INT(C5838*5),4)</f>
      </c>
      <c r="F5838" s="6" t="str">
        <f>D5838*5+E5838</f>
      </c>
    </row>
    <row r="5839">
      <c r="A5839" s="5">
        <v>791</v>
      </c>
      <c r="B5839" s="5" t="str">
        <f>'Lineal Mixto'!$C$795</f>
      </c>
      <c r="C5839" s="5" t="str">
        <f>'Lineal Mixto'!$C$796</f>
      </c>
      <c r="D5839" s="5" t="str">
        <f>MIN(INT(B5839*5),4)</f>
      </c>
      <c r="E5839" s="5" t="str">
        <f>MIN(INT(C5839*5),4)</f>
      </c>
      <c r="F5839" s="5" t="str">
        <f>D5839*5+E5839</f>
      </c>
    </row>
    <row r="5840">
      <c r="A5840" s="6">
        <v>792</v>
      </c>
      <c r="B5840" s="6" t="str">
        <f>'Lineal Mixto'!$C$796</f>
      </c>
      <c r="C5840" s="6" t="str">
        <f>'Lineal Mixto'!$C$797</f>
      </c>
      <c r="D5840" s="6" t="str">
        <f>MIN(INT(B5840*5),4)</f>
      </c>
      <c r="E5840" s="6" t="str">
        <f>MIN(INT(C5840*5),4)</f>
      </c>
      <c r="F5840" s="6" t="str">
        <f>D5840*5+E5840</f>
      </c>
    </row>
    <row r="5841">
      <c r="A5841" s="5">
        <v>793</v>
      </c>
      <c r="B5841" s="5" t="str">
        <f>'Lineal Mixto'!$C$797</f>
      </c>
      <c r="C5841" s="5" t="str">
        <f>'Lineal Mixto'!$C$798</f>
      </c>
      <c r="D5841" s="5" t="str">
        <f>MIN(INT(B5841*5),4)</f>
      </c>
      <c r="E5841" s="5" t="str">
        <f>MIN(INT(C5841*5),4)</f>
      </c>
      <c r="F5841" s="5" t="str">
        <f>D5841*5+E5841</f>
      </c>
    </row>
    <row r="5842">
      <c r="A5842" s="6">
        <v>794</v>
      </c>
      <c r="B5842" s="6" t="str">
        <f>'Lineal Mixto'!$C$798</f>
      </c>
      <c r="C5842" s="6" t="str">
        <f>'Lineal Mixto'!$C$799</f>
      </c>
      <c r="D5842" s="6" t="str">
        <f>MIN(INT(B5842*5),4)</f>
      </c>
      <c r="E5842" s="6" t="str">
        <f>MIN(INT(C5842*5),4)</f>
      </c>
      <c r="F5842" s="6" t="str">
        <f>D5842*5+E5842</f>
      </c>
    </row>
    <row r="5843">
      <c r="A5843" s="5">
        <v>795</v>
      </c>
      <c r="B5843" s="5" t="str">
        <f>'Lineal Mixto'!$C$799</f>
      </c>
      <c r="C5843" s="5" t="str">
        <f>'Lineal Mixto'!$C$800</f>
      </c>
      <c r="D5843" s="5" t="str">
        <f>MIN(INT(B5843*5),4)</f>
      </c>
      <c r="E5843" s="5" t="str">
        <f>MIN(INT(C5843*5),4)</f>
      </c>
      <c r="F5843" s="5" t="str">
        <f>D5843*5+E5843</f>
      </c>
    </row>
    <row r="5844">
      <c r="A5844" s="6">
        <v>796</v>
      </c>
      <c r="B5844" s="6" t="str">
        <f>'Lineal Mixto'!$C$800</f>
      </c>
      <c r="C5844" s="6" t="str">
        <f>'Lineal Mixto'!$C$801</f>
      </c>
      <c r="D5844" s="6" t="str">
        <f>MIN(INT(B5844*5),4)</f>
      </c>
      <c r="E5844" s="6" t="str">
        <f>MIN(INT(C5844*5),4)</f>
      </c>
      <c r="F5844" s="6" t="str">
        <f>D5844*5+E5844</f>
      </c>
    </row>
    <row r="5845">
      <c r="A5845" s="5">
        <v>797</v>
      </c>
      <c r="B5845" s="5" t="str">
        <f>'Lineal Mixto'!$C$801</f>
      </c>
      <c r="C5845" s="5" t="str">
        <f>'Lineal Mixto'!$C$802</f>
      </c>
      <c r="D5845" s="5" t="str">
        <f>MIN(INT(B5845*5),4)</f>
      </c>
      <c r="E5845" s="5" t="str">
        <f>MIN(INT(C5845*5),4)</f>
      </c>
      <c r="F5845" s="5" t="str">
        <f>D5845*5+E5845</f>
      </c>
    </row>
    <row r="5846">
      <c r="A5846" s="6">
        <v>798</v>
      </c>
      <c r="B5846" s="6" t="str">
        <f>'Lineal Mixto'!$C$802</f>
      </c>
      <c r="C5846" s="6" t="str">
        <f>'Lineal Mixto'!$C$803</f>
      </c>
      <c r="D5846" s="6" t="str">
        <f>MIN(INT(B5846*5),4)</f>
      </c>
      <c r="E5846" s="6" t="str">
        <f>MIN(INT(C5846*5),4)</f>
      </c>
      <c r="F5846" s="6" t="str">
        <f>D5846*5+E5846</f>
      </c>
    </row>
    <row r="5847">
      <c r="A5847" s="5">
        <v>799</v>
      </c>
      <c r="B5847" s="5" t="str">
        <f>'Lineal Mixto'!$C$803</f>
      </c>
      <c r="C5847" s="5" t="str">
        <f>'Lineal Mixto'!$C$804</f>
      </c>
      <c r="D5847" s="5" t="str">
        <f>MIN(INT(B5847*5),4)</f>
      </c>
      <c r="E5847" s="5" t="str">
        <f>MIN(INT(C5847*5),4)</f>
      </c>
      <c r="F5847" s="5" t="str">
        <f>D5847*5+E5847</f>
      </c>
    </row>
    <row r="5848">
      <c r="A5848" s="6">
        <v>800</v>
      </c>
      <c r="B5848" s="6" t="str">
        <f>'Lineal Mixto'!$C$804</f>
      </c>
      <c r="C5848" s="6" t="str">
        <f>'Lineal Mixto'!$C$805</f>
      </c>
      <c r="D5848" s="6" t="str">
        <f>MIN(INT(B5848*5),4)</f>
      </c>
      <c r="E5848" s="6" t="str">
        <f>MIN(INT(C5848*5),4)</f>
      </c>
      <c r="F5848" s="6" t="str">
        <f>D5848*5+E5848</f>
      </c>
    </row>
    <row r="5849">
      <c r="A5849" s="5">
        <v>801</v>
      </c>
      <c r="B5849" s="5" t="str">
        <f>'Lineal Mixto'!$C$805</f>
      </c>
      <c r="C5849" s="5" t="str">
        <f>'Lineal Mixto'!$C$806</f>
      </c>
      <c r="D5849" s="5" t="str">
        <f>MIN(INT(B5849*5),4)</f>
      </c>
      <c r="E5849" s="5" t="str">
        <f>MIN(INT(C5849*5),4)</f>
      </c>
      <c r="F5849" s="5" t="str">
        <f>D5849*5+E5849</f>
      </c>
    </row>
    <row r="5850">
      <c r="A5850" s="6">
        <v>802</v>
      </c>
      <c r="B5850" s="6" t="str">
        <f>'Lineal Mixto'!$C$806</f>
      </c>
      <c r="C5850" s="6" t="str">
        <f>'Lineal Mixto'!$C$807</f>
      </c>
      <c r="D5850" s="6" t="str">
        <f>MIN(INT(B5850*5),4)</f>
      </c>
      <c r="E5850" s="6" t="str">
        <f>MIN(INT(C5850*5),4)</f>
      </c>
      <c r="F5850" s="6" t="str">
        <f>D5850*5+E5850</f>
      </c>
    </row>
    <row r="5851">
      <c r="A5851" s="5">
        <v>803</v>
      </c>
      <c r="B5851" s="5" t="str">
        <f>'Lineal Mixto'!$C$807</f>
      </c>
      <c r="C5851" s="5" t="str">
        <f>'Lineal Mixto'!$C$808</f>
      </c>
      <c r="D5851" s="5" t="str">
        <f>MIN(INT(B5851*5),4)</f>
      </c>
      <c r="E5851" s="5" t="str">
        <f>MIN(INT(C5851*5),4)</f>
      </c>
      <c r="F5851" s="5" t="str">
        <f>D5851*5+E5851</f>
      </c>
    </row>
    <row r="5852">
      <c r="A5852" s="6">
        <v>804</v>
      </c>
      <c r="B5852" s="6" t="str">
        <f>'Lineal Mixto'!$C$808</f>
      </c>
      <c r="C5852" s="6" t="str">
        <f>'Lineal Mixto'!$C$809</f>
      </c>
      <c r="D5852" s="6" t="str">
        <f>MIN(INT(B5852*5),4)</f>
      </c>
      <c r="E5852" s="6" t="str">
        <f>MIN(INT(C5852*5),4)</f>
      </c>
      <c r="F5852" s="6" t="str">
        <f>D5852*5+E5852</f>
      </c>
    </row>
    <row r="5853">
      <c r="A5853" s="5">
        <v>805</v>
      </c>
      <c r="B5853" s="5" t="str">
        <f>'Lineal Mixto'!$C$809</f>
      </c>
      <c r="C5853" s="5" t="str">
        <f>'Lineal Mixto'!$C$810</f>
      </c>
      <c r="D5853" s="5" t="str">
        <f>MIN(INT(B5853*5),4)</f>
      </c>
      <c r="E5853" s="5" t="str">
        <f>MIN(INT(C5853*5),4)</f>
      </c>
      <c r="F5853" s="5" t="str">
        <f>D5853*5+E5853</f>
      </c>
    </row>
    <row r="5854">
      <c r="A5854" s="6">
        <v>806</v>
      </c>
      <c r="B5854" s="6" t="str">
        <f>'Lineal Mixto'!$C$810</f>
      </c>
      <c r="C5854" s="6" t="str">
        <f>'Lineal Mixto'!$C$811</f>
      </c>
      <c r="D5854" s="6" t="str">
        <f>MIN(INT(B5854*5),4)</f>
      </c>
      <c r="E5854" s="6" t="str">
        <f>MIN(INT(C5854*5),4)</f>
      </c>
      <c r="F5854" s="6" t="str">
        <f>D5854*5+E5854</f>
      </c>
    </row>
    <row r="5855">
      <c r="A5855" s="5">
        <v>807</v>
      </c>
      <c r="B5855" s="5" t="str">
        <f>'Lineal Mixto'!$C$811</f>
      </c>
      <c r="C5855" s="5" t="str">
        <f>'Lineal Mixto'!$C$812</f>
      </c>
      <c r="D5855" s="5" t="str">
        <f>MIN(INT(B5855*5),4)</f>
      </c>
      <c r="E5855" s="5" t="str">
        <f>MIN(INT(C5855*5),4)</f>
      </c>
      <c r="F5855" s="5" t="str">
        <f>D5855*5+E5855</f>
      </c>
    </row>
    <row r="5856">
      <c r="A5856" s="6">
        <v>808</v>
      </c>
      <c r="B5856" s="6" t="str">
        <f>'Lineal Mixto'!$C$812</f>
      </c>
      <c r="C5856" s="6" t="str">
        <f>'Lineal Mixto'!$C$813</f>
      </c>
      <c r="D5856" s="6" t="str">
        <f>MIN(INT(B5856*5),4)</f>
      </c>
      <c r="E5856" s="6" t="str">
        <f>MIN(INT(C5856*5),4)</f>
      </c>
      <c r="F5856" s="6" t="str">
        <f>D5856*5+E5856</f>
      </c>
    </row>
    <row r="5857">
      <c r="A5857" s="5">
        <v>809</v>
      </c>
      <c r="B5857" s="5" t="str">
        <f>'Lineal Mixto'!$C$813</f>
      </c>
      <c r="C5857" s="5" t="str">
        <f>'Lineal Mixto'!$C$814</f>
      </c>
      <c r="D5857" s="5" t="str">
        <f>MIN(INT(B5857*5),4)</f>
      </c>
      <c r="E5857" s="5" t="str">
        <f>MIN(INT(C5857*5),4)</f>
      </c>
      <c r="F5857" s="5" t="str">
        <f>D5857*5+E5857</f>
      </c>
    </row>
    <row r="5858">
      <c r="A5858" s="6">
        <v>810</v>
      </c>
      <c r="B5858" s="6" t="str">
        <f>'Lineal Mixto'!$C$814</f>
      </c>
      <c r="C5858" s="6" t="str">
        <f>'Lineal Mixto'!$C$815</f>
      </c>
      <c r="D5858" s="6" t="str">
        <f>MIN(INT(B5858*5),4)</f>
      </c>
      <c r="E5858" s="6" t="str">
        <f>MIN(INT(C5858*5),4)</f>
      </c>
      <c r="F5858" s="6" t="str">
        <f>D5858*5+E5858</f>
      </c>
    </row>
    <row r="5859">
      <c r="A5859" s="5">
        <v>811</v>
      </c>
      <c r="B5859" s="5" t="str">
        <f>'Lineal Mixto'!$C$815</f>
      </c>
      <c r="C5859" s="5" t="str">
        <f>'Lineal Mixto'!$C$816</f>
      </c>
      <c r="D5859" s="5" t="str">
        <f>MIN(INT(B5859*5),4)</f>
      </c>
      <c r="E5859" s="5" t="str">
        <f>MIN(INT(C5859*5),4)</f>
      </c>
      <c r="F5859" s="5" t="str">
        <f>D5859*5+E5859</f>
      </c>
    </row>
    <row r="5860">
      <c r="A5860" s="6">
        <v>812</v>
      </c>
      <c r="B5860" s="6" t="str">
        <f>'Lineal Mixto'!$C$816</f>
      </c>
      <c r="C5860" s="6" t="str">
        <f>'Lineal Mixto'!$C$817</f>
      </c>
      <c r="D5860" s="6" t="str">
        <f>MIN(INT(B5860*5),4)</f>
      </c>
      <c r="E5860" s="6" t="str">
        <f>MIN(INT(C5860*5),4)</f>
      </c>
      <c r="F5860" s="6" t="str">
        <f>D5860*5+E5860</f>
      </c>
    </row>
    <row r="5861">
      <c r="A5861" s="5">
        <v>813</v>
      </c>
      <c r="B5861" s="5" t="str">
        <f>'Lineal Mixto'!$C$817</f>
      </c>
      <c r="C5861" s="5" t="str">
        <f>'Lineal Mixto'!$C$818</f>
      </c>
      <c r="D5861" s="5" t="str">
        <f>MIN(INT(B5861*5),4)</f>
      </c>
      <c r="E5861" s="5" t="str">
        <f>MIN(INT(C5861*5),4)</f>
      </c>
      <c r="F5861" s="5" t="str">
        <f>D5861*5+E5861</f>
      </c>
    </row>
    <row r="5862">
      <c r="A5862" s="6">
        <v>814</v>
      </c>
      <c r="B5862" s="6" t="str">
        <f>'Lineal Mixto'!$C$818</f>
      </c>
      <c r="C5862" s="6" t="str">
        <f>'Lineal Mixto'!$C$819</f>
      </c>
      <c r="D5862" s="6" t="str">
        <f>MIN(INT(B5862*5),4)</f>
      </c>
      <c r="E5862" s="6" t="str">
        <f>MIN(INT(C5862*5),4)</f>
      </c>
      <c r="F5862" s="6" t="str">
        <f>D5862*5+E5862</f>
      </c>
    </row>
    <row r="5863">
      <c r="A5863" s="5">
        <v>815</v>
      </c>
      <c r="B5863" s="5" t="str">
        <f>'Lineal Mixto'!$C$819</f>
      </c>
      <c r="C5863" s="5" t="str">
        <f>'Lineal Mixto'!$C$820</f>
      </c>
      <c r="D5863" s="5" t="str">
        <f>MIN(INT(B5863*5),4)</f>
      </c>
      <c r="E5863" s="5" t="str">
        <f>MIN(INT(C5863*5),4)</f>
      </c>
      <c r="F5863" s="5" t="str">
        <f>D5863*5+E5863</f>
      </c>
    </row>
    <row r="5864">
      <c r="A5864" s="6">
        <v>816</v>
      </c>
      <c r="B5864" s="6" t="str">
        <f>'Lineal Mixto'!$C$820</f>
      </c>
      <c r="C5864" s="6" t="str">
        <f>'Lineal Mixto'!$C$821</f>
      </c>
      <c r="D5864" s="6" t="str">
        <f>MIN(INT(B5864*5),4)</f>
      </c>
      <c r="E5864" s="6" t="str">
        <f>MIN(INT(C5864*5),4)</f>
      </c>
      <c r="F5864" s="6" t="str">
        <f>D5864*5+E5864</f>
      </c>
    </row>
    <row r="5865">
      <c r="A5865" s="5">
        <v>817</v>
      </c>
      <c r="B5865" s="5" t="str">
        <f>'Lineal Mixto'!$C$821</f>
      </c>
      <c r="C5865" s="5" t="str">
        <f>'Lineal Mixto'!$C$822</f>
      </c>
      <c r="D5865" s="5" t="str">
        <f>MIN(INT(B5865*5),4)</f>
      </c>
      <c r="E5865" s="5" t="str">
        <f>MIN(INT(C5865*5),4)</f>
      </c>
      <c r="F5865" s="5" t="str">
        <f>D5865*5+E5865</f>
      </c>
    </row>
    <row r="5866">
      <c r="A5866" s="6">
        <v>818</v>
      </c>
      <c r="B5866" s="6" t="str">
        <f>'Lineal Mixto'!$C$822</f>
      </c>
      <c r="C5866" s="6" t="str">
        <f>'Lineal Mixto'!$C$823</f>
      </c>
      <c r="D5866" s="6" t="str">
        <f>MIN(INT(B5866*5),4)</f>
      </c>
      <c r="E5866" s="6" t="str">
        <f>MIN(INT(C5866*5),4)</f>
      </c>
      <c r="F5866" s="6" t="str">
        <f>D5866*5+E5866</f>
      </c>
    </row>
    <row r="5867">
      <c r="A5867" s="5">
        <v>819</v>
      </c>
      <c r="B5867" s="5" t="str">
        <f>'Lineal Mixto'!$C$823</f>
      </c>
      <c r="C5867" s="5" t="str">
        <f>'Lineal Mixto'!$C$824</f>
      </c>
      <c r="D5867" s="5" t="str">
        <f>MIN(INT(B5867*5),4)</f>
      </c>
      <c r="E5867" s="5" t="str">
        <f>MIN(INT(C5867*5),4)</f>
      </c>
      <c r="F5867" s="5" t="str">
        <f>D5867*5+E5867</f>
      </c>
    </row>
    <row r="5868">
      <c r="A5868" s="6">
        <v>820</v>
      </c>
      <c r="B5868" s="6" t="str">
        <f>'Lineal Mixto'!$C$824</f>
      </c>
      <c r="C5868" s="6" t="str">
        <f>'Lineal Mixto'!$C$825</f>
      </c>
      <c r="D5868" s="6" t="str">
        <f>MIN(INT(B5868*5),4)</f>
      </c>
      <c r="E5868" s="6" t="str">
        <f>MIN(INT(C5868*5),4)</f>
      </c>
      <c r="F5868" s="6" t="str">
        <f>D5868*5+E5868</f>
      </c>
    </row>
    <row r="5869">
      <c r="A5869" s="5">
        <v>821</v>
      </c>
      <c r="B5869" s="5" t="str">
        <f>'Lineal Mixto'!$C$825</f>
      </c>
      <c r="C5869" s="5" t="str">
        <f>'Lineal Mixto'!$C$826</f>
      </c>
      <c r="D5869" s="5" t="str">
        <f>MIN(INT(B5869*5),4)</f>
      </c>
      <c r="E5869" s="5" t="str">
        <f>MIN(INT(C5869*5),4)</f>
      </c>
      <c r="F5869" s="5" t="str">
        <f>D5869*5+E5869</f>
      </c>
    </row>
    <row r="5870">
      <c r="A5870" s="6">
        <v>822</v>
      </c>
      <c r="B5870" s="6" t="str">
        <f>'Lineal Mixto'!$C$826</f>
      </c>
      <c r="C5870" s="6" t="str">
        <f>'Lineal Mixto'!$C$827</f>
      </c>
      <c r="D5870" s="6" t="str">
        <f>MIN(INT(B5870*5),4)</f>
      </c>
      <c r="E5870" s="6" t="str">
        <f>MIN(INT(C5870*5),4)</f>
      </c>
      <c r="F5870" s="6" t="str">
        <f>D5870*5+E5870</f>
      </c>
    </row>
    <row r="5871">
      <c r="A5871" s="5">
        <v>823</v>
      </c>
      <c r="B5871" s="5" t="str">
        <f>'Lineal Mixto'!$C$827</f>
      </c>
      <c r="C5871" s="5" t="str">
        <f>'Lineal Mixto'!$C$828</f>
      </c>
      <c r="D5871" s="5" t="str">
        <f>MIN(INT(B5871*5),4)</f>
      </c>
      <c r="E5871" s="5" t="str">
        <f>MIN(INT(C5871*5),4)</f>
      </c>
      <c r="F5871" s="5" t="str">
        <f>D5871*5+E5871</f>
      </c>
    </row>
    <row r="5872">
      <c r="A5872" s="6">
        <v>824</v>
      </c>
      <c r="B5872" s="6" t="str">
        <f>'Lineal Mixto'!$C$828</f>
      </c>
      <c r="C5872" s="6" t="str">
        <f>'Lineal Mixto'!$C$829</f>
      </c>
      <c r="D5872" s="6" t="str">
        <f>MIN(INT(B5872*5),4)</f>
      </c>
      <c r="E5872" s="6" t="str">
        <f>MIN(INT(C5872*5),4)</f>
      </c>
      <c r="F5872" s="6" t="str">
        <f>D5872*5+E5872</f>
      </c>
    </row>
    <row r="5873">
      <c r="A5873" s="5">
        <v>825</v>
      </c>
      <c r="B5873" s="5" t="str">
        <f>'Lineal Mixto'!$C$829</f>
      </c>
      <c r="C5873" s="5" t="str">
        <f>'Lineal Mixto'!$C$830</f>
      </c>
      <c r="D5873" s="5" t="str">
        <f>MIN(INT(B5873*5),4)</f>
      </c>
      <c r="E5873" s="5" t="str">
        <f>MIN(INT(C5873*5),4)</f>
      </c>
      <c r="F5873" s="5" t="str">
        <f>D5873*5+E5873</f>
      </c>
    </row>
    <row r="5874">
      <c r="A5874" s="6">
        <v>826</v>
      </c>
      <c r="B5874" s="6" t="str">
        <f>'Lineal Mixto'!$C$830</f>
      </c>
      <c r="C5874" s="6" t="str">
        <f>'Lineal Mixto'!$C$831</f>
      </c>
      <c r="D5874" s="6" t="str">
        <f>MIN(INT(B5874*5),4)</f>
      </c>
      <c r="E5874" s="6" t="str">
        <f>MIN(INT(C5874*5),4)</f>
      </c>
      <c r="F5874" s="6" t="str">
        <f>D5874*5+E5874</f>
      </c>
    </row>
    <row r="5875">
      <c r="A5875" s="5">
        <v>827</v>
      </c>
      <c r="B5875" s="5" t="str">
        <f>'Lineal Mixto'!$C$831</f>
      </c>
      <c r="C5875" s="5" t="str">
        <f>'Lineal Mixto'!$C$832</f>
      </c>
      <c r="D5875" s="5" t="str">
        <f>MIN(INT(B5875*5),4)</f>
      </c>
      <c r="E5875" s="5" t="str">
        <f>MIN(INT(C5875*5),4)</f>
      </c>
      <c r="F5875" s="5" t="str">
        <f>D5875*5+E5875</f>
      </c>
    </row>
    <row r="5876">
      <c r="A5876" s="6">
        <v>828</v>
      </c>
      <c r="B5876" s="6" t="str">
        <f>'Lineal Mixto'!$C$832</f>
      </c>
      <c r="C5876" s="6" t="str">
        <f>'Lineal Mixto'!$C$833</f>
      </c>
      <c r="D5876" s="6" t="str">
        <f>MIN(INT(B5876*5),4)</f>
      </c>
      <c r="E5876" s="6" t="str">
        <f>MIN(INT(C5876*5),4)</f>
      </c>
      <c r="F5876" s="6" t="str">
        <f>D5876*5+E5876</f>
      </c>
    </row>
    <row r="5877">
      <c r="A5877" s="5">
        <v>829</v>
      </c>
      <c r="B5877" s="5" t="str">
        <f>'Lineal Mixto'!$C$833</f>
      </c>
      <c r="C5877" s="5" t="str">
        <f>'Lineal Mixto'!$C$834</f>
      </c>
      <c r="D5877" s="5" t="str">
        <f>MIN(INT(B5877*5),4)</f>
      </c>
      <c r="E5877" s="5" t="str">
        <f>MIN(INT(C5877*5),4)</f>
      </c>
      <c r="F5877" s="5" t="str">
        <f>D5877*5+E5877</f>
      </c>
    </row>
    <row r="5878">
      <c r="A5878" s="6">
        <v>830</v>
      </c>
      <c r="B5878" s="6" t="str">
        <f>'Lineal Mixto'!$C$834</f>
      </c>
      <c r="C5878" s="6" t="str">
        <f>'Lineal Mixto'!$C$835</f>
      </c>
      <c r="D5878" s="6" t="str">
        <f>MIN(INT(B5878*5),4)</f>
      </c>
      <c r="E5878" s="6" t="str">
        <f>MIN(INT(C5878*5),4)</f>
      </c>
      <c r="F5878" s="6" t="str">
        <f>D5878*5+E5878</f>
      </c>
    </row>
    <row r="5879">
      <c r="A5879" s="5">
        <v>831</v>
      </c>
      <c r="B5879" s="5" t="str">
        <f>'Lineal Mixto'!$C$835</f>
      </c>
      <c r="C5879" s="5" t="str">
        <f>'Lineal Mixto'!$C$836</f>
      </c>
      <c r="D5879" s="5" t="str">
        <f>MIN(INT(B5879*5),4)</f>
      </c>
      <c r="E5879" s="5" t="str">
        <f>MIN(INT(C5879*5),4)</f>
      </c>
      <c r="F5879" s="5" t="str">
        <f>D5879*5+E5879</f>
      </c>
    </row>
    <row r="5880">
      <c r="A5880" s="6">
        <v>832</v>
      </c>
      <c r="B5880" s="6" t="str">
        <f>'Lineal Mixto'!$C$836</f>
      </c>
      <c r="C5880" s="6" t="str">
        <f>'Lineal Mixto'!$C$837</f>
      </c>
      <c r="D5880" s="6" t="str">
        <f>MIN(INT(B5880*5),4)</f>
      </c>
      <c r="E5880" s="6" t="str">
        <f>MIN(INT(C5880*5),4)</f>
      </c>
      <c r="F5880" s="6" t="str">
        <f>D5880*5+E5880</f>
      </c>
    </row>
    <row r="5881">
      <c r="A5881" s="5">
        <v>833</v>
      </c>
      <c r="B5881" s="5" t="str">
        <f>'Lineal Mixto'!$C$837</f>
      </c>
      <c r="C5881" s="5" t="str">
        <f>'Lineal Mixto'!$C$838</f>
      </c>
      <c r="D5881" s="5" t="str">
        <f>MIN(INT(B5881*5),4)</f>
      </c>
      <c r="E5881" s="5" t="str">
        <f>MIN(INT(C5881*5),4)</f>
      </c>
      <c r="F5881" s="5" t="str">
        <f>D5881*5+E5881</f>
      </c>
    </row>
    <row r="5882">
      <c r="A5882" s="6">
        <v>834</v>
      </c>
      <c r="B5882" s="6" t="str">
        <f>'Lineal Mixto'!$C$838</f>
      </c>
      <c r="C5882" s="6" t="str">
        <f>'Lineal Mixto'!$C$839</f>
      </c>
      <c r="D5882" s="6" t="str">
        <f>MIN(INT(B5882*5),4)</f>
      </c>
      <c r="E5882" s="6" t="str">
        <f>MIN(INT(C5882*5),4)</f>
      </c>
      <c r="F5882" s="6" t="str">
        <f>D5882*5+E5882</f>
      </c>
    </row>
    <row r="5883">
      <c r="A5883" s="5">
        <v>835</v>
      </c>
      <c r="B5883" s="5" t="str">
        <f>'Lineal Mixto'!$C$839</f>
      </c>
      <c r="C5883" s="5" t="str">
        <f>'Lineal Mixto'!$C$840</f>
      </c>
      <c r="D5883" s="5" t="str">
        <f>MIN(INT(B5883*5),4)</f>
      </c>
      <c r="E5883" s="5" t="str">
        <f>MIN(INT(C5883*5),4)</f>
      </c>
      <c r="F5883" s="5" t="str">
        <f>D5883*5+E5883</f>
      </c>
    </row>
    <row r="5884">
      <c r="A5884" s="6">
        <v>836</v>
      </c>
      <c r="B5884" s="6" t="str">
        <f>'Lineal Mixto'!$C$840</f>
      </c>
      <c r="C5884" s="6" t="str">
        <f>'Lineal Mixto'!$C$841</f>
      </c>
      <c r="D5884" s="6" t="str">
        <f>MIN(INT(B5884*5),4)</f>
      </c>
      <c r="E5884" s="6" t="str">
        <f>MIN(INT(C5884*5),4)</f>
      </c>
      <c r="F5884" s="6" t="str">
        <f>D5884*5+E5884</f>
      </c>
    </row>
    <row r="5885">
      <c r="A5885" s="5">
        <v>837</v>
      </c>
      <c r="B5885" s="5" t="str">
        <f>'Lineal Mixto'!$C$841</f>
      </c>
      <c r="C5885" s="5" t="str">
        <f>'Lineal Mixto'!$C$842</f>
      </c>
      <c r="D5885" s="5" t="str">
        <f>MIN(INT(B5885*5),4)</f>
      </c>
      <c r="E5885" s="5" t="str">
        <f>MIN(INT(C5885*5),4)</f>
      </c>
      <c r="F5885" s="5" t="str">
        <f>D5885*5+E5885</f>
      </c>
    </row>
    <row r="5886">
      <c r="A5886" s="6">
        <v>838</v>
      </c>
      <c r="B5886" s="6" t="str">
        <f>'Lineal Mixto'!$C$842</f>
      </c>
      <c r="C5886" s="6" t="str">
        <f>'Lineal Mixto'!$C$843</f>
      </c>
      <c r="D5886" s="6" t="str">
        <f>MIN(INT(B5886*5),4)</f>
      </c>
      <c r="E5886" s="6" t="str">
        <f>MIN(INT(C5886*5),4)</f>
      </c>
      <c r="F5886" s="6" t="str">
        <f>D5886*5+E5886</f>
      </c>
    </row>
    <row r="5887">
      <c r="A5887" s="5">
        <v>839</v>
      </c>
      <c r="B5887" s="5" t="str">
        <f>'Lineal Mixto'!$C$843</f>
      </c>
      <c r="C5887" s="5" t="str">
        <f>'Lineal Mixto'!$C$844</f>
      </c>
      <c r="D5887" s="5" t="str">
        <f>MIN(INT(B5887*5),4)</f>
      </c>
      <c r="E5887" s="5" t="str">
        <f>MIN(INT(C5887*5),4)</f>
      </c>
      <c r="F5887" s="5" t="str">
        <f>D5887*5+E5887</f>
      </c>
    </row>
    <row r="5888">
      <c r="A5888" s="6">
        <v>840</v>
      </c>
      <c r="B5888" s="6" t="str">
        <f>'Lineal Mixto'!$C$844</f>
      </c>
      <c r="C5888" s="6" t="str">
        <f>'Lineal Mixto'!$C$845</f>
      </c>
      <c r="D5888" s="6" t="str">
        <f>MIN(INT(B5888*5),4)</f>
      </c>
      <c r="E5888" s="6" t="str">
        <f>MIN(INT(C5888*5),4)</f>
      </c>
      <c r="F5888" s="6" t="str">
        <f>D5888*5+E5888</f>
      </c>
    </row>
    <row r="5889">
      <c r="A5889" s="5">
        <v>841</v>
      </c>
      <c r="B5889" s="5" t="str">
        <f>'Lineal Mixto'!$C$845</f>
      </c>
      <c r="C5889" s="5" t="str">
        <f>'Lineal Mixto'!$C$846</f>
      </c>
      <c r="D5889" s="5" t="str">
        <f>MIN(INT(B5889*5),4)</f>
      </c>
      <c r="E5889" s="5" t="str">
        <f>MIN(INT(C5889*5),4)</f>
      </c>
      <c r="F5889" s="5" t="str">
        <f>D5889*5+E5889</f>
      </c>
    </row>
    <row r="5890">
      <c r="A5890" s="6">
        <v>842</v>
      </c>
      <c r="B5890" s="6" t="str">
        <f>'Lineal Mixto'!$C$846</f>
      </c>
      <c r="C5890" s="6" t="str">
        <f>'Lineal Mixto'!$C$847</f>
      </c>
      <c r="D5890" s="6" t="str">
        <f>MIN(INT(B5890*5),4)</f>
      </c>
      <c r="E5890" s="6" t="str">
        <f>MIN(INT(C5890*5),4)</f>
      </c>
      <c r="F5890" s="6" t="str">
        <f>D5890*5+E5890</f>
      </c>
    </row>
    <row r="5891">
      <c r="A5891" s="5">
        <v>843</v>
      </c>
      <c r="B5891" s="5" t="str">
        <f>'Lineal Mixto'!$C$847</f>
      </c>
      <c r="C5891" s="5" t="str">
        <f>'Lineal Mixto'!$C$848</f>
      </c>
      <c r="D5891" s="5" t="str">
        <f>MIN(INT(B5891*5),4)</f>
      </c>
      <c r="E5891" s="5" t="str">
        <f>MIN(INT(C5891*5),4)</f>
      </c>
      <c r="F5891" s="5" t="str">
        <f>D5891*5+E5891</f>
      </c>
    </row>
    <row r="5892">
      <c r="A5892" s="6">
        <v>844</v>
      </c>
      <c r="B5892" s="6" t="str">
        <f>'Lineal Mixto'!$C$848</f>
      </c>
      <c r="C5892" s="6" t="str">
        <f>'Lineal Mixto'!$C$849</f>
      </c>
      <c r="D5892" s="6" t="str">
        <f>MIN(INT(B5892*5),4)</f>
      </c>
      <c r="E5892" s="6" t="str">
        <f>MIN(INT(C5892*5),4)</f>
      </c>
      <c r="F5892" s="6" t="str">
        <f>D5892*5+E5892</f>
      </c>
    </row>
    <row r="5893">
      <c r="A5893" s="5">
        <v>845</v>
      </c>
      <c r="B5893" s="5" t="str">
        <f>'Lineal Mixto'!$C$849</f>
      </c>
      <c r="C5893" s="5" t="str">
        <f>'Lineal Mixto'!$C$850</f>
      </c>
      <c r="D5893" s="5" t="str">
        <f>MIN(INT(B5893*5),4)</f>
      </c>
      <c r="E5893" s="5" t="str">
        <f>MIN(INT(C5893*5),4)</f>
      </c>
      <c r="F5893" s="5" t="str">
        <f>D5893*5+E5893</f>
      </c>
    </row>
    <row r="5894">
      <c r="A5894" s="6">
        <v>846</v>
      </c>
      <c r="B5894" s="6" t="str">
        <f>'Lineal Mixto'!$C$850</f>
      </c>
      <c r="C5894" s="6" t="str">
        <f>'Lineal Mixto'!$C$851</f>
      </c>
      <c r="D5894" s="6" t="str">
        <f>MIN(INT(B5894*5),4)</f>
      </c>
      <c r="E5894" s="6" t="str">
        <f>MIN(INT(C5894*5),4)</f>
      </c>
      <c r="F5894" s="6" t="str">
        <f>D5894*5+E5894</f>
      </c>
    </row>
    <row r="5895">
      <c r="A5895" s="5">
        <v>847</v>
      </c>
      <c r="B5895" s="5" t="str">
        <f>'Lineal Mixto'!$C$851</f>
      </c>
      <c r="C5895" s="5" t="str">
        <f>'Lineal Mixto'!$C$852</f>
      </c>
      <c r="D5895" s="5" t="str">
        <f>MIN(INT(B5895*5),4)</f>
      </c>
      <c r="E5895" s="5" t="str">
        <f>MIN(INT(C5895*5),4)</f>
      </c>
      <c r="F5895" s="5" t="str">
        <f>D5895*5+E5895</f>
      </c>
    </row>
    <row r="5896">
      <c r="A5896" s="6">
        <v>848</v>
      </c>
      <c r="B5896" s="6" t="str">
        <f>'Lineal Mixto'!$C$852</f>
      </c>
      <c r="C5896" s="6" t="str">
        <f>'Lineal Mixto'!$C$853</f>
      </c>
      <c r="D5896" s="6" t="str">
        <f>MIN(INT(B5896*5),4)</f>
      </c>
      <c r="E5896" s="6" t="str">
        <f>MIN(INT(C5896*5),4)</f>
      </c>
      <c r="F5896" s="6" t="str">
        <f>D5896*5+E5896</f>
      </c>
    </row>
    <row r="5897">
      <c r="A5897" s="5">
        <v>849</v>
      </c>
      <c r="B5897" s="5" t="str">
        <f>'Lineal Mixto'!$C$853</f>
      </c>
      <c r="C5897" s="5" t="str">
        <f>'Lineal Mixto'!$C$854</f>
      </c>
      <c r="D5897" s="5" t="str">
        <f>MIN(INT(B5897*5),4)</f>
      </c>
      <c r="E5897" s="5" t="str">
        <f>MIN(INT(C5897*5),4)</f>
      </c>
      <c r="F5897" s="5" t="str">
        <f>D5897*5+E5897</f>
      </c>
    </row>
    <row r="5898">
      <c r="A5898" s="6">
        <v>850</v>
      </c>
      <c r="B5898" s="6" t="str">
        <f>'Lineal Mixto'!$C$854</f>
      </c>
      <c r="C5898" s="6" t="str">
        <f>'Lineal Mixto'!$C$855</f>
      </c>
      <c r="D5898" s="6" t="str">
        <f>MIN(INT(B5898*5),4)</f>
      </c>
      <c r="E5898" s="6" t="str">
        <f>MIN(INT(C5898*5),4)</f>
      </c>
      <c r="F5898" s="6" t="str">
        <f>D5898*5+E5898</f>
      </c>
    </row>
    <row r="5899">
      <c r="A5899" s="5">
        <v>851</v>
      </c>
      <c r="B5899" s="5" t="str">
        <f>'Lineal Mixto'!$C$855</f>
      </c>
      <c r="C5899" s="5" t="str">
        <f>'Lineal Mixto'!$C$856</f>
      </c>
      <c r="D5899" s="5" t="str">
        <f>MIN(INT(B5899*5),4)</f>
      </c>
      <c r="E5899" s="5" t="str">
        <f>MIN(INT(C5899*5),4)</f>
      </c>
      <c r="F5899" s="5" t="str">
        <f>D5899*5+E5899</f>
      </c>
    </row>
    <row r="5900">
      <c r="A5900" s="6">
        <v>852</v>
      </c>
      <c r="B5900" s="6" t="str">
        <f>'Lineal Mixto'!$C$856</f>
      </c>
      <c r="C5900" s="6" t="str">
        <f>'Lineal Mixto'!$C$857</f>
      </c>
      <c r="D5900" s="6" t="str">
        <f>MIN(INT(B5900*5),4)</f>
      </c>
      <c r="E5900" s="6" t="str">
        <f>MIN(INT(C5900*5),4)</f>
      </c>
      <c r="F5900" s="6" t="str">
        <f>D5900*5+E5900</f>
      </c>
    </row>
    <row r="5901">
      <c r="A5901" s="5">
        <v>853</v>
      </c>
      <c r="B5901" s="5" t="str">
        <f>'Lineal Mixto'!$C$857</f>
      </c>
      <c r="C5901" s="5" t="str">
        <f>'Lineal Mixto'!$C$858</f>
      </c>
      <c r="D5901" s="5" t="str">
        <f>MIN(INT(B5901*5),4)</f>
      </c>
      <c r="E5901" s="5" t="str">
        <f>MIN(INT(C5901*5),4)</f>
      </c>
      <c r="F5901" s="5" t="str">
        <f>D5901*5+E5901</f>
      </c>
    </row>
    <row r="5902">
      <c r="A5902" s="6">
        <v>854</v>
      </c>
      <c r="B5902" s="6" t="str">
        <f>'Lineal Mixto'!$C$858</f>
      </c>
      <c r="C5902" s="6" t="str">
        <f>'Lineal Mixto'!$C$859</f>
      </c>
      <c r="D5902" s="6" t="str">
        <f>MIN(INT(B5902*5),4)</f>
      </c>
      <c r="E5902" s="6" t="str">
        <f>MIN(INT(C5902*5),4)</f>
      </c>
      <c r="F5902" s="6" t="str">
        <f>D5902*5+E5902</f>
      </c>
    </row>
    <row r="5903">
      <c r="A5903" s="5">
        <v>855</v>
      </c>
      <c r="B5903" s="5" t="str">
        <f>'Lineal Mixto'!$C$859</f>
      </c>
      <c r="C5903" s="5" t="str">
        <f>'Lineal Mixto'!$C$860</f>
      </c>
      <c r="D5903" s="5" t="str">
        <f>MIN(INT(B5903*5),4)</f>
      </c>
      <c r="E5903" s="5" t="str">
        <f>MIN(INT(C5903*5),4)</f>
      </c>
      <c r="F5903" s="5" t="str">
        <f>D5903*5+E5903</f>
      </c>
    </row>
    <row r="5904">
      <c r="A5904" s="6">
        <v>856</v>
      </c>
      <c r="B5904" s="6" t="str">
        <f>'Lineal Mixto'!$C$860</f>
      </c>
      <c r="C5904" s="6" t="str">
        <f>'Lineal Mixto'!$C$861</f>
      </c>
      <c r="D5904" s="6" t="str">
        <f>MIN(INT(B5904*5),4)</f>
      </c>
      <c r="E5904" s="6" t="str">
        <f>MIN(INT(C5904*5),4)</f>
      </c>
      <c r="F5904" s="6" t="str">
        <f>D5904*5+E5904</f>
      </c>
    </row>
    <row r="5905">
      <c r="A5905" s="5">
        <v>857</v>
      </c>
      <c r="B5905" s="5" t="str">
        <f>'Lineal Mixto'!$C$861</f>
      </c>
      <c r="C5905" s="5" t="str">
        <f>'Lineal Mixto'!$C$862</f>
      </c>
      <c r="D5905" s="5" t="str">
        <f>MIN(INT(B5905*5),4)</f>
      </c>
      <c r="E5905" s="5" t="str">
        <f>MIN(INT(C5905*5),4)</f>
      </c>
      <c r="F5905" s="5" t="str">
        <f>D5905*5+E5905</f>
      </c>
    </row>
    <row r="5906">
      <c r="A5906" s="6">
        <v>858</v>
      </c>
      <c r="B5906" s="6" t="str">
        <f>'Lineal Mixto'!$C$862</f>
      </c>
      <c r="C5906" s="6" t="str">
        <f>'Lineal Mixto'!$C$863</f>
      </c>
      <c r="D5906" s="6" t="str">
        <f>MIN(INT(B5906*5),4)</f>
      </c>
      <c r="E5906" s="6" t="str">
        <f>MIN(INT(C5906*5),4)</f>
      </c>
      <c r="F5906" s="6" t="str">
        <f>D5906*5+E5906</f>
      </c>
    </row>
    <row r="5907">
      <c r="A5907" s="5">
        <v>859</v>
      </c>
      <c r="B5907" s="5" t="str">
        <f>'Lineal Mixto'!$C$863</f>
      </c>
      <c r="C5907" s="5" t="str">
        <f>'Lineal Mixto'!$C$864</f>
      </c>
      <c r="D5907" s="5" t="str">
        <f>MIN(INT(B5907*5),4)</f>
      </c>
      <c r="E5907" s="5" t="str">
        <f>MIN(INT(C5907*5),4)</f>
      </c>
      <c r="F5907" s="5" t="str">
        <f>D5907*5+E5907</f>
      </c>
    </row>
    <row r="5908">
      <c r="A5908" s="6">
        <v>860</v>
      </c>
      <c r="B5908" s="6" t="str">
        <f>'Lineal Mixto'!$C$864</f>
      </c>
      <c r="C5908" s="6" t="str">
        <f>'Lineal Mixto'!$C$865</f>
      </c>
      <c r="D5908" s="6" t="str">
        <f>MIN(INT(B5908*5),4)</f>
      </c>
      <c r="E5908" s="6" t="str">
        <f>MIN(INT(C5908*5),4)</f>
      </c>
      <c r="F5908" s="6" t="str">
        <f>D5908*5+E5908</f>
      </c>
    </row>
    <row r="5909">
      <c r="A5909" s="5">
        <v>861</v>
      </c>
      <c r="B5909" s="5" t="str">
        <f>'Lineal Mixto'!$C$865</f>
      </c>
      <c r="C5909" s="5" t="str">
        <f>'Lineal Mixto'!$C$866</f>
      </c>
      <c r="D5909" s="5" t="str">
        <f>MIN(INT(B5909*5),4)</f>
      </c>
      <c r="E5909" s="5" t="str">
        <f>MIN(INT(C5909*5),4)</f>
      </c>
      <c r="F5909" s="5" t="str">
        <f>D5909*5+E5909</f>
      </c>
    </row>
    <row r="5910">
      <c r="A5910" s="6">
        <v>862</v>
      </c>
      <c r="B5910" s="6" t="str">
        <f>'Lineal Mixto'!$C$866</f>
      </c>
      <c r="C5910" s="6" t="str">
        <f>'Lineal Mixto'!$C$867</f>
      </c>
      <c r="D5910" s="6" t="str">
        <f>MIN(INT(B5910*5),4)</f>
      </c>
      <c r="E5910" s="6" t="str">
        <f>MIN(INT(C5910*5),4)</f>
      </c>
      <c r="F5910" s="6" t="str">
        <f>D5910*5+E5910</f>
      </c>
    </row>
    <row r="5911">
      <c r="A5911" s="5">
        <v>863</v>
      </c>
      <c r="B5911" s="5" t="str">
        <f>'Lineal Mixto'!$C$867</f>
      </c>
      <c r="C5911" s="5" t="str">
        <f>'Lineal Mixto'!$C$868</f>
      </c>
      <c r="D5911" s="5" t="str">
        <f>MIN(INT(B5911*5),4)</f>
      </c>
      <c r="E5911" s="5" t="str">
        <f>MIN(INT(C5911*5),4)</f>
      </c>
      <c r="F5911" s="5" t="str">
        <f>D5911*5+E5911</f>
      </c>
    </row>
    <row r="5912">
      <c r="A5912" s="6">
        <v>864</v>
      </c>
      <c r="B5912" s="6" t="str">
        <f>'Lineal Mixto'!$C$868</f>
      </c>
      <c r="C5912" s="6" t="str">
        <f>'Lineal Mixto'!$C$869</f>
      </c>
      <c r="D5912" s="6" t="str">
        <f>MIN(INT(B5912*5),4)</f>
      </c>
      <c r="E5912" s="6" t="str">
        <f>MIN(INT(C5912*5),4)</f>
      </c>
      <c r="F5912" s="6" t="str">
        <f>D5912*5+E5912</f>
      </c>
    </row>
    <row r="5913">
      <c r="A5913" s="5">
        <v>865</v>
      </c>
      <c r="B5913" s="5" t="str">
        <f>'Lineal Mixto'!$C$869</f>
      </c>
      <c r="C5913" s="5" t="str">
        <f>'Lineal Mixto'!$C$870</f>
      </c>
      <c r="D5913" s="5" t="str">
        <f>MIN(INT(B5913*5),4)</f>
      </c>
      <c r="E5913" s="5" t="str">
        <f>MIN(INT(C5913*5),4)</f>
      </c>
      <c r="F5913" s="5" t="str">
        <f>D5913*5+E5913</f>
      </c>
    </row>
    <row r="5914">
      <c r="A5914" s="6">
        <v>866</v>
      </c>
      <c r="B5914" s="6" t="str">
        <f>'Lineal Mixto'!$C$870</f>
      </c>
      <c r="C5914" s="6" t="str">
        <f>'Lineal Mixto'!$C$871</f>
      </c>
      <c r="D5914" s="6" t="str">
        <f>MIN(INT(B5914*5),4)</f>
      </c>
      <c r="E5914" s="6" t="str">
        <f>MIN(INT(C5914*5),4)</f>
      </c>
      <c r="F5914" s="6" t="str">
        <f>D5914*5+E5914</f>
      </c>
    </row>
    <row r="5915">
      <c r="A5915" s="5">
        <v>867</v>
      </c>
      <c r="B5915" s="5" t="str">
        <f>'Lineal Mixto'!$C$871</f>
      </c>
      <c r="C5915" s="5" t="str">
        <f>'Lineal Mixto'!$C$872</f>
      </c>
      <c r="D5915" s="5" t="str">
        <f>MIN(INT(B5915*5),4)</f>
      </c>
      <c r="E5915" s="5" t="str">
        <f>MIN(INT(C5915*5),4)</f>
      </c>
      <c r="F5915" s="5" t="str">
        <f>D5915*5+E5915</f>
      </c>
    </row>
    <row r="5916">
      <c r="A5916" s="6">
        <v>868</v>
      </c>
      <c r="B5916" s="6" t="str">
        <f>'Lineal Mixto'!$C$872</f>
      </c>
      <c r="C5916" s="6" t="str">
        <f>'Lineal Mixto'!$C$873</f>
      </c>
      <c r="D5916" s="6" t="str">
        <f>MIN(INT(B5916*5),4)</f>
      </c>
      <c r="E5916" s="6" t="str">
        <f>MIN(INT(C5916*5),4)</f>
      </c>
      <c r="F5916" s="6" t="str">
        <f>D5916*5+E5916</f>
      </c>
    </row>
    <row r="5917">
      <c r="A5917" s="5">
        <v>869</v>
      </c>
      <c r="B5917" s="5" t="str">
        <f>'Lineal Mixto'!$C$873</f>
      </c>
      <c r="C5917" s="5" t="str">
        <f>'Lineal Mixto'!$C$874</f>
      </c>
      <c r="D5917" s="5" t="str">
        <f>MIN(INT(B5917*5),4)</f>
      </c>
      <c r="E5917" s="5" t="str">
        <f>MIN(INT(C5917*5),4)</f>
      </c>
      <c r="F5917" s="5" t="str">
        <f>D5917*5+E5917</f>
      </c>
    </row>
    <row r="5918">
      <c r="A5918" s="6">
        <v>870</v>
      </c>
      <c r="B5918" s="6" t="str">
        <f>'Lineal Mixto'!$C$874</f>
      </c>
      <c r="C5918" s="6" t="str">
        <f>'Lineal Mixto'!$C$875</f>
      </c>
      <c r="D5918" s="6" t="str">
        <f>MIN(INT(B5918*5),4)</f>
      </c>
      <c r="E5918" s="6" t="str">
        <f>MIN(INT(C5918*5),4)</f>
      </c>
      <c r="F5918" s="6" t="str">
        <f>D5918*5+E5918</f>
      </c>
    </row>
    <row r="5919">
      <c r="A5919" s="5">
        <v>871</v>
      </c>
      <c r="B5919" s="5" t="str">
        <f>'Lineal Mixto'!$C$875</f>
      </c>
      <c r="C5919" s="5" t="str">
        <f>'Lineal Mixto'!$C$876</f>
      </c>
      <c r="D5919" s="5" t="str">
        <f>MIN(INT(B5919*5),4)</f>
      </c>
      <c r="E5919" s="5" t="str">
        <f>MIN(INT(C5919*5),4)</f>
      </c>
      <c r="F5919" s="5" t="str">
        <f>D5919*5+E5919</f>
      </c>
    </row>
    <row r="5920">
      <c r="A5920" s="6">
        <v>872</v>
      </c>
      <c r="B5920" s="6" t="str">
        <f>'Lineal Mixto'!$C$876</f>
      </c>
      <c r="C5920" s="6" t="str">
        <f>'Lineal Mixto'!$C$877</f>
      </c>
      <c r="D5920" s="6" t="str">
        <f>MIN(INT(B5920*5),4)</f>
      </c>
      <c r="E5920" s="6" t="str">
        <f>MIN(INT(C5920*5),4)</f>
      </c>
      <c r="F5920" s="6" t="str">
        <f>D5920*5+E5920</f>
      </c>
    </row>
    <row r="5921">
      <c r="A5921" s="5">
        <v>873</v>
      </c>
      <c r="B5921" s="5" t="str">
        <f>'Lineal Mixto'!$C$877</f>
      </c>
      <c r="C5921" s="5" t="str">
        <f>'Lineal Mixto'!$C$878</f>
      </c>
      <c r="D5921" s="5" t="str">
        <f>MIN(INT(B5921*5),4)</f>
      </c>
      <c r="E5921" s="5" t="str">
        <f>MIN(INT(C5921*5),4)</f>
      </c>
      <c r="F5921" s="5" t="str">
        <f>D5921*5+E5921</f>
      </c>
    </row>
    <row r="5922">
      <c r="A5922" s="6">
        <v>874</v>
      </c>
      <c r="B5922" s="6" t="str">
        <f>'Lineal Mixto'!$C$878</f>
      </c>
      <c r="C5922" s="6" t="str">
        <f>'Lineal Mixto'!$C$879</f>
      </c>
      <c r="D5922" s="6" t="str">
        <f>MIN(INT(B5922*5),4)</f>
      </c>
      <c r="E5922" s="6" t="str">
        <f>MIN(INT(C5922*5),4)</f>
      </c>
      <c r="F5922" s="6" t="str">
        <f>D5922*5+E5922</f>
      </c>
    </row>
    <row r="5923">
      <c r="A5923" s="5">
        <v>875</v>
      </c>
      <c r="B5923" s="5" t="str">
        <f>'Lineal Mixto'!$C$879</f>
      </c>
      <c r="C5923" s="5" t="str">
        <f>'Lineal Mixto'!$C$880</f>
      </c>
      <c r="D5923" s="5" t="str">
        <f>MIN(INT(B5923*5),4)</f>
      </c>
      <c r="E5923" s="5" t="str">
        <f>MIN(INT(C5923*5),4)</f>
      </c>
      <c r="F5923" s="5" t="str">
        <f>D5923*5+E5923</f>
      </c>
    </row>
    <row r="5924">
      <c r="A5924" s="6">
        <v>876</v>
      </c>
      <c r="B5924" s="6" t="str">
        <f>'Lineal Mixto'!$C$880</f>
      </c>
      <c r="C5924" s="6" t="str">
        <f>'Lineal Mixto'!$C$881</f>
      </c>
      <c r="D5924" s="6" t="str">
        <f>MIN(INT(B5924*5),4)</f>
      </c>
      <c r="E5924" s="6" t="str">
        <f>MIN(INT(C5924*5),4)</f>
      </c>
      <c r="F5924" s="6" t="str">
        <f>D5924*5+E5924</f>
      </c>
    </row>
    <row r="5925">
      <c r="A5925" s="5">
        <v>877</v>
      </c>
      <c r="B5925" s="5" t="str">
        <f>'Lineal Mixto'!$C$881</f>
      </c>
      <c r="C5925" s="5" t="str">
        <f>'Lineal Mixto'!$C$882</f>
      </c>
      <c r="D5925" s="5" t="str">
        <f>MIN(INT(B5925*5),4)</f>
      </c>
      <c r="E5925" s="5" t="str">
        <f>MIN(INT(C5925*5),4)</f>
      </c>
      <c r="F5925" s="5" t="str">
        <f>D5925*5+E5925</f>
      </c>
    </row>
    <row r="5926">
      <c r="A5926" s="6">
        <v>878</v>
      </c>
      <c r="B5926" s="6" t="str">
        <f>'Lineal Mixto'!$C$882</f>
      </c>
      <c r="C5926" s="6" t="str">
        <f>'Lineal Mixto'!$C$883</f>
      </c>
      <c r="D5926" s="6" t="str">
        <f>MIN(INT(B5926*5),4)</f>
      </c>
      <c r="E5926" s="6" t="str">
        <f>MIN(INT(C5926*5),4)</f>
      </c>
      <c r="F5926" s="6" t="str">
        <f>D5926*5+E5926</f>
      </c>
    </row>
    <row r="5927">
      <c r="A5927" s="5">
        <v>879</v>
      </c>
      <c r="B5927" s="5" t="str">
        <f>'Lineal Mixto'!$C$883</f>
      </c>
      <c r="C5927" s="5" t="str">
        <f>'Lineal Mixto'!$C$884</f>
      </c>
      <c r="D5927" s="5" t="str">
        <f>MIN(INT(B5927*5),4)</f>
      </c>
      <c r="E5927" s="5" t="str">
        <f>MIN(INT(C5927*5),4)</f>
      </c>
      <c r="F5927" s="5" t="str">
        <f>D5927*5+E5927</f>
      </c>
    </row>
    <row r="5928">
      <c r="A5928" s="6">
        <v>880</v>
      </c>
      <c r="B5928" s="6" t="str">
        <f>'Lineal Mixto'!$C$884</f>
      </c>
      <c r="C5928" s="6" t="str">
        <f>'Lineal Mixto'!$C$885</f>
      </c>
      <c r="D5928" s="6" t="str">
        <f>MIN(INT(B5928*5),4)</f>
      </c>
      <c r="E5928" s="6" t="str">
        <f>MIN(INT(C5928*5),4)</f>
      </c>
      <c r="F5928" s="6" t="str">
        <f>D5928*5+E5928</f>
      </c>
    </row>
    <row r="5929">
      <c r="A5929" s="5">
        <v>881</v>
      </c>
      <c r="B5929" s="5" t="str">
        <f>'Lineal Mixto'!$C$885</f>
      </c>
      <c r="C5929" s="5" t="str">
        <f>'Lineal Mixto'!$C$886</f>
      </c>
      <c r="D5929" s="5" t="str">
        <f>MIN(INT(B5929*5),4)</f>
      </c>
      <c r="E5929" s="5" t="str">
        <f>MIN(INT(C5929*5),4)</f>
      </c>
      <c r="F5929" s="5" t="str">
        <f>D5929*5+E5929</f>
      </c>
    </row>
    <row r="5930">
      <c r="A5930" s="6">
        <v>882</v>
      </c>
      <c r="B5930" s="6" t="str">
        <f>'Lineal Mixto'!$C$886</f>
      </c>
      <c r="C5930" s="6" t="str">
        <f>'Lineal Mixto'!$C$887</f>
      </c>
      <c r="D5930" s="6" t="str">
        <f>MIN(INT(B5930*5),4)</f>
      </c>
      <c r="E5930" s="6" t="str">
        <f>MIN(INT(C5930*5),4)</f>
      </c>
      <c r="F5930" s="6" t="str">
        <f>D5930*5+E5930</f>
      </c>
    </row>
    <row r="5931">
      <c r="A5931" s="5">
        <v>883</v>
      </c>
      <c r="B5931" s="5" t="str">
        <f>'Lineal Mixto'!$C$887</f>
      </c>
      <c r="C5931" s="5" t="str">
        <f>'Lineal Mixto'!$C$888</f>
      </c>
      <c r="D5931" s="5" t="str">
        <f>MIN(INT(B5931*5),4)</f>
      </c>
      <c r="E5931" s="5" t="str">
        <f>MIN(INT(C5931*5),4)</f>
      </c>
      <c r="F5931" s="5" t="str">
        <f>D5931*5+E5931</f>
      </c>
    </row>
    <row r="5932">
      <c r="A5932" s="6">
        <v>884</v>
      </c>
      <c r="B5932" s="6" t="str">
        <f>'Lineal Mixto'!$C$888</f>
      </c>
      <c r="C5932" s="6" t="str">
        <f>'Lineal Mixto'!$C$889</f>
      </c>
      <c r="D5932" s="6" t="str">
        <f>MIN(INT(B5932*5),4)</f>
      </c>
      <c r="E5932" s="6" t="str">
        <f>MIN(INT(C5932*5),4)</f>
      </c>
      <c r="F5932" s="6" t="str">
        <f>D5932*5+E5932</f>
      </c>
    </row>
    <row r="5933">
      <c r="A5933" s="5">
        <v>885</v>
      </c>
      <c r="B5933" s="5" t="str">
        <f>'Lineal Mixto'!$C$889</f>
      </c>
      <c r="C5933" s="5" t="str">
        <f>'Lineal Mixto'!$C$890</f>
      </c>
      <c r="D5933" s="5" t="str">
        <f>MIN(INT(B5933*5),4)</f>
      </c>
      <c r="E5933" s="5" t="str">
        <f>MIN(INT(C5933*5),4)</f>
      </c>
      <c r="F5933" s="5" t="str">
        <f>D5933*5+E5933</f>
      </c>
    </row>
    <row r="5934">
      <c r="A5934" s="6">
        <v>886</v>
      </c>
      <c r="B5934" s="6" t="str">
        <f>'Lineal Mixto'!$C$890</f>
      </c>
      <c r="C5934" s="6" t="str">
        <f>'Lineal Mixto'!$C$891</f>
      </c>
      <c r="D5934" s="6" t="str">
        <f>MIN(INT(B5934*5),4)</f>
      </c>
      <c r="E5934" s="6" t="str">
        <f>MIN(INT(C5934*5),4)</f>
      </c>
      <c r="F5934" s="6" t="str">
        <f>D5934*5+E5934</f>
      </c>
    </row>
    <row r="5935">
      <c r="A5935" s="5">
        <v>887</v>
      </c>
      <c r="B5935" s="5" t="str">
        <f>'Lineal Mixto'!$C$891</f>
      </c>
      <c r="C5935" s="5" t="str">
        <f>'Lineal Mixto'!$C$892</f>
      </c>
      <c r="D5935" s="5" t="str">
        <f>MIN(INT(B5935*5),4)</f>
      </c>
      <c r="E5935" s="5" t="str">
        <f>MIN(INT(C5935*5),4)</f>
      </c>
      <c r="F5935" s="5" t="str">
        <f>D5935*5+E5935</f>
      </c>
    </row>
    <row r="5936">
      <c r="A5936" s="6">
        <v>888</v>
      </c>
      <c r="B5936" s="6" t="str">
        <f>'Lineal Mixto'!$C$892</f>
      </c>
      <c r="C5936" s="6" t="str">
        <f>'Lineal Mixto'!$C$893</f>
      </c>
      <c r="D5936" s="6" t="str">
        <f>MIN(INT(B5936*5),4)</f>
      </c>
      <c r="E5936" s="6" t="str">
        <f>MIN(INT(C5936*5),4)</f>
      </c>
      <c r="F5936" s="6" t="str">
        <f>D5936*5+E5936</f>
      </c>
    </row>
    <row r="5937">
      <c r="A5937" s="5">
        <v>889</v>
      </c>
      <c r="B5937" s="5" t="str">
        <f>'Lineal Mixto'!$C$893</f>
      </c>
      <c r="C5937" s="5" t="str">
        <f>'Lineal Mixto'!$C$894</f>
      </c>
      <c r="D5937" s="5" t="str">
        <f>MIN(INT(B5937*5),4)</f>
      </c>
      <c r="E5937" s="5" t="str">
        <f>MIN(INT(C5937*5),4)</f>
      </c>
      <c r="F5937" s="5" t="str">
        <f>D5937*5+E5937</f>
      </c>
    </row>
    <row r="5938">
      <c r="A5938" s="6">
        <v>890</v>
      </c>
      <c r="B5938" s="6" t="str">
        <f>'Lineal Mixto'!$C$894</f>
      </c>
      <c r="C5938" s="6" t="str">
        <f>'Lineal Mixto'!$C$895</f>
      </c>
      <c r="D5938" s="6" t="str">
        <f>MIN(INT(B5938*5),4)</f>
      </c>
      <c r="E5938" s="6" t="str">
        <f>MIN(INT(C5938*5),4)</f>
      </c>
      <c r="F5938" s="6" t="str">
        <f>D5938*5+E5938</f>
      </c>
    </row>
    <row r="5939">
      <c r="A5939" s="5">
        <v>891</v>
      </c>
      <c r="B5939" s="5" t="str">
        <f>'Lineal Mixto'!$C$895</f>
      </c>
      <c r="C5939" s="5" t="str">
        <f>'Lineal Mixto'!$C$896</f>
      </c>
      <c r="D5939" s="5" t="str">
        <f>MIN(INT(B5939*5),4)</f>
      </c>
      <c r="E5939" s="5" t="str">
        <f>MIN(INT(C5939*5),4)</f>
      </c>
      <c r="F5939" s="5" t="str">
        <f>D5939*5+E5939</f>
      </c>
    </row>
    <row r="5940">
      <c r="A5940" s="6">
        <v>892</v>
      </c>
      <c r="B5940" s="6" t="str">
        <f>'Lineal Mixto'!$C$896</f>
      </c>
      <c r="C5940" s="6" t="str">
        <f>'Lineal Mixto'!$C$897</f>
      </c>
      <c r="D5940" s="6" t="str">
        <f>MIN(INT(B5940*5),4)</f>
      </c>
      <c r="E5940" s="6" t="str">
        <f>MIN(INT(C5940*5),4)</f>
      </c>
      <c r="F5940" s="6" t="str">
        <f>D5940*5+E5940</f>
      </c>
    </row>
    <row r="5941">
      <c r="A5941" s="5">
        <v>893</v>
      </c>
      <c r="B5941" s="5" t="str">
        <f>'Lineal Mixto'!$C$897</f>
      </c>
      <c r="C5941" s="5" t="str">
        <f>'Lineal Mixto'!$C$898</f>
      </c>
      <c r="D5941" s="5" t="str">
        <f>MIN(INT(B5941*5),4)</f>
      </c>
      <c r="E5941" s="5" t="str">
        <f>MIN(INT(C5941*5),4)</f>
      </c>
      <c r="F5941" s="5" t="str">
        <f>D5941*5+E5941</f>
      </c>
    </row>
    <row r="5942">
      <c r="A5942" s="6">
        <v>894</v>
      </c>
      <c r="B5942" s="6" t="str">
        <f>'Lineal Mixto'!$C$898</f>
      </c>
      <c r="C5942" s="6" t="str">
        <f>'Lineal Mixto'!$C$899</f>
      </c>
      <c r="D5942" s="6" t="str">
        <f>MIN(INT(B5942*5),4)</f>
      </c>
      <c r="E5942" s="6" t="str">
        <f>MIN(INT(C5942*5),4)</f>
      </c>
      <c r="F5942" s="6" t="str">
        <f>D5942*5+E5942</f>
      </c>
    </row>
    <row r="5943">
      <c r="A5943" s="5">
        <v>895</v>
      </c>
      <c r="B5943" s="5" t="str">
        <f>'Lineal Mixto'!$C$899</f>
      </c>
      <c r="C5943" s="5" t="str">
        <f>'Lineal Mixto'!$C$900</f>
      </c>
      <c r="D5943" s="5" t="str">
        <f>MIN(INT(B5943*5),4)</f>
      </c>
      <c r="E5943" s="5" t="str">
        <f>MIN(INT(C5943*5),4)</f>
      </c>
      <c r="F5943" s="5" t="str">
        <f>D5943*5+E5943</f>
      </c>
    </row>
    <row r="5944">
      <c r="A5944" s="6">
        <v>896</v>
      </c>
      <c r="B5944" s="6" t="str">
        <f>'Lineal Mixto'!$C$900</f>
      </c>
      <c r="C5944" s="6" t="str">
        <f>'Lineal Mixto'!$C$901</f>
      </c>
      <c r="D5944" s="6" t="str">
        <f>MIN(INT(B5944*5),4)</f>
      </c>
      <c r="E5944" s="6" t="str">
        <f>MIN(INT(C5944*5),4)</f>
      </c>
      <c r="F5944" s="6" t="str">
        <f>D5944*5+E5944</f>
      </c>
    </row>
    <row r="5945">
      <c r="A5945" s="5">
        <v>897</v>
      </c>
      <c r="B5945" s="5" t="str">
        <f>'Lineal Mixto'!$C$901</f>
      </c>
      <c r="C5945" s="5" t="str">
        <f>'Lineal Mixto'!$C$902</f>
      </c>
      <c r="D5945" s="5" t="str">
        <f>MIN(INT(B5945*5),4)</f>
      </c>
      <c r="E5945" s="5" t="str">
        <f>MIN(INT(C5945*5),4)</f>
      </c>
      <c r="F5945" s="5" t="str">
        <f>D5945*5+E5945</f>
      </c>
    </row>
    <row r="5946">
      <c r="A5946" s="6">
        <v>898</v>
      </c>
      <c r="B5946" s="6" t="str">
        <f>'Lineal Mixto'!$C$902</f>
      </c>
      <c r="C5946" s="6" t="str">
        <f>'Lineal Mixto'!$C$903</f>
      </c>
      <c r="D5946" s="6" t="str">
        <f>MIN(INT(B5946*5),4)</f>
      </c>
      <c r="E5946" s="6" t="str">
        <f>MIN(INT(C5946*5),4)</f>
      </c>
      <c r="F5946" s="6" t="str">
        <f>D5946*5+E5946</f>
      </c>
    </row>
    <row r="5947">
      <c r="A5947" s="5">
        <v>899</v>
      </c>
      <c r="B5947" s="5" t="str">
        <f>'Lineal Mixto'!$C$903</f>
      </c>
      <c r="C5947" s="5" t="str">
        <f>'Lineal Mixto'!$C$904</f>
      </c>
      <c r="D5947" s="5" t="str">
        <f>MIN(INT(B5947*5),4)</f>
      </c>
      <c r="E5947" s="5" t="str">
        <f>MIN(INT(C5947*5),4)</f>
      </c>
      <c r="F5947" s="5" t="str">
        <f>D5947*5+E5947</f>
      </c>
    </row>
    <row r="5948">
      <c r="A5948" s="6">
        <v>900</v>
      </c>
      <c r="B5948" s="6" t="str">
        <f>'Lineal Mixto'!$C$904</f>
      </c>
      <c r="C5948" s="6" t="str">
        <f>'Lineal Mixto'!$C$905</f>
      </c>
      <c r="D5948" s="6" t="str">
        <f>MIN(INT(B5948*5),4)</f>
      </c>
      <c r="E5948" s="6" t="str">
        <f>MIN(INT(C5948*5),4)</f>
      </c>
      <c r="F5948" s="6" t="str">
        <f>D5948*5+E5948</f>
      </c>
    </row>
    <row r="5949">
      <c r="A5949" s="5">
        <v>901</v>
      </c>
      <c r="B5949" s="5" t="str">
        <f>'Lineal Mixto'!$C$905</f>
      </c>
      <c r="C5949" s="5" t="str">
        <f>'Lineal Mixto'!$C$906</f>
      </c>
      <c r="D5949" s="5" t="str">
        <f>MIN(INT(B5949*5),4)</f>
      </c>
      <c r="E5949" s="5" t="str">
        <f>MIN(INT(C5949*5),4)</f>
      </c>
      <c r="F5949" s="5" t="str">
        <f>D5949*5+E5949</f>
      </c>
    </row>
    <row r="5950">
      <c r="A5950" s="6">
        <v>902</v>
      </c>
      <c r="B5950" s="6" t="str">
        <f>'Lineal Mixto'!$C$906</f>
      </c>
      <c r="C5950" s="6" t="str">
        <f>'Lineal Mixto'!$C$907</f>
      </c>
      <c r="D5950" s="6" t="str">
        <f>MIN(INT(B5950*5),4)</f>
      </c>
      <c r="E5950" s="6" t="str">
        <f>MIN(INT(C5950*5),4)</f>
      </c>
      <c r="F5950" s="6" t="str">
        <f>D5950*5+E5950</f>
      </c>
    </row>
    <row r="5951">
      <c r="A5951" s="5">
        <v>903</v>
      </c>
      <c r="B5951" s="5" t="str">
        <f>'Lineal Mixto'!$C$907</f>
      </c>
      <c r="C5951" s="5" t="str">
        <f>'Lineal Mixto'!$C$908</f>
      </c>
      <c r="D5951" s="5" t="str">
        <f>MIN(INT(B5951*5),4)</f>
      </c>
      <c r="E5951" s="5" t="str">
        <f>MIN(INT(C5951*5),4)</f>
      </c>
      <c r="F5951" s="5" t="str">
        <f>D5951*5+E5951</f>
      </c>
    </row>
    <row r="5952">
      <c r="A5952" s="6">
        <v>904</v>
      </c>
      <c r="B5952" s="6" t="str">
        <f>'Lineal Mixto'!$C$908</f>
      </c>
      <c r="C5952" s="6" t="str">
        <f>'Lineal Mixto'!$C$909</f>
      </c>
      <c r="D5952" s="6" t="str">
        <f>MIN(INT(B5952*5),4)</f>
      </c>
      <c r="E5952" s="6" t="str">
        <f>MIN(INT(C5952*5),4)</f>
      </c>
      <c r="F5952" s="6" t="str">
        <f>D5952*5+E5952</f>
      </c>
    </row>
    <row r="5953">
      <c r="A5953" s="5">
        <v>905</v>
      </c>
      <c r="B5953" s="5" t="str">
        <f>'Lineal Mixto'!$C$909</f>
      </c>
      <c r="C5953" s="5" t="str">
        <f>'Lineal Mixto'!$C$910</f>
      </c>
      <c r="D5953" s="5" t="str">
        <f>MIN(INT(B5953*5),4)</f>
      </c>
      <c r="E5953" s="5" t="str">
        <f>MIN(INT(C5953*5),4)</f>
      </c>
      <c r="F5953" s="5" t="str">
        <f>D5953*5+E5953</f>
      </c>
    </row>
    <row r="5954">
      <c r="A5954" s="6">
        <v>906</v>
      </c>
      <c r="B5954" s="6" t="str">
        <f>'Lineal Mixto'!$C$910</f>
      </c>
      <c r="C5954" s="6" t="str">
        <f>'Lineal Mixto'!$C$911</f>
      </c>
      <c r="D5954" s="6" t="str">
        <f>MIN(INT(B5954*5),4)</f>
      </c>
      <c r="E5954" s="6" t="str">
        <f>MIN(INT(C5954*5),4)</f>
      </c>
      <c r="F5954" s="6" t="str">
        <f>D5954*5+E5954</f>
      </c>
    </row>
    <row r="5955">
      <c r="A5955" s="5">
        <v>907</v>
      </c>
      <c r="B5955" s="5" t="str">
        <f>'Lineal Mixto'!$C$911</f>
      </c>
      <c r="C5955" s="5" t="str">
        <f>'Lineal Mixto'!$C$912</f>
      </c>
      <c r="D5955" s="5" t="str">
        <f>MIN(INT(B5955*5),4)</f>
      </c>
      <c r="E5955" s="5" t="str">
        <f>MIN(INT(C5955*5),4)</f>
      </c>
      <c r="F5955" s="5" t="str">
        <f>D5955*5+E5955</f>
      </c>
    </row>
    <row r="5956">
      <c r="A5956" s="6">
        <v>908</v>
      </c>
      <c r="B5956" s="6" t="str">
        <f>'Lineal Mixto'!$C$912</f>
      </c>
      <c r="C5956" s="6" t="str">
        <f>'Lineal Mixto'!$C$913</f>
      </c>
      <c r="D5956" s="6" t="str">
        <f>MIN(INT(B5956*5),4)</f>
      </c>
      <c r="E5956" s="6" t="str">
        <f>MIN(INT(C5956*5),4)</f>
      </c>
      <c r="F5956" s="6" t="str">
        <f>D5956*5+E5956</f>
      </c>
    </row>
    <row r="5957">
      <c r="A5957" s="5">
        <v>909</v>
      </c>
      <c r="B5957" s="5" t="str">
        <f>'Lineal Mixto'!$C$913</f>
      </c>
      <c r="C5957" s="5" t="str">
        <f>'Lineal Mixto'!$C$914</f>
      </c>
      <c r="D5957" s="5" t="str">
        <f>MIN(INT(B5957*5),4)</f>
      </c>
      <c r="E5957" s="5" t="str">
        <f>MIN(INT(C5957*5),4)</f>
      </c>
      <c r="F5957" s="5" t="str">
        <f>D5957*5+E5957</f>
      </c>
    </row>
    <row r="5958">
      <c r="A5958" s="6">
        <v>910</v>
      </c>
      <c r="B5958" s="6" t="str">
        <f>'Lineal Mixto'!$C$914</f>
      </c>
      <c r="C5958" s="6" t="str">
        <f>'Lineal Mixto'!$C$915</f>
      </c>
      <c r="D5958" s="6" t="str">
        <f>MIN(INT(B5958*5),4)</f>
      </c>
      <c r="E5958" s="6" t="str">
        <f>MIN(INT(C5958*5),4)</f>
      </c>
      <c r="F5958" s="6" t="str">
        <f>D5958*5+E5958</f>
      </c>
    </row>
    <row r="5959">
      <c r="A5959" s="5">
        <v>911</v>
      </c>
      <c r="B5959" s="5" t="str">
        <f>'Lineal Mixto'!$C$915</f>
      </c>
      <c r="C5959" s="5" t="str">
        <f>'Lineal Mixto'!$C$916</f>
      </c>
      <c r="D5959" s="5" t="str">
        <f>MIN(INT(B5959*5),4)</f>
      </c>
      <c r="E5959" s="5" t="str">
        <f>MIN(INT(C5959*5),4)</f>
      </c>
      <c r="F5959" s="5" t="str">
        <f>D5959*5+E5959</f>
      </c>
    </row>
    <row r="5960">
      <c r="A5960" s="6">
        <v>912</v>
      </c>
      <c r="B5960" s="6" t="str">
        <f>'Lineal Mixto'!$C$916</f>
      </c>
      <c r="C5960" s="6" t="str">
        <f>'Lineal Mixto'!$C$917</f>
      </c>
      <c r="D5960" s="6" t="str">
        <f>MIN(INT(B5960*5),4)</f>
      </c>
      <c r="E5960" s="6" t="str">
        <f>MIN(INT(C5960*5),4)</f>
      </c>
      <c r="F5960" s="6" t="str">
        <f>D5960*5+E5960</f>
      </c>
    </row>
    <row r="5961">
      <c r="A5961" s="5">
        <v>913</v>
      </c>
      <c r="B5961" s="5" t="str">
        <f>'Lineal Mixto'!$C$917</f>
      </c>
      <c r="C5961" s="5" t="str">
        <f>'Lineal Mixto'!$C$918</f>
      </c>
      <c r="D5961" s="5" t="str">
        <f>MIN(INT(B5961*5),4)</f>
      </c>
      <c r="E5961" s="5" t="str">
        <f>MIN(INT(C5961*5),4)</f>
      </c>
      <c r="F5961" s="5" t="str">
        <f>D5961*5+E5961</f>
      </c>
    </row>
    <row r="5962">
      <c r="A5962" s="6">
        <v>914</v>
      </c>
      <c r="B5962" s="6" t="str">
        <f>'Lineal Mixto'!$C$918</f>
      </c>
      <c r="C5962" s="6" t="str">
        <f>'Lineal Mixto'!$C$919</f>
      </c>
      <c r="D5962" s="6" t="str">
        <f>MIN(INT(B5962*5),4)</f>
      </c>
      <c r="E5962" s="6" t="str">
        <f>MIN(INT(C5962*5),4)</f>
      </c>
      <c r="F5962" s="6" t="str">
        <f>D5962*5+E5962</f>
      </c>
    </row>
    <row r="5963">
      <c r="A5963" s="5">
        <v>915</v>
      </c>
      <c r="B5963" s="5" t="str">
        <f>'Lineal Mixto'!$C$919</f>
      </c>
      <c r="C5963" s="5" t="str">
        <f>'Lineal Mixto'!$C$920</f>
      </c>
      <c r="D5963" s="5" t="str">
        <f>MIN(INT(B5963*5),4)</f>
      </c>
      <c r="E5963" s="5" t="str">
        <f>MIN(INT(C5963*5),4)</f>
      </c>
      <c r="F5963" s="5" t="str">
        <f>D5963*5+E5963</f>
      </c>
    </row>
    <row r="5964">
      <c r="A5964" s="6">
        <v>916</v>
      </c>
      <c r="B5964" s="6" t="str">
        <f>'Lineal Mixto'!$C$920</f>
      </c>
      <c r="C5964" s="6" t="str">
        <f>'Lineal Mixto'!$C$921</f>
      </c>
      <c r="D5964" s="6" t="str">
        <f>MIN(INT(B5964*5),4)</f>
      </c>
      <c r="E5964" s="6" t="str">
        <f>MIN(INT(C5964*5),4)</f>
      </c>
      <c r="F5964" s="6" t="str">
        <f>D5964*5+E5964</f>
      </c>
    </row>
    <row r="5965">
      <c r="A5965" s="5">
        <v>917</v>
      </c>
      <c r="B5965" s="5" t="str">
        <f>'Lineal Mixto'!$C$921</f>
      </c>
      <c r="C5965" s="5" t="str">
        <f>'Lineal Mixto'!$C$922</f>
      </c>
      <c r="D5965" s="5" t="str">
        <f>MIN(INT(B5965*5),4)</f>
      </c>
      <c r="E5965" s="5" t="str">
        <f>MIN(INT(C5965*5),4)</f>
      </c>
      <c r="F5965" s="5" t="str">
        <f>D5965*5+E5965</f>
      </c>
    </row>
    <row r="5966">
      <c r="A5966" s="6">
        <v>918</v>
      </c>
      <c r="B5966" s="6" t="str">
        <f>'Lineal Mixto'!$C$922</f>
      </c>
      <c r="C5966" s="6" t="str">
        <f>'Lineal Mixto'!$C$923</f>
      </c>
      <c r="D5966" s="6" t="str">
        <f>MIN(INT(B5966*5),4)</f>
      </c>
      <c r="E5966" s="6" t="str">
        <f>MIN(INT(C5966*5),4)</f>
      </c>
      <c r="F5966" s="6" t="str">
        <f>D5966*5+E5966</f>
      </c>
    </row>
    <row r="5967">
      <c r="A5967" s="5">
        <v>919</v>
      </c>
      <c r="B5967" s="5" t="str">
        <f>'Lineal Mixto'!$C$923</f>
      </c>
      <c r="C5967" s="5" t="str">
        <f>'Lineal Mixto'!$C$924</f>
      </c>
      <c r="D5967" s="5" t="str">
        <f>MIN(INT(B5967*5),4)</f>
      </c>
      <c r="E5967" s="5" t="str">
        <f>MIN(INT(C5967*5),4)</f>
      </c>
      <c r="F5967" s="5" t="str">
        <f>D5967*5+E5967</f>
      </c>
    </row>
    <row r="5968">
      <c r="A5968" s="6">
        <v>920</v>
      </c>
      <c r="B5968" s="6" t="str">
        <f>'Lineal Mixto'!$C$924</f>
      </c>
      <c r="C5968" s="6" t="str">
        <f>'Lineal Mixto'!$C$925</f>
      </c>
      <c r="D5968" s="6" t="str">
        <f>MIN(INT(B5968*5),4)</f>
      </c>
      <c r="E5968" s="6" t="str">
        <f>MIN(INT(C5968*5),4)</f>
      </c>
      <c r="F5968" s="6" t="str">
        <f>D5968*5+E5968</f>
      </c>
    </row>
    <row r="5969">
      <c r="A5969" s="5">
        <v>921</v>
      </c>
      <c r="B5969" s="5" t="str">
        <f>'Lineal Mixto'!$C$925</f>
      </c>
      <c r="C5969" s="5" t="str">
        <f>'Lineal Mixto'!$C$926</f>
      </c>
      <c r="D5969" s="5" t="str">
        <f>MIN(INT(B5969*5),4)</f>
      </c>
      <c r="E5969" s="5" t="str">
        <f>MIN(INT(C5969*5),4)</f>
      </c>
      <c r="F5969" s="5" t="str">
        <f>D5969*5+E5969</f>
      </c>
    </row>
    <row r="5970">
      <c r="A5970" s="6">
        <v>922</v>
      </c>
      <c r="B5970" s="6" t="str">
        <f>'Lineal Mixto'!$C$926</f>
      </c>
      <c r="C5970" s="6" t="str">
        <f>'Lineal Mixto'!$C$927</f>
      </c>
      <c r="D5970" s="6" t="str">
        <f>MIN(INT(B5970*5),4)</f>
      </c>
      <c r="E5970" s="6" t="str">
        <f>MIN(INT(C5970*5),4)</f>
      </c>
      <c r="F5970" s="6" t="str">
        <f>D5970*5+E5970</f>
      </c>
    </row>
    <row r="5971">
      <c r="A5971" s="5">
        <v>923</v>
      </c>
      <c r="B5971" s="5" t="str">
        <f>'Lineal Mixto'!$C$927</f>
      </c>
      <c r="C5971" s="5" t="str">
        <f>'Lineal Mixto'!$C$928</f>
      </c>
      <c r="D5971" s="5" t="str">
        <f>MIN(INT(B5971*5),4)</f>
      </c>
      <c r="E5971" s="5" t="str">
        <f>MIN(INT(C5971*5),4)</f>
      </c>
      <c r="F5971" s="5" t="str">
        <f>D5971*5+E5971</f>
      </c>
    </row>
    <row r="5972">
      <c r="A5972" s="6">
        <v>924</v>
      </c>
      <c r="B5972" s="6" t="str">
        <f>'Lineal Mixto'!$C$928</f>
      </c>
      <c r="C5972" s="6" t="str">
        <f>'Lineal Mixto'!$C$929</f>
      </c>
      <c r="D5972" s="6" t="str">
        <f>MIN(INT(B5972*5),4)</f>
      </c>
      <c r="E5972" s="6" t="str">
        <f>MIN(INT(C5972*5),4)</f>
      </c>
      <c r="F5972" s="6" t="str">
        <f>D5972*5+E5972</f>
      </c>
    </row>
    <row r="5973">
      <c r="A5973" s="5">
        <v>925</v>
      </c>
      <c r="B5973" s="5" t="str">
        <f>'Lineal Mixto'!$C$929</f>
      </c>
      <c r="C5973" s="5" t="str">
        <f>'Lineal Mixto'!$C$930</f>
      </c>
      <c r="D5973" s="5" t="str">
        <f>MIN(INT(B5973*5),4)</f>
      </c>
      <c r="E5973" s="5" t="str">
        <f>MIN(INT(C5973*5),4)</f>
      </c>
      <c r="F5973" s="5" t="str">
        <f>D5973*5+E5973</f>
      </c>
    </row>
    <row r="5974">
      <c r="A5974" s="6">
        <v>926</v>
      </c>
      <c r="B5974" s="6" t="str">
        <f>'Lineal Mixto'!$C$930</f>
      </c>
      <c r="C5974" s="6" t="str">
        <f>'Lineal Mixto'!$C$931</f>
      </c>
      <c r="D5974" s="6" t="str">
        <f>MIN(INT(B5974*5),4)</f>
      </c>
      <c r="E5974" s="6" t="str">
        <f>MIN(INT(C5974*5),4)</f>
      </c>
      <c r="F5974" s="6" t="str">
        <f>D5974*5+E5974</f>
      </c>
    </row>
    <row r="5975">
      <c r="A5975" s="5">
        <v>927</v>
      </c>
      <c r="B5975" s="5" t="str">
        <f>'Lineal Mixto'!$C$931</f>
      </c>
      <c r="C5975" s="5" t="str">
        <f>'Lineal Mixto'!$C$932</f>
      </c>
      <c r="D5975" s="5" t="str">
        <f>MIN(INT(B5975*5),4)</f>
      </c>
      <c r="E5975" s="5" t="str">
        <f>MIN(INT(C5975*5),4)</f>
      </c>
      <c r="F5975" s="5" t="str">
        <f>D5975*5+E5975</f>
      </c>
    </row>
    <row r="5976">
      <c r="A5976" s="6">
        <v>928</v>
      </c>
      <c r="B5976" s="6" t="str">
        <f>'Lineal Mixto'!$C$932</f>
      </c>
      <c r="C5976" s="6" t="str">
        <f>'Lineal Mixto'!$C$933</f>
      </c>
      <c r="D5976" s="6" t="str">
        <f>MIN(INT(B5976*5),4)</f>
      </c>
      <c r="E5976" s="6" t="str">
        <f>MIN(INT(C5976*5),4)</f>
      </c>
      <c r="F5976" s="6" t="str">
        <f>D5976*5+E5976</f>
      </c>
    </row>
    <row r="5977">
      <c r="A5977" s="5">
        <v>929</v>
      </c>
      <c r="B5977" s="5" t="str">
        <f>'Lineal Mixto'!$C$933</f>
      </c>
      <c r="C5977" s="5" t="str">
        <f>'Lineal Mixto'!$C$934</f>
      </c>
      <c r="D5977" s="5" t="str">
        <f>MIN(INT(B5977*5),4)</f>
      </c>
      <c r="E5977" s="5" t="str">
        <f>MIN(INT(C5977*5),4)</f>
      </c>
      <c r="F5977" s="5" t="str">
        <f>D5977*5+E5977</f>
      </c>
    </row>
    <row r="5978">
      <c r="A5978" s="6">
        <v>930</v>
      </c>
      <c r="B5978" s="6" t="str">
        <f>'Lineal Mixto'!$C$934</f>
      </c>
      <c r="C5978" s="6" t="str">
        <f>'Lineal Mixto'!$C$935</f>
      </c>
      <c r="D5978" s="6" t="str">
        <f>MIN(INT(B5978*5),4)</f>
      </c>
      <c r="E5978" s="6" t="str">
        <f>MIN(INT(C5978*5),4)</f>
      </c>
      <c r="F5978" s="6" t="str">
        <f>D5978*5+E5978</f>
      </c>
    </row>
    <row r="5979">
      <c r="A5979" s="5">
        <v>931</v>
      </c>
      <c r="B5979" s="5" t="str">
        <f>'Lineal Mixto'!$C$935</f>
      </c>
      <c r="C5979" s="5" t="str">
        <f>'Lineal Mixto'!$C$936</f>
      </c>
      <c r="D5979" s="5" t="str">
        <f>MIN(INT(B5979*5),4)</f>
      </c>
      <c r="E5979" s="5" t="str">
        <f>MIN(INT(C5979*5),4)</f>
      </c>
      <c r="F5979" s="5" t="str">
        <f>D5979*5+E5979</f>
      </c>
    </row>
    <row r="5980">
      <c r="A5980" s="6">
        <v>932</v>
      </c>
      <c r="B5980" s="6" t="str">
        <f>'Lineal Mixto'!$C$936</f>
      </c>
      <c r="C5980" s="6" t="str">
        <f>'Lineal Mixto'!$C$937</f>
      </c>
      <c r="D5980" s="6" t="str">
        <f>MIN(INT(B5980*5),4)</f>
      </c>
      <c r="E5980" s="6" t="str">
        <f>MIN(INT(C5980*5),4)</f>
      </c>
      <c r="F5980" s="6" t="str">
        <f>D5980*5+E5980</f>
      </c>
    </row>
    <row r="5981">
      <c r="A5981" s="5">
        <v>933</v>
      </c>
      <c r="B5981" s="5" t="str">
        <f>'Lineal Mixto'!$C$937</f>
      </c>
      <c r="C5981" s="5" t="str">
        <f>'Lineal Mixto'!$C$938</f>
      </c>
      <c r="D5981" s="5" t="str">
        <f>MIN(INT(B5981*5),4)</f>
      </c>
      <c r="E5981" s="5" t="str">
        <f>MIN(INT(C5981*5),4)</f>
      </c>
      <c r="F5981" s="5" t="str">
        <f>D5981*5+E5981</f>
      </c>
    </row>
    <row r="5982">
      <c r="A5982" s="6">
        <v>934</v>
      </c>
      <c r="B5982" s="6" t="str">
        <f>'Lineal Mixto'!$C$938</f>
      </c>
      <c r="C5982" s="6" t="str">
        <f>'Lineal Mixto'!$C$939</f>
      </c>
      <c r="D5982" s="6" t="str">
        <f>MIN(INT(B5982*5),4)</f>
      </c>
      <c r="E5982" s="6" t="str">
        <f>MIN(INT(C5982*5),4)</f>
      </c>
      <c r="F5982" s="6" t="str">
        <f>D5982*5+E5982</f>
      </c>
    </row>
    <row r="5983">
      <c r="A5983" s="5">
        <v>935</v>
      </c>
      <c r="B5983" s="5" t="str">
        <f>'Lineal Mixto'!$C$939</f>
      </c>
      <c r="C5983" s="5" t="str">
        <f>'Lineal Mixto'!$C$940</f>
      </c>
      <c r="D5983" s="5" t="str">
        <f>MIN(INT(B5983*5),4)</f>
      </c>
      <c r="E5983" s="5" t="str">
        <f>MIN(INT(C5983*5),4)</f>
      </c>
      <c r="F5983" s="5" t="str">
        <f>D5983*5+E5983</f>
      </c>
    </row>
    <row r="5984">
      <c r="A5984" s="6">
        <v>936</v>
      </c>
      <c r="B5984" s="6" t="str">
        <f>'Lineal Mixto'!$C$940</f>
      </c>
      <c r="C5984" s="6" t="str">
        <f>'Lineal Mixto'!$C$941</f>
      </c>
      <c r="D5984" s="6" t="str">
        <f>MIN(INT(B5984*5),4)</f>
      </c>
      <c r="E5984" s="6" t="str">
        <f>MIN(INT(C5984*5),4)</f>
      </c>
      <c r="F5984" s="6" t="str">
        <f>D5984*5+E5984</f>
      </c>
    </row>
    <row r="5985">
      <c r="A5985" s="5">
        <v>937</v>
      </c>
      <c r="B5985" s="5" t="str">
        <f>'Lineal Mixto'!$C$941</f>
      </c>
      <c r="C5985" s="5" t="str">
        <f>'Lineal Mixto'!$C$942</f>
      </c>
      <c r="D5985" s="5" t="str">
        <f>MIN(INT(B5985*5),4)</f>
      </c>
      <c r="E5985" s="5" t="str">
        <f>MIN(INT(C5985*5),4)</f>
      </c>
      <c r="F5985" s="5" t="str">
        <f>D5985*5+E5985</f>
      </c>
    </row>
    <row r="5986">
      <c r="A5986" s="6">
        <v>938</v>
      </c>
      <c r="B5986" s="6" t="str">
        <f>'Lineal Mixto'!$C$942</f>
      </c>
      <c r="C5986" s="6" t="str">
        <f>'Lineal Mixto'!$C$943</f>
      </c>
      <c r="D5986" s="6" t="str">
        <f>MIN(INT(B5986*5),4)</f>
      </c>
      <c r="E5986" s="6" t="str">
        <f>MIN(INT(C5986*5),4)</f>
      </c>
      <c r="F5986" s="6" t="str">
        <f>D5986*5+E5986</f>
      </c>
    </row>
    <row r="5987">
      <c r="A5987" s="5">
        <v>939</v>
      </c>
      <c r="B5987" s="5" t="str">
        <f>'Lineal Mixto'!$C$943</f>
      </c>
      <c r="C5987" s="5" t="str">
        <f>'Lineal Mixto'!$C$944</f>
      </c>
      <c r="D5987" s="5" t="str">
        <f>MIN(INT(B5987*5),4)</f>
      </c>
      <c r="E5987" s="5" t="str">
        <f>MIN(INT(C5987*5),4)</f>
      </c>
      <c r="F5987" s="5" t="str">
        <f>D5987*5+E5987</f>
      </c>
    </row>
    <row r="5988">
      <c r="A5988" s="6">
        <v>940</v>
      </c>
      <c r="B5988" s="6" t="str">
        <f>'Lineal Mixto'!$C$944</f>
      </c>
      <c r="C5988" s="6" t="str">
        <f>'Lineal Mixto'!$C$945</f>
      </c>
      <c r="D5988" s="6" t="str">
        <f>MIN(INT(B5988*5),4)</f>
      </c>
      <c r="E5988" s="6" t="str">
        <f>MIN(INT(C5988*5),4)</f>
      </c>
      <c r="F5988" s="6" t="str">
        <f>D5988*5+E5988</f>
      </c>
    </row>
    <row r="5989">
      <c r="A5989" s="5">
        <v>941</v>
      </c>
      <c r="B5989" s="5" t="str">
        <f>'Lineal Mixto'!$C$945</f>
      </c>
      <c r="C5989" s="5" t="str">
        <f>'Lineal Mixto'!$C$946</f>
      </c>
      <c r="D5989" s="5" t="str">
        <f>MIN(INT(B5989*5),4)</f>
      </c>
      <c r="E5989" s="5" t="str">
        <f>MIN(INT(C5989*5),4)</f>
      </c>
      <c r="F5989" s="5" t="str">
        <f>D5989*5+E5989</f>
      </c>
    </row>
    <row r="5990">
      <c r="A5990" s="6">
        <v>942</v>
      </c>
      <c r="B5990" s="6" t="str">
        <f>'Lineal Mixto'!$C$946</f>
      </c>
      <c r="C5990" s="6" t="str">
        <f>'Lineal Mixto'!$C$947</f>
      </c>
      <c r="D5990" s="6" t="str">
        <f>MIN(INT(B5990*5),4)</f>
      </c>
      <c r="E5990" s="6" t="str">
        <f>MIN(INT(C5990*5),4)</f>
      </c>
      <c r="F5990" s="6" t="str">
        <f>D5990*5+E5990</f>
      </c>
    </row>
    <row r="5991">
      <c r="A5991" s="5">
        <v>943</v>
      </c>
      <c r="B5991" s="5" t="str">
        <f>'Lineal Mixto'!$C$947</f>
      </c>
      <c r="C5991" s="5" t="str">
        <f>'Lineal Mixto'!$C$948</f>
      </c>
      <c r="D5991" s="5" t="str">
        <f>MIN(INT(B5991*5),4)</f>
      </c>
      <c r="E5991" s="5" t="str">
        <f>MIN(INT(C5991*5),4)</f>
      </c>
      <c r="F5991" s="5" t="str">
        <f>D5991*5+E5991</f>
      </c>
    </row>
    <row r="5992">
      <c r="A5992" s="6">
        <v>944</v>
      </c>
      <c r="B5992" s="6" t="str">
        <f>'Lineal Mixto'!$C$948</f>
      </c>
      <c r="C5992" s="6" t="str">
        <f>'Lineal Mixto'!$C$949</f>
      </c>
      <c r="D5992" s="6" t="str">
        <f>MIN(INT(B5992*5),4)</f>
      </c>
      <c r="E5992" s="6" t="str">
        <f>MIN(INT(C5992*5),4)</f>
      </c>
      <c r="F5992" s="6" t="str">
        <f>D5992*5+E5992</f>
      </c>
    </row>
    <row r="5993">
      <c r="A5993" s="5">
        <v>945</v>
      </c>
      <c r="B5993" s="5" t="str">
        <f>'Lineal Mixto'!$C$949</f>
      </c>
      <c r="C5993" s="5" t="str">
        <f>'Lineal Mixto'!$C$950</f>
      </c>
      <c r="D5993" s="5" t="str">
        <f>MIN(INT(B5993*5),4)</f>
      </c>
      <c r="E5993" s="5" t="str">
        <f>MIN(INT(C5993*5),4)</f>
      </c>
      <c r="F5993" s="5" t="str">
        <f>D5993*5+E5993</f>
      </c>
    </row>
    <row r="5994">
      <c r="A5994" s="6">
        <v>946</v>
      </c>
      <c r="B5994" s="6" t="str">
        <f>'Lineal Mixto'!$C$950</f>
      </c>
      <c r="C5994" s="6" t="str">
        <f>'Lineal Mixto'!$C$951</f>
      </c>
      <c r="D5994" s="6" t="str">
        <f>MIN(INT(B5994*5),4)</f>
      </c>
      <c r="E5994" s="6" t="str">
        <f>MIN(INT(C5994*5),4)</f>
      </c>
      <c r="F5994" s="6" t="str">
        <f>D5994*5+E5994</f>
      </c>
    </row>
    <row r="5995">
      <c r="A5995" s="5">
        <v>947</v>
      </c>
      <c r="B5995" s="5" t="str">
        <f>'Lineal Mixto'!$C$951</f>
      </c>
      <c r="C5995" s="5" t="str">
        <f>'Lineal Mixto'!$C$952</f>
      </c>
      <c r="D5995" s="5" t="str">
        <f>MIN(INT(B5995*5),4)</f>
      </c>
      <c r="E5995" s="5" t="str">
        <f>MIN(INT(C5995*5),4)</f>
      </c>
      <c r="F5995" s="5" t="str">
        <f>D5995*5+E5995</f>
      </c>
    </row>
    <row r="5996">
      <c r="A5996" s="6">
        <v>948</v>
      </c>
      <c r="B5996" s="6" t="str">
        <f>'Lineal Mixto'!$C$952</f>
      </c>
      <c r="C5996" s="6" t="str">
        <f>'Lineal Mixto'!$C$953</f>
      </c>
      <c r="D5996" s="6" t="str">
        <f>MIN(INT(B5996*5),4)</f>
      </c>
      <c r="E5996" s="6" t="str">
        <f>MIN(INT(C5996*5),4)</f>
      </c>
      <c r="F5996" s="6" t="str">
        <f>D5996*5+E5996</f>
      </c>
    </row>
    <row r="5997">
      <c r="A5997" s="5">
        <v>949</v>
      </c>
      <c r="B5997" s="5" t="str">
        <f>'Lineal Mixto'!$C$953</f>
      </c>
      <c r="C5997" s="5" t="str">
        <f>'Lineal Mixto'!$C$954</f>
      </c>
      <c r="D5997" s="5" t="str">
        <f>MIN(INT(B5997*5),4)</f>
      </c>
      <c r="E5997" s="5" t="str">
        <f>MIN(INT(C5997*5),4)</f>
      </c>
      <c r="F5997" s="5" t="str">
        <f>D5997*5+E5997</f>
      </c>
    </row>
    <row r="5998">
      <c r="A5998" s="6">
        <v>950</v>
      </c>
      <c r="B5998" s="6" t="str">
        <f>'Lineal Mixto'!$C$954</f>
      </c>
      <c r="C5998" s="6" t="str">
        <f>'Lineal Mixto'!$C$955</f>
      </c>
      <c r="D5998" s="6" t="str">
        <f>MIN(INT(B5998*5),4)</f>
      </c>
      <c r="E5998" s="6" t="str">
        <f>MIN(INT(C5998*5),4)</f>
      </c>
      <c r="F5998" s="6" t="str">
        <f>D5998*5+E5998</f>
      </c>
    </row>
    <row r="5999">
      <c r="A5999" s="5">
        <v>951</v>
      </c>
      <c r="B5999" s="5" t="str">
        <f>'Lineal Mixto'!$C$955</f>
      </c>
      <c r="C5999" s="5" t="str">
        <f>'Lineal Mixto'!$C$956</f>
      </c>
      <c r="D5999" s="5" t="str">
        <f>MIN(INT(B5999*5),4)</f>
      </c>
      <c r="E5999" s="5" t="str">
        <f>MIN(INT(C5999*5),4)</f>
      </c>
      <c r="F5999" s="5" t="str">
        <f>D5999*5+E5999</f>
      </c>
    </row>
    <row r="6000">
      <c r="A6000" s="6">
        <v>952</v>
      </c>
      <c r="B6000" s="6" t="str">
        <f>'Lineal Mixto'!$C$956</f>
      </c>
      <c r="C6000" s="6" t="str">
        <f>'Lineal Mixto'!$C$957</f>
      </c>
      <c r="D6000" s="6" t="str">
        <f>MIN(INT(B6000*5),4)</f>
      </c>
      <c r="E6000" s="6" t="str">
        <f>MIN(INT(C6000*5),4)</f>
      </c>
      <c r="F6000" s="6" t="str">
        <f>D6000*5+E6000</f>
      </c>
    </row>
    <row r="6001">
      <c r="A6001" s="5">
        <v>953</v>
      </c>
      <c r="B6001" s="5" t="str">
        <f>'Lineal Mixto'!$C$957</f>
      </c>
      <c r="C6001" s="5" t="str">
        <f>'Lineal Mixto'!$C$958</f>
      </c>
      <c r="D6001" s="5" t="str">
        <f>MIN(INT(B6001*5),4)</f>
      </c>
      <c r="E6001" s="5" t="str">
        <f>MIN(INT(C6001*5),4)</f>
      </c>
      <c r="F6001" s="5" t="str">
        <f>D6001*5+E6001</f>
      </c>
    </row>
    <row r="6002">
      <c r="A6002" s="6">
        <v>954</v>
      </c>
      <c r="B6002" s="6" t="str">
        <f>'Lineal Mixto'!$C$958</f>
      </c>
      <c r="C6002" s="6" t="str">
        <f>'Lineal Mixto'!$C$959</f>
      </c>
      <c r="D6002" s="6" t="str">
        <f>MIN(INT(B6002*5),4)</f>
      </c>
      <c r="E6002" s="6" t="str">
        <f>MIN(INT(C6002*5),4)</f>
      </c>
      <c r="F6002" s="6" t="str">
        <f>D6002*5+E6002</f>
      </c>
    </row>
    <row r="6003">
      <c r="A6003" s="5">
        <v>955</v>
      </c>
      <c r="B6003" s="5" t="str">
        <f>'Lineal Mixto'!$C$959</f>
      </c>
      <c r="C6003" s="5" t="str">
        <f>'Lineal Mixto'!$C$960</f>
      </c>
      <c r="D6003" s="5" t="str">
        <f>MIN(INT(B6003*5),4)</f>
      </c>
      <c r="E6003" s="5" t="str">
        <f>MIN(INT(C6003*5),4)</f>
      </c>
      <c r="F6003" s="5" t="str">
        <f>D6003*5+E6003</f>
      </c>
    </row>
    <row r="6004">
      <c r="A6004" s="6">
        <v>956</v>
      </c>
      <c r="B6004" s="6" t="str">
        <f>'Lineal Mixto'!$C$960</f>
      </c>
      <c r="C6004" s="6" t="str">
        <f>'Lineal Mixto'!$C$961</f>
      </c>
      <c r="D6004" s="6" t="str">
        <f>MIN(INT(B6004*5),4)</f>
      </c>
      <c r="E6004" s="6" t="str">
        <f>MIN(INT(C6004*5),4)</f>
      </c>
      <c r="F6004" s="6" t="str">
        <f>D6004*5+E6004</f>
      </c>
    </row>
    <row r="6005">
      <c r="A6005" s="5">
        <v>957</v>
      </c>
      <c r="B6005" s="5" t="str">
        <f>'Lineal Mixto'!$C$961</f>
      </c>
      <c r="C6005" s="5" t="str">
        <f>'Lineal Mixto'!$C$962</f>
      </c>
      <c r="D6005" s="5" t="str">
        <f>MIN(INT(B6005*5),4)</f>
      </c>
      <c r="E6005" s="5" t="str">
        <f>MIN(INT(C6005*5),4)</f>
      </c>
      <c r="F6005" s="5" t="str">
        <f>D6005*5+E6005</f>
      </c>
    </row>
    <row r="6006">
      <c r="A6006" s="6">
        <v>958</v>
      </c>
      <c r="B6006" s="6" t="str">
        <f>'Lineal Mixto'!$C$962</f>
      </c>
      <c r="C6006" s="6" t="str">
        <f>'Lineal Mixto'!$C$963</f>
      </c>
      <c r="D6006" s="6" t="str">
        <f>MIN(INT(B6006*5),4)</f>
      </c>
      <c r="E6006" s="6" t="str">
        <f>MIN(INT(C6006*5),4)</f>
      </c>
      <c r="F6006" s="6" t="str">
        <f>D6006*5+E6006</f>
      </c>
    </row>
    <row r="6007">
      <c r="A6007" s="5">
        <v>959</v>
      </c>
      <c r="B6007" s="5" t="str">
        <f>'Lineal Mixto'!$C$963</f>
      </c>
      <c r="C6007" s="5" t="str">
        <f>'Lineal Mixto'!$C$964</f>
      </c>
      <c r="D6007" s="5" t="str">
        <f>MIN(INT(B6007*5),4)</f>
      </c>
      <c r="E6007" s="5" t="str">
        <f>MIN(INT(C6007*5),4)</f>
      </c>
      <c r="F6007" s="5" t="str">
        <f>D6007*5+E6007</f>
      </c>
    </row>
    <row r="6008">
      <c r="A6008" s="6">
        <v>960</v>
      </c>
      <c r="B6008" s="6" t="str">
        <f>'Lineal Mixto'!$C$964</f>
      </c>
      <c r="C6008" s="6" t="str">
        <f>'Lineal Mixto'!$C$965</f>
      </c>
      <c r="D6008" s="6" t="str">
        <f>MIN(INT(B6008*5),4)</f>
      </c>
      <c r="E6008" s="6" t="str">
        <f>MIN(INT(C6008*5),4)</f>
      </c>
      <c r="F6008" s="6" t="str">
        <f>D6008*5+E6008</f>
      </c>
    </row>
    <row r="6009">
      <c r="A6009" s="5">
        <v>961</v>
      </c>
      <c r="B6009" s="5" t="str">
        <f>'Lineal Mixto'!$C$965</f>
      </c>
      <c r="C6009" s="5" t="str">
        <f>'Lineal Mixto'!$C$966</f>
      </c>
      <c r="D6009" s="5" t="str">
        <f>MIN(INT(B6009*5),4)</f>
      </c>
      <c r="E6009" s="5" t="str">
        <f>MIN(INT(C6009*5),4)</f>
      </c>
      <c r="F6009" s="5" t="str">
        <f>D6009*5+E6009</f>
      </c>
    </row>
    <row r="6010">
      <c r="A6010" s="6">
        <v>962</v>
      </c>
      <c r="B6010" s="6" t="str">
        <f>'Lineal Mixto'!$C$966</f>
      </c>
      <c r="C6010" s="6" t="str">
        <f>'Lineal Mixto'!$C$967</f>
      </c>
      <c r="D6010" s="6" t="str">
        <f>MIN(INT(B6010*5),4)</f>
      </c>
      <c r="E6010" s="6" t="str">
        <f>MIN(INT(C6010*5),4)</f>
      </c>
      <c r="F6010" s="6" t="str">
        <f>D6010*5+E6010</f>
      </c>
    </row>
    <row r="6011">
      <c r="A6011" s="5">
        <v>963</v>
      </c>
      <c r="B6011" s="5" t="str">
        <f>'Lineal Mixto'!$C$967</f>
      </c>
      <c r="C6011" s="5" t="str">
        <f>'Lineal Mixto'!$C$968</f>
      </c>
      <c r="D6011" s="5" t="str">
        <f>MIN(INT(B6011*5),4)</f>
      </c>
      <c r="E6011" s="5" t="str">
        <f>MIN(INT(C6011*5),4)</f>
      </c>
      <c r="F6011" s="5" t="str">
        <f>D6011*5+E6011</f>
      </c>
    </row>
    <row r="6012">
      <c r="A6012" s="6">
        <v>964</v>
      </c>
      <c r="B6012" s="6" t="str">
        <f>'Lineal Mixto'!$C$968</f>
      </c>
      <c r="C6012" s="6" t="str">
        <f>'Lineal Mixto'!$C$969</f>
      </c>
      <c r="D6012" s="6" t="str">
        <f>MIN(INT(B6012*5),4)</f>
      </c>
      <c r="E6012" s="6" t="str">
        <f>MIN(INT(C6012*5),4)</f>
      </c>
      <c r="F6012" s="6" t="str">
        <f>D6012*5+E6012</f>
      </c>
    </row>
    <row r="6013">
      <c r="A6013" s="5">
        <v>965</v>
      </c>
      <c r="B6013" s="5" t="str">
        <f>'Lineal Mixto'!$C$969</f>
      </c>
      <c r="C6013" s="5" t="str">
        <f>'Lineal Mixto'!$C$970</f>
      </c>
      <c r="D6013" s="5" t="str">
        <f>MIN(INT(B6013*5),4)</f>
      </c>
      <c r="E6013" s="5" t="str">
        <f>MIN(INT(C6013*5),4)</f>
      </c>
      <c r="F6013" s="5" t="str">
        <f>D6013*5+E6013</f>
      </c>
    </row>
    <row r="6014">
      <c r="A6014" s="6">
        <v>966</v>
      </c>
      <c r="B6014" s="6" t="str">
        <f>'Lineal Mixto'!$C$970</f>
      </c>
      <c r="C6014" s="6" t="str">
        <f>'Lineal Mixto'!$C$971</f>
      </c>
      <c r="D6014" s="6" t="str">
        <f>MIN(INT(B6014*5),4)</f>
      </c>
      <c r="E6014" s="6" t="str">
        <f>MIN(INT(C6014*5),4)</f>
      </c>
      <c r="F6014" s="6" t="str">
        <f>D6014*5+E6014</f>
      </c>
    </row>
    <row r="6015">
      <c r="A6015" s="5">
        <v>967</v>
      </c>
      <c r="B6015" s="5" t="str">
        <f>'Lineal Mixto'!$C$971</f>
      </c>
      <c r="C6015" s="5" t="str">
        <f>'Lineal Mixto'!$C$972</f>
      </c>
      <c r="D6015" s="5" t="str">
        <f>MIN(INT(B6015*5),4)</f>
      </c>
      <c r="E6015" s="5" t="str">
        <f>MIN(INT(C6015*5),4)</f>
      </c>
      <c r="F6015" s="5" t="str">
        <f>D6015*5+E6015</f>
      </c>
    </row>
    <row r="6016">
      <c r="A6016" s="6">
        <v>968</v>
      </c>
      <c r="B6016" s="6" t="str">
        <f>'Lineal Mixto'!$C$972</f>
      </c>
      <c r="C6016" s="6" t="str">
        <f>'Lineal Mixto'!$C$973</f>
      </c>
      <c r="D6016" s="6" t="str">
        <f>MIN(INT(B6016*5),4)</f>
      </c>
      <c r="E6016" s="6" t="str">
        <f>MIN(INT(C6016*5),4)</f>
      </c>
      <c r="F6016" s="6" t="str">
        <f>D6016*5+E6016</f>
      </c>
    </row>
    <row r="6017">
      <c r="A6017" s="5">
        <v>969</v>
      </c>
      <c r="B6017" s="5" t="str">
        <f>'Lineal Mixto'!$C$973</f>
      </c>
      <c r="C6017" s="5" t="str">
        <f>'Lineal Mixto'!$C$974</f>
      </c>
      <c r="D6017" s="5" t="str">
        <f>MIN(INT(B6017*5),4)</f>
      </c>
      <c r="E6017" s="5" t="str">
        <f>MIN(INT(C6017*5),4)</f>
      </c>
      <c r="F6017" s="5" t="str">
        <f>D6017*5+E6017</f>
      </c>
    </row>
    <row r="6018">
      <c r="A6018" s="6">
        <v>970</v>
      </c>
      <c r="B6018" s="6" t="str">
        <f>'Lineal Mixto'!$C$974</f>
      </c>
      <c r="C6018" s="6" t="str">
        <f>'Lineal Mixto'!$C$975</f>
      </c>
      <c r="D6018" s="6" t="str">
        <f>MIN(INT(B6018*5),4)</f>
      </c>
      <c r="E6018" s="6" t="str">
        <f>MIN(INT(C6018*5),4)</f>
      </c>
      <c r="F6018" s="6" t="str">
        <f>D6018*5+E6018</f>
      </c>
    </row>
    <row r="6019">
      <c r="A6019" s="5">
        <v>971</v>
      </c>
      <c r="B6019" s="5" t="str">
        <f>'Lineal Mixto'!$C$975</f>
      </c>
      <c r="C6019" s="5" t="str">
        <f>'Lineal Mixto'!$C$976</f>
      </c>
      <c r="D6019" s="5" t="str">
        <f>MIN(INT(B6019*5),4)</f>
      </c>
      <c r="E6019" s="5" t="str">
        <f>MIN(INT(C6019*5),4)</f>
      </c>
      <c r="F6019" s="5" t="str">
        <f>D6019*5+E6019</f>
      </c>
    </row>
    <row r="6020">
      <c r="A6020" s="6">
        <v>972</v>
      </c>
      <c r="B6020" s="6" t="str">
        <f>'Lineal Mixto'!$C$976</f>
      </c>
      <c r="C6020" s="6" t="str">
        <f>'Lineal Mixto'!$C$977</f>
      </c>
      <c r="D6020" s="6" t="str">
        <f>MIN(INT(B6020*5),4)</f>
      </c>
      <c r="E6020" s="6" t="str">
        <f>MIN(INT(C6020*5),4)</f>
      </c>
      <c r="F6020" s="6" t="str">
        <f>D6020*5+E6020</f>
      </c>
    </row>
    <row r="6021">
      <c r="A6021" s="5">
        <v>973</v>
      </c>
      <c r="B6021" s="5" t="str">
        <f>'Lineal Mixto'!$C$977</f>
      </c>
      <c r="C6021" s="5" t="str">
        <f>'Lineal Mixto'!$C$978</f>
      </c>
      <c r="D6021" s="5" t="str">
        <f>MIN(INT(B6021*5),4)</f>
      </c>
      <c r="E6021" s="5" t="str">
        <f>MIN(INT(C6021*5),4)</f>
      </c>
      <c r="F6021" s="5" t="str">
        <f>D6021*5+E6021</f>
      </c>
    </row>
    <row r="6022">
      <c r="A6022" s="6">
        <v>974</v>
      </c>
      <c r="B6022" s="6" t="str">
        <f>'Lineal Mixto'!$C$978</f>
      </c>
      <c r="C6022" s="6" t="str">
        <f>'Lineal Mixto'!$C$979</f>
      </c>
      <c r="D6022" s="6" t="str">
        <f>MIN(INT(B6022*5),4)</f>
      </c>
      <c r="E6022" s="6" t="str">
        <f>MIN(INT(C6022*5),4)</f>
      </c>
      <c r="F6022" s="6" t="str">
        <f>D6022*5+E6022</f>
      </c>
    </row>
    <row r="6023">
      <c r="A6023" s="5">
        <v>975</v>
      </c>
      <c r="B6023" s="5" t="str">
        <f>'Lineal Mixto'!$C$979</f>
      </c>
      <c r="C6023" s="5" t="str">
        <f>'Lineal Mixto'!$C$980</f>
      </c>
      <c r="D6023" s="5" t="str">
        <f>MIN(INT(B6023*5),4)</f>
      </c>
      <c r="E6023" s="5" t="str">
        <f>MIN(INT(C6023*5),4)</f>
      </c>
      <c r="F6023" s="5" t="str">
        <f>D6023*5+E6023</f>
      </c>
    </row>
    <row r="6024">
      <c r="A6024" s="6">
        <v>976</v>
      </c>
      <c r="B6024" s="6" t="str">
        <f>'Lineal Mixto'!$C$980</f>
      </c>
      <c r="C6024" s="6" t="str">
        <f>'Lineal Mixto'!$C$981</f>
      </c>
      <c r="D6024" s="6" t="str">
        <f>MIN(INT(B6024*5),4)</f>
      </c>
      <c r="E6024" s="6" t="str">
        <f>MIN(INT(C6024*5),4)</f>
      </c>
      <c r="F6024" s="6" t="str">
        <f>D6024*5+E6024</f>
      </c>
    </row>
    <row r="6025">
      <c r="A6025" s="5">
        <v>977</v>
      </c>
      <c r="B6025" s="5" t="str">
        <f>'Lineal Mixto'!$C$981</f>
      </c>
      <c r="C6025" s="5" t="str">
        <f>'Lineal Mixto'!$C$982</f>
      </c>
      <c r="D6025" s="5" t="str">
        <f>MIN(INT(B6025*5),4)</f>
      </c>
      <c r="E6025" s="5" t="str">
        <f>MIN(INT(C6025*5),4)</f>
      </c>
      <c r="F6025" s="5" t="str">
        <f>D6025*5+E6025</f>
      </c>
    </row>
    <row r="6026">
      <c r="A6026" s="6">
        <v>978</v>
      </c>
      <c r="B6026" s="6" t="str">
        <f>'Lineal Mixto'!$C$982</f>
      </c>
      <c r="C6026" s="6" t="str">
        <f>'Lineal Mixto'!$C$983</f>
      </c>
      <c r="D6026" s="6" t="str">
        <f>MIN(INT(B6026*5),4)</f>
      </c>
      <c r="E6026" s="6" t="str">
        <f>MIN(INT(C6026*5),4)</f>
      </c>
      <c r="F6026" s="6" t="str">
        <f>D6026*5+E6026</f>
      </c>
    </row>
    <row r="6027">
      <c r="A6027" s="5">
        <v>979</v>
      </c>
      <c r="B6027" s="5" t="str">
        <f>'Lineal Mixto'!$C$983</f>
      </c>
      <c r="C6027" s="5" t="str">
        <f>'Lineal Mixto'!$C$984</f>
      </c>
      <c r="D6027" s="5" t="str">
        <f>MIN(INT(B6027*5),4)</f>
      </c>
      <c r="E6027" s="5" t="str">
        <f>MIN(INT(C6027*5),4)</f>
      </c>
      <c r="F6027" s="5" t="str">
        <f>D6027*5+E6027</f>
      </c>
    </row>
    <row r="6028">
      <c r="A6028" s="6">
        <v>980</v>
      </c>
      <c r="B6028" s="6" t="str">
        <f>'Lineal Mixto'!$C$984</f>
      </c>
      <c r="C6028" s="6" t="str">
        <f>'Lineal Mixto'!$C$985</f>
      </c>
      <c r="D6028" s="6" t="str">
        <f>MIN(INT(B6028*5),4)</f>
      </c>
      <c r="E6028" s="6" t="str">
        <f>MIN(INT(C6028*5),4)</f>
      </c>
      <c r="F6028" s="6" t="str">
        <f>D6028*5+E6028</f>
      </c>
    </row>
    <row r="6029">
      <c r="A6029" s="5">
        <v>981</v>
      </c>
      <c r="B6029" s="5" t="str">
        <f>'Lineal Mixto'!$C$985</f>
      </c>
      <c r="C6029" s="5" t="str">
        <f>'Lineal Mixto'!$C$986</f>
      </c>
      <c r="D6029" s="5" t="str">
        <f>MIN(INT(B6029*5),4)</f>
      </c>
      <c r="E6029" s="5" t="str">
        <f>MIN(INT(C6029*5),4)</f>
      </c>
      <c r="F6029" s="5" t="str">
        <f>D6029*5+E6029</f>
      </c>
    </row>
    <row r="6030">
      <c r="A6030" s="6">
        <v>982</v>
      </c>
      <c r="B6030" s="6" t="str">
        <f>'Lineal Mixto'!$C$986</f>
      </c>
      <c r="C6030" s="6" t="str">
        <f>'Lineal Mixto'!$C$987</f>
      </c>
      <c r="D6030" s="6" t="str">
        <f>MIN(INT(B6030*5),4)</f>
      </c>
      <c r="E6030" s="6" t="str">
        <f>MIN(INT(C6030*5),4)</f>
      </c>
      <c r="F6030" s="6" t="str">
        <f>D6030*5+E6030</f>
      </c>
    </row>
    <row r="6031">
      <c r="A6031" s="5">
        <v>983</v>
      </c>
      <c r="B6031" s="5" t="str">
        <f>'Lineal Mixto'!$C$987</f>
      </c>
      <c r="C6031" s="5" t="str">
        <f>'Lineal Mixto'!$C$988</f>
      </c>
      <c r="D6031" s="5" t="str">
        <f>MIN(INT(B6031*5),4)</f>
      </c>
      <c r="E6031" s="5" t="str">
        <f>MIN(INT(C6031*5),4)</f>
      </c>
      <c r="F6031" s="5" t="str">
        <f>D6031*5+E6031</f>
      </c>
    </row>
    <row r="6032">
      <c r="A6032" s="6">
        <v>984</v>
      </c>
      <c r="B6032" s="6" t="str">
        <f>'Lineal Mixto'!$C$988</f>
      </c>
      <c r="C6032" s="6" t="str">
        <f>'Lineal Mixto'!$C$989</f>
      </c>
      <c r="D6032" s="6" t="str">
        <f>MIN(INT(B6032*5),4)</f>
      </c>
      <c r="E6032" s="6" t="str">
        <f>MIN(INT(C6032*5),4)</f>
      </c>
      <c r="F6032" s="6" t="str">
        <f>D6032*5+E6032</f>
      </c>
    </row>
    <row r="6033">
      <c r="A6033" s="5">
        <v>985</v>
      </c>
      <c r="B6033" s="5" t="str">
        <f>'Lineal Mixto'!$C$989</f>
      </c>
      <c r="C6033" s="5" t="str">
        <f>'Lineal Mixto'!$C$990</f>
      </c>
      <c r="D6033" s="5" t="str">
        <f>MIN(INT(B6033*5),4)</f>
      </c>
      <c r="E6033" s="5" t="str">
        <f>MIN(INT(C6033*5),4)</f>
      </c>
      <c r="F6033" s="5" t="str">
        <f>D6033*5+E6033</f>
      </c>
    </row>
    <row r="6034">
      <c r="A6034" s="6">
        <v>986</v>
      </c>
      <c r="B6034" s="6" t="str">
        <f>'Lineal Mixto'!$C$990</f>
      </c>
      <c r="C6034" s="6" t="str">
        <f>'Lineal Mixto'!$C$991</f>
      </c>
      <c r="D6034" s="6" t="str">
        <f>MIN(INT(B6034*5),4)</f>
      </c>
      <c r="E6034" s="6" t="str">
        <f>MIN(INT(C6034*5),4)</f>
      </c>
      <c r="F6034" s="6" t="str">
        <f>D6034*5+E6034</f>
      </c>
    </row>
    <row r="6035">
      <c r="A6035" s="5">
        <v>987</v>
      </c>
      <c r="B6035" s="5" t="str">
        <f>'Lineal Mixto'!$C$991</f>
      </c>
      <c r="C6035" s="5" t="str">
        <f>'Lineal Mixto'!$C$992</f>
      </c>
      <c r="D6035" s="5" t="str">
        <f>MIN(INT(B6035*5),4)</f>
      </c>
      <c r="E6035" s="5" t="str">
        <f>MIN(INT(C6035*5),4)</f>
      </c>
      <c r="F6035" s="5" t="str">
        <f>D6035*5+E6035</f>
      </c>
    </row>
    <row r="6036">
      <c r="A6036" s="6">
        <v>988</v>
      </c>
      <c r="B6036" s="6" t="str">
        <f>'Lineal Mixto'!$C$992</f>
      </c>
      <c r="C6036" s="6" t="str">
        <f>'Lineal Mixto'!$C$993</f>
      </c>
      <c r="D6036" s="6" t="str">
        <f>MIN(INT(B6036*5),4)</f>
      </c>
      <c r="E6036" s="6" t="str">
        <f>MIN(INT(C6036*5),4)</f>
      </c>
      <c r="F6036" s="6" t="str">
        <f>D6036*5+E6036</f>
      </c>
    </row>
    <row r="6037">
      <c r="A6037" s="5">
        <v>989</v>
      </c>
      <c r="B6037" s="5" t="str">
        <f>'Lineal Mixto'!$C$993</f>
      </c>
      <c r="C6037" s="5" t="str">
        <f>'Lineal Mixto'!$C$994</f>
      </c>
      <c r="D6037" s="5" t="str">
        <f>MIN(INT(B6037*5),4)</f>
      </c>
      <c r="E6037" s="5" t="str">
        <f>MIN(INT(C6037*5),4)</f>
      </c>
      <c r="F6037" s="5" t="str">
        <f>D6037*5+E6037</f>
      </c>
    </row>
    <row r="6038">
      <c r="A6038" s="6">
        <v>990</v>
      </c>
      <c r="B6038" s="6" t="str">
        <f>'Lineal Mixto'!$C$994</f>
      </c>
      <c r="C6038" s="6" t="str">
        <f>'Lineal Mixto'!$C$995</f>
      </c>
      <c r="D6038" s="6" t="str">
        <f>MIN(INT(B6038*5),4)</f>
      </c>
      <c r="E6038" s="6" t="str">
        <f>MIN(INT(C6038*5),4)</f>
      </c>
      <c r="F6038" s="6" t="str">
        <f>D6038*5+E6038</f>
      </c>
    </row>
    <row r="6039">
      <c r="A6039" s="5">
        <v>991</v>
      </c>
      <c r="B6039" s="5" t="str">
        <f>'Lineal Mixto'!$C$995</f>
      </c>
      <c r="C6039" s="5" t="str">
        <f>'Lineal Mixto'!$C$996</f>
      </c>
      <c r="D6039" s="5" t="str">
        <f>MIN(INT(B6039*5),4)</f>
      </c>
      <c r="E6039" s="5" t="str">
        <f>MIN(INT(C6039*5),4)</f>
      </c>
      <c r="F6039" s="5" t="str">
        <f>D6039*5+E6039</f>
      </c>
    </row>
    <row r="6040">
      <c r="A6040" s="6">
        <v>992</v>
      </c>
      <c r="B6040" s="6" t="str">
        <f>'Lineal Mixto'!$C$996</f>
      </c>
      <c r="C6040" s="6" t="str">
        <f>'Lineal Mixto'!$C$997</f>
      </c>
      <c r="D6040" s="6" t="str">
        <f>MIN(INT(B6040*5),4)</f>
      </c>
      <c r="E6040" s="6" t="str">
        <f>MIN(INT(C6040*5),4)</f>
      </c>
      <c r="F6040" s="6" t="str">
        <f>D6040*5+E6040</f>
      </c>
    </row>
    <row r="6041">
      <c r="A6041" s="5">
        <v>993</v>
      </c>
      <c r="B6041" s="5" t="str">
        <f>'Lineal Mixto'!$C$997</f>
      </c>
      <c r="C6041" s="5" t="str">
        <f>'Lineal Mixto'!$C$998</f>
      </c>
      <c r="D6041" s="5" t="str">
        <f>MIN(INT(B6041*5),4)</f>
      </c>
      <c r="E6041" s="5" t="str">
        <f>MIN(INT(C6041*5),4)</f>
      </c>
      <c r="F6041" s="5" t="str">
        <f>D6041*5+E6041</f>
      </c>
    </row>
    <row r="6042">
      <c r="A6042" s="6">
        <v>994</v>
      </c>
      <c r="B6042" s="6" t="str">
        <f>'Lineal Mixto'!$C$998</f>
      </c>
      <c r="C6042" s="6" t="str">
        <f>'Lineal Mixto'!$C$999</f>
      </c>
      <c r="D6042" s="6" t="str">
        <f>MIN(INT(B6042*5),4)</f>
      </c>
      <c r="E6042" s="6" t="str">
        <f>MIN(INT(C6042*5),4)</f>
      </c>
      <c r="F6042" s="6" t="str">
        <f>D6042*5+E6042</f>
      </c>
    </row>
    <row r="6043">
      <c r="A6043" s="5">
        <v>995</v>
      </c>
      <c r="B6043" s="5" t="str">
        <f>'Lineal Mixto'!$C$999</f>
      </c>
      <c r="C6043" s="5" t="str">
        <f>'Lineal Mixto'!$C$1000</f>
      </c>
      <c r="D6043" s="5" t="str">
        <f>MIN(INT(B6043*5),4)</f>
      </c>
      <c r="E6043" s="5" t="str">
        <f>MIN(INT(C6043*5),4)</f>
      </c>
      <c r="F6043" s="5" t="str">
        <f>D6043*5+E6043</f>
      </c>
    </row>
    <row r="6044">
      <c r="A6044" s="6">
        <v>996</v>
      </c>
      <c r="B6044" s="6" t="str">
        <f>'Lineal Mixto'!$C$1000</f>
      </c>
      <c r="C6044" s="6" t="str">
        <f>'Lineal Mixto'!$C$1001</f>
      </c>
      <c r="D6044" s="6" t="str">
        <f>MIN(INT(B6044*5),4)</f>
      </c>
      <c r="E6044" s="6" t="str">
        <f>MIN(INT(C6044*5),4)</f>
      </c>
      <c r="F6044" s="6" t="str">
        <f>D6044*5+E6044</f>
      </c>
    </row>
    <row r="6045">
      <c r="A6045" s="5">
        <v>997</v>
      </c>
      <c r="B6045" s="5" t="str">
        <f>'Lineal Mixto'!$C$1001</f>
      </c>
      <c r="C6045" s="5" t="str">
        <f>'Lineal Mixto'!$C$1002</f>
      </c>
      <c r="D6045" s="5" t="str">
        <f>MIN(INT(B6045*5),4)</f>
      </c>
      <c r="E6045" s="5" t="str">
        <f>MIN(INT(C6045*5),4)</f>
      </c>
      <c r="F6045" s="5" t="str">
        <f>D6045*5+E6045</f>
      </c>
    </row>
    <row r="6046">
      <c r="A6046" s="6">
        <v>998</v>
      </c>
      <c r="B6046" s="6" t="str">
        <f>'Lineal Mixto'!$C$1002</f>
      </c>
      <c r="C6046" s="6" t="str">
        <f>'Lineal Mixto'!$C$1003</f>
      </c>
      <c r="D6046" s="6" t="str">
        <f>MIN(INT(B6046*5),4)</f>
      </c>
      <c r="E6046" s="6" t="str">
        <f>MIN(INT(C6046*5),4)</f>
      </c>
      <c r="F6046" s="6" t="str">
        <f>D6046*5+E6046</f>
      </c>
    </row>
    <row r="6047">
      <c r="A6047" s="5">
        <v>999</v>
      </c>
      <c r="B6047" s="5" t="str">
        <f>'Lineal Mixto'!$C$1003</f>
      </c>
      <c r="C6047" s="5" t="str">
        <f>'Lineal Mixto'!$C$1004</f>
      </c>
      <c r="D6047" s="5" t="str">
        <f>MIN(INT(B6047*5),4)</f>
      </c>
      <c r="E6047" s="5" t="str">
        <f>MIN(INT(C6047*5),4)</f>
      </c>
      <c r="F6047" s="5" t="str">
        <f>D6047*5+E6047</f>
      </c>
    </row>
    <row r="6048">
      <c r="A6048" s="6">
        <v>1000</v>
      </c>
      <c r="B6048" s="6" t="str">
        <f>'Lineal Mixto'!$C$1004</f>
      </c>
      <c r="C6048" s="6" t="str">
        <f>'Lineal Mixto'!$C$1005</f>
      </c>
      <c r="D6048" s="6" t="str">
        <f>MIN(INT(B6048*5),4)</f>
      </c>
      <c r="E6048" s="6" t="str">
        <f>MIN(INT(C6048*5),4)</f>
      </c>
      <c r="F6048" s="6" t="str">
        <f>D6048*5+E6048</f>
      </c>
    </row>
    <row r="6049">
      <c r="A6049" s="5">
        <v>1001</v>
      </c>
      <c r="B6049" s="5" t="str">
        <f>'Lineal Mixto'!$C$1005</f>
      </c>
      <c r="C6049" s="5" t="str">
        <f>'Lineal Mixto'!$C$1006</f>
      </c>
      <c r="D6049" s="5" t="str">
        <f>MIN(INT(B6049*5),4)</f>
      </c>
      <c r="E6049" s="5" t="str">
        <f>MIN(INT(C6049*5),4)</f>
      </c>
      <c r="F6049" s="5" t="str">
        <f>D6049*5+E6049</f>
      </c>
    </row>
    <row r="6050">
      <c r="A6050" s="6">
        <v>1002</v>
      </c>
      <c r="B6050" s="6" t="str">
        <f>'Lineal Mixto'!$C$1006</f>
      </c>
      <c r="C6050" s="6" t="str">
        <f>'Lineal Mixto'!$C$1007</f>
      </c>
      <c r="D6050" s="6" t="str">
        <f>MIN(INT(B6050*5),4)</f>
      </c>
      <c r="E6050" s="6" t="str">
        <f>MIN(INT(C6050*5),4)</f>
      </c>
      <c r="F6050" s="6" t="str">
        <f>D6050*5+E6050</f>
      </c>
    </row>
    <row r="6051">
      <c r="A6051" s="5">
        <v>1003</v>
      </c>
      <c r="B6051" s="5" t="str">
        <f>'Lineal Mixto'!$C$1007</f>
      </c>
      <c r="C6051" s="5" t="str">
        <f>'Lineal Mixto'!$C$1008</f>
      </c>
      <c r="D6051" s="5" t="str">
        <f>MIN(INT(B6051*5),4)</f>
      </c>
      <c r="E6051" s="5" t="str">
        <f>MIN(INT(C6051*5),4)</f>
      </c>
      <c r="F6051" s="5" t="str">
        <f>D6051*5+E6051</f>
      </c>
    </row>
    <row r="6052">
      <c r="A6052" s="6">
        <v>1004</v>
      </c>
      <c r="B6052" s="6" t="str">
        <f>'Lineal Mixto'!$C$1008</f>
      </c>
      <c r="C6052" s="6" t="str">
        <f>'Lineal Mixto'!$C$1009</f>
      </c>
      <c r="D6052" s="6" t="str">
        <f>MIN(INT(B6052*5),4)</f>
      </c>
      <c r="E6052" s="6" t="str">
        <f>MIN(INT(C6052*5),4)</f>
      </c>
      <c r="F6052" s="6" t="str">
        <f>D6052*5+E6052</f>
      </c>
    </row>
    <row r="6053">
      <c r="A6053" s="5">
        <v>1005</v>
      </c>
      <c r="B6053" s="5" t="str">
        <f>'Lineal Mixto'!$C$1009</f>
      </c>
      <c r="C6053" s="5" t="str">
        <f>'Lineal Mixto'!$C$1010</f>
      </c>
      <c r="D6053" s="5" t="str">
        <f>MIN(INT(B6053*5),4)</f>
      </c>
      <c r="E6053" s="5" t="str">
        <f>MIN(INT(C6053*5),4)</f>
      </c>
      <c r="F6053" s="5" t="str">
        <f>D6053*5+E6053</f>
      </c>
    </row>
    <row r="6054">
      <c r="A6054" s="6">
        <v>1006</v>
      </c>
      <c r="B6054" s="6" t="str">
        <f>'Lineal Mixto'!$C$1010</f>
      </c>
      <c r="C6054" s="6" t="str">
        <f>'Lineal Mixto'!$C$1011</f>
      </c>
      <c r="D6054" s="6" t="str">
        <f>MIN(INT(B6054*5),4)</f>
      </c>
      <c r="E6054" s="6" t="str">
        <f>MIN(INT(C6054*5),4)</f>
      </c>
      <c r="F6054" s="6" t="str">
        <f>D6054*5+E6054</f>
      </c>
    </row>
    <row r="6055">
      <c r="A6055" s="5">
        <v>1007</v>
      </c>
      <c r="B6055" s="5" t="str">
        <f>'Lineal Mixto'!$C$1011</f>
      </c>
      <c r="C6055" s="5" t="str">
        <f>'Lineal Mixto'!$C$1012</f>
      </c>
      <c r="D6055" s="5" t="str">
        <f>MIN(INT(B6055*5),4)</f>
      </c>
      <c r="E6055" s="5" t="str">
        <f>MIN(INT(C6055*5),4)</f>
      </c>
      <c r="F6055" s="5" t="str">
        <f>D6055*5+E6055</f>
      </c>
    </row>
    <row r="6056">
      <c r="A6056" s="6">
        <v>1008</v>
      </c>
      <c r="B6056" s="6" t="str">
        <f>'Lineal Mixto'!$C$1012</f>
      </c>
      <c r="C6056" s="6" t="str">
        <f>'Lineal Mixto'!$C$1013</f>
      </c>
      <c r="D6056" s="6" t="str">
        <f>MIN(INT(B6056*5),4)</f>
      </c>
      <c r="E6056" s="6" t="str">
        <f>MIN(INT(C6056*5),4)</f>
      </c>
      <c r="F6056" s="6" t="str">
        <f>D6056*5+E6056</f>
      </c>
    </row>
    <row r="6057">
      <c r="A6057" s="5">
        <v>1009</v>
      </c>
      <c r="B6057" s="5" t="str">
        <f>'Lineal Mixto'!$C$1013</f>
      </c>
      <c r="C6057" s="5" t="str">
        <f>'Lineal Mixto'!$C$1014</f>
      </c>
      <c r="D6057" s="5" t="str">
        <f>MIN(INT(B6057*5),4)</f>
      </c>
      <c r="E6057" s="5" t="str">
        <f>MIN(INT(C6057*5),4)</f>
      </c>
      <c r="F6057" s="5" t="str">
        <f>D6057*5+E6057</f>
      </c>
    </row>
    <row r="6058">
      <c r="A6058" s="6">
        <v>1010</v>
      </c>
      <c r="B6058" s="6" t="str">
        <f>'Lineal Mixto'!$C$1014</f>
      </c>
      <c r="C6058" s="6" t="str">
        <f>'Lineal Mixto'!$C$1015</f>
      </c>
      <c r="D6058" s="6" t="str">
        <f>MIN(INT(B6058*5),4)</f>
      </c>
      <c r="E6058" s="6" t="str">
        <f>MIN(INT(C6058*5),4)</f>
      </c>
      <c r="F6058" s="6" t="str">
        <f>D6058*5+E6058</f>
      </c>
    </row>
    <row r="6059">
      <c r="A6059" s="5">
        <v>1011</v>
      </c>
      <c r="B6059" s="5" t="str">
        <f>'Lineal Mixto'!$C$1015</f>
      </c>
      <c r="C6059" s="5" t="str">
        <f>'Lineal Mixto'!$C$1016</f>
      </c>
      <c r="D6059" s="5" t="str">
        <f>MIN(INT(B6059*5),4)</f>
      </c>
      <c r="E6059" s="5" t="str">
        <f>MIN(INT(C6059*5),4)</f>
      </c>
      <c r="F6059" s="5" t="str">
        <f>D6059*5+E6059</f>
      </c>
    </row>
    <row r="6060">
      <c r="A6060" s="6">
        <v>1012</v>
      </c>
      <c r="B6060" s="6" t="str">
        <f>'Lineal Mixto'!$C$1016</f>
      </c>
      <c r="C6060" s="6" t="str">
        <f>'Lineal Mixto'!$C$1017</f>
      </c>
      <c r="D6060" s="6" t="str">
        <f>MIN(INT(B6060*5),4)</f>
      </c>
      <c r="E6060" s="6" t="str">
        <f>MIN(INT(C6060*5),4)</f>
      </c>
      <c r="F6060" s="6" t="str">
        <f>D6060*5+E6060</f>
      </c>
    </row>
    <row r="6061">
      <c r="A6061" s="5">
        <v>1013</v>
      </c>
      <c r="B6061" s="5" t="str">
        <f>'Lineal Mixto'!$C$1017</f>
      </c>
      <c r="C6061" s="5" t="str">
        <f>'Lineal Mixto'!$C$1018</f>
      </c>
      <c r="D6061" s="5" t="str">
        <f>MIN(INT(B6061*5),4)</f>
      </c>
      <c r="E6061" s="5" t="str">
        <f>MIN(INT(C6061*5),4)</f>
      </c>
      <c r="F6061" s="5" t="str">
        <f>D6061*5+E6061</f>
      </c>
    </row>
    <row r="6062">
      <c r="A6062" s="6">
        <v>1014</v>
      </c>
      <c r="B6062" s="6" t="str">
        <f>'Lineal Mixto'!$C$1018</f>
      </c>
      <c r="C6062" s="6" t="str">
        <f>'Lineal Mixto'!$C$1019</f>
      </c>
      <c r="D6062" s="6" t="str">
        <f>MIN(INT(B6062*5),4)</f>
      </c>
      <c r="E6062" s="6" t="str">
        <f>MIN(INT(C6062*5),4)</f>
      </c>
      <c r="F6062" s="6" t="str">
        <f>D6062*5+E6062</f>
      </c>
    </row>
    <row r="6063">
      <c r="A6063" s="5">
        <v>1015</v>
      </c>
      <c r="B6063" s="5" t="str">
        <f>'Lineal Mixto'!$C$1019</f>
      </c>
      <c r="C6063" s="5" t="str">
        <f>'Lineal Mixto'!$C$1020</f>
      </c>
      <c r="D6063" s="5" t="str">
        <f>MIN(INT(B6063*5),4)</f>
      </c>
      <c r="E6063" s="5" t="str">
        <f>MIN(INT(C6063*5),4)</f>
      </c>
      <c r="F6063" s="5" t="str">
        <f>D6063*5+E6063</f>
      </c>
    </row>
    <row r="6064">
      <c r="A6064" s="6">
        <v>1016</v>
      </c>
      <c r="B6064" s="6" t="str">
        <f>'Lineal Mixto'!$C$1020</f>
      </c>
      <c r="C6064" s="6" t="str">
        <f>'Lineal Mixto'!$C$1021</f>
      </c>
      <c r="D6064" s="6" t="str">
        <f>MIN(INT(B6064*5),4)</f>
      </c>
      <c r="E6064" s="6" t="str">
        <f>MIN(INT(C6064*5),4)</f>
      </c>
      <c r="F6064" s="6" t="str">
        <f>D6064*5+E6064</f>
      </c>
    </row>
    <row r="6065">
      <c r="A6065" s="5">
        <v>1017</v>
      </c>
      <c r="B6065" s="5" t="str">
        <f>'Lineal Mixto'!$C$1021</f>
      </c>
      <c r="C6065" s="5" t="str">
        <f>'Lineal Mixto'!$C$1022</f>
      </c>
      <c r="D6065" s="5" t="str">
        <f>MIN(INT(B6065*5),4)</f>
      </c>
      <c r="E6065" s="5" t="str">
        <f>MIN(INT(C6065*5),4)</f>
      </c>
      <c r="F6065" s="5" t="str">
        <f>D6065*5+E6065</f>
      </c>
    </row>
    <row r="6066">
      <c r="A6066" s="6">
        <v>1018</v>
      </c>
      <c r="B6066" s="6" t="str">
        <f>'Lineal Mixto'!$C$1022</f>
      </c>
      <c r="C6066" s="6" t="str">
        <f>'Lineal Mixto'!$C$1023</f>
      </c>
      <c r="D6066" s="6" t="str">
        <f>MIN(INT(B6066*5),4)</f>
      </c>
      <c r="E6066" s="6" t="str">
        <f>MIN(INT(C6066*5),4)</f>
      </c>
      <c r="F6066" s="6" t="str">
        <f>D6066*5+E6066</f>
      </c>
    </row>
    <row r="6067">
      <c r="A6067" s="5">
        <v>1019</v>
      </c>
      <c r="B6067" s="5" t="str">
        <f>'Lineal Mixto'!$C$1023</f>
      </c>
      <c r="C6067" s="5" t="str">
        <f>'Lineal Mixto'!$C$1024</f>
      </c>
      <c r="D6067" s="5" t="str">
        <f>MIN(INT(B6067*5),4)</f>
      </c>
      <c r="E6067" s="5" t="str">
        <f>MIN(INT(C6067*5),4)</f>
      </c>
      <c r="F6067" s="5" t="str">
        <f>D6067*5+E6067</f>
      </c>
    </row>
    <row r="6068">
      <c r="A6068" s="6">
        <v>1020</v>
      </c>
      <c r="B6068" s="6" t="str">
        <f>'Lineal Mixto'!$C$1024</f>
      </c>
      <c r="C6068" s="6" t="str">
        <f>'Lineal Mixto'!$C$1025</f>
      </c>
      <c r="D6068" s="6" t="str">
        <f>MIN(INT(B6068*5),4)</f>
      </c>
      <c r="E6068" s="6" t="str">
        <f>MIN(INT(C6068*5),4)</f>
      </c>
      <c r="F6068" s="6" t="str">
        <f>D6068*5+E6068</f>
      </c>
    </row>
    <row r="6069">
      <c r="A6069" s="5">
        <v>1021</v>
      </c>
      <c r="B6069" s="5" t="str">
        <f>'Lineal Mixto'!$C$1025</f>
      </c>
      <c r="C6069" s="5" t="str">
        <f>'Lineal Mixto'!$C$1026</f>
      </c>
      <c r="D6069" s="5" t="str">
        <f>MIN(INT(B6069*5),4)</f>
      </c>
      <c r="E6069" s="5" t="str">
        <f>MIN(INT(C6069*5),4)</f>
      </c>
      <c r="F6069" s="5" t="str">
        <f>D6069*5+E6069</f>
      </c>
    </row>
    <row r="6070">
      <c r="A6070" s="6">
        <v>1022</v>
      </c>
      <c r="B6070" s="6" t="str">
        <f>'Lineal Mixto'!$C$1026</f>
      </c>
      <c r="C6070" s="6" t="str">
        <f>'Lineal Mixto'!$C$1027</f>
      </c>
      <c r="D6070" s="6" t="str">
        <f>MIN(INT(B6070*5),4)</f>
      </c>
      <c r="E6070" s="6" t="str">
        <f>MIN(INT(C6070*5),4)</f>
      </c>
      <c r="F6070" s="6" t="str">
        <f>D6070*5+E6070</f>
      </c>
    </row>
    <row r="6071">
      <c r="A6071" s="5">
        <v>1023</v>
      </c>
      <c r="B6071" s="5" t="str">
        <f>'Lineal Mixto'!$C$1027</f>
      </c>
      <c r="C6071" s="5" t="str">
        <f>'Lineal Mixto'!$C$1028</f>
      </c>
      <c r="D6071" s="5" t="str">
        <f>MIN(INT(B6071*5),4)</f>
      </c>
      <c r="E6071" s="5" t="str">
        <f>MIN(INT(C6071*5),4)</f>
      </c>
      <c r="F6071" s="5" t="str">
        <f>D6071*5+E6071</f>
      </c>
    </row>
    <row r="6072">
      <c r="A6072" s="6">
        <v>1024</v>
      </c>
      <c r="B6072" s="6" t="str">
        <f>'Lineal Mixto'!$C$1028</f>
      </c>
      <c r="C6072" s="6" t="str">
        <f>'Lineal Mixto'!$C$1029</f>
      </c>
      <c r="D6072" s="6" t="str">
        <f>MIN(INT(B6072*5),4)</f>
      </c>
      <c r="E6072" s="6" t="str">
        <f>MIN(INT(C6072*5),4)</f>
      </c>
      <c r="F6072" s="6" t="str">
        <f>D6072*5+E6072</f>
      </c>
    </row>
    <row r="6073">
      <c r="A6073" s="5">
        <v>1025</v>
      </c>
      <c r="B6073" s="5" t="str">
        <f>'Lineal Mixto'!$C$1029</f>
      </c>
      <c r="C6073" s="5" t="str">
        <f>'Lineal Mixto'!$C$1030</f>
      </c>
      <c r="D6073" s="5" t="str">
        <f>MIN(INT(B6073*5),4)</f>
      </c>
      <c r="E6073" s="5" t="str">
        <f>MIN(INT(C6073*5),4)</f>
      </c>
      <c r="F6073" s="5" t="str">
        <f>D6073*5+E6073</f>
      </c>
    </row>
    <row r="6074">
      <c r="A6074" s="6">
        <v>1026</v>
      </c>
      <c r="B6074" s="6" t="str">
        <f>'Lineal Mixto'!$C$1030</f>
      </c>
      <c r="C6074" s="6" t="str">
        <f>'Lineal Mixto'!$C$1031</f>
      </c>
      <c r="D6074" s="6" t="str">
        <f>MIN(INT(B6074*5),4)</f>
      </c>
      <c r="E6074" s="6" t="str">
        <f>MIN(INT(C6074*5),4)</f>
      </c>
      <c r="F6074" s="6" t="str">
        <f>D6074*5+E6074</f>
      </c>
    </row>
    <row r="6075">
      <c r="A6075" s="5">
        <v>1027</v>
      </c>
      <c r="B6075" s="5" t="str">
        <f>'Lineal Mixto'!$C$1031</f>
      </c>
      <c r="C6075" s="5" t="str">
        <f>'Lineal Mixto'!$C$1032</f>
      </c>
      <c r="D6075" s="5" t="str">
        <f>MIN(INT(B6075*5),4)</f>
      </c>
      <c r="E6075" s="5" t="str">
        <f>MIN(INT(C6075*5),4)</f>
      </c>
      <c r="F6075" s="5" t="str">
        <f>D6075*5+E6075</f>
      </c>
    </row>
    <row r="6076">
      <c r="A6076" s="6">
        <v>1028</v>
      </c>
      <c r="B6076" s="6" t="str">
        <f>'Lineal Mixto'!$C$1032</f>
      </c>
      <c r="C6076" s="6" t="str">
        <f>'Lineal Mixto'!$C$1033</f>
      </c>
      <c r="D6076" s="6" t="str">
        <f>MIN(INT(B6076*5),4)</f>
      </c>
      <c r="E6076" s="6" t="str">
        <f>MIN(INT(C6076*5),4)</f>
      </c>
      <c r="F6076" s="6" t="str">
        <f>D6076*5+E6076</f>
      </c>
    </row>
    <row r="6077">
      <c r="A6077" s="5">
        <v>1029</v>
      </c>
      <c r="B6077" s="5" t="str">
        <f>'Lineal Mixto'!$C$1033</f>
      </c>
      <c r="C6077" s="5" t="str">
        <f>'Lineal Mixto'!$C$1034</f>
      </c>
      <c r="D6077" s="5" t="str">
        <f>MIN(INT(B6077*5),4)</f>
      </c>
      <c r="E6077" s="5" t="str">
        <f>MIN(INT(C6077*5),4)</f>
      </c>
      <c r="F6077" s="5" t="str">
        <f>D6077*5+E6077</f>
      </c>
    </row>
    <row r="6078">
      <c r="A6078" s="6">
        <v>1030</v>
      </c>
      <c r="B6078" s="6" t="str">
        <f>'Lineal Mixto'!$C$1034</f>
      </c>
      <c r="C6078" s="6" t="str">
        <f>'Lineal Mixto'!$C$1035</f>
      </c>
      <c r="D6078" s="6" t="str">
        <f>MIN(INT(B6078*5),4)</f>
      </c>
      <c r="E6078" s="6" t="str">
        <f>MIN(INT(C6078*5),4)</f>
      </c>
      <c r="F6078" s="6" t="str">
        <f>D6078*5+E6078</f>
      </c>
    </row>
    <row r="6079">
      <c r="A6079" s="5">
        <v>1031</v>
      </c>
      <c r="B6079" s="5" t="str">
        <f>'Lineal Mixto'!$C$1035</f>
      </c>
      <c r="C6079" s="5" t="str">
        <f>'Lineal Mixto'!$C$1036</f>
      </c>
      <c r="D6079" s="5" t="str">
        <f>MIN(INT(B6079*5),4)</f>
      </c>
      <c r="E6079" s="5" t="str">
        <f>MIN(INT(C6079*5),4)</f>
      </c>
      <c r="F6079" s="5" t="str">
        <f>D6079*5+E6079</f>
      </c>
    </row>
    <row r="6080">
      <c r="A6080" s="6">
        <v>1032</v>
      </c>
      <c r="B6080" s="6" t="str">
        <f>'Lineal Mixto'!$C$1036</f>
      </c>
      <c r="C6080" s="6" t="str">
        <f>'Lineal Mixto'!$C$1037</f>
      </c>
      <c r="D6080" s="6" t="str">
        <f>MIN(INT(B6080*5),4)</f>
      </c>
      <c r="E6080" s="6" t="str">
        <f>MIN(INT(C6080*5),4)</f>
      </c>
      <c r="F6080" s="6" t="str">
        <f>D6080*5+E6080</f>
      </c>
    </row>
    <row r="6081">
      <c r="A6081" s="5">
        <v>1033</v>
      </c>
      <c r="B6081" s="5" t="str">
        <f>'Lineal Mixto'!$C$1037</f>
      </c>
      <c r="C6081" s="5" t="str">
        <f>'Lineal Mixto'!$C$1038</f>
      </c>
      <c r="D6081" s="5" t="str">
        <f>MIN(INT(B6081*5),4)</f>
      </c>
      <c r="E6081" s="5" t="str">
        <f>MIN(INT(C6081*5),4)</f>
      </c>
      <c r="F6081" s="5" t="str">
        <f>D6081*5+E6081</f>
      </c>
    </row>
    <row r="6082">
      <c r="A6082" s="6">
        <v>1034</v>
      </c>
      <c r="B6082" s="6" t="str">
        <f>'Lineal Mixto'!$C$1038</f>
      </c>
      <c r="C6082" s="6" t="str">
        <f>'Lineal Mixto'!$C$1039</f>
      </c>
      <c r="D6082" s="6" t="str">
        <f>MIN(INT(B6082*5),4)</f>
      </c>
      <c r="E6082" s="6" t="str">
        <f>MIN(INT(C6082*5),4)</f>
      </c>
      <c r="F6082" s="6" t="str">
        <f>D6082*5+E6082</f>
      </c>
    </row>
    <row r="6083">
      <c r="A6083" s="5">
        <v>1035</v>
      </c>
      <c r="B6083" s="5" t="str">
        <f>'Lineal Mixto'!$C$1039</f>
      </c>
      <c r="C6083" s="5" t="str">
        <f>'Lineal Mixto'!$C$1040</f>
      </c>
      <c r="D6083" s="5" t="str">
        <f>MIN(INT(B6083*5),4)</f>
      </c>
      <c r="E6083" s="5" t="str">
        <f>MIN(INT(C6083*5),4)</f>
      </c>
      <c r="F6083" s="5" t="str">
        <f>D6083*5+E6083</f>
      </c>
    </row>
    <row r="6084">
      <c r="A6084" s="6">
        <v>1036</v>
      </c>
      <c r="B6084" s="6" t="str">
        <f>'Lineal Mixto'!$C$1040</f>
      </c>
      <c r="C6084" s="6" t="str">
        <f>'Lineal Mixto'!$C$1041</f>
      </c>
      <c r="D6084" s="6" t="str">
        <f>MIN(INT(B6084*5),4)</f>
      </c>
      <c r="E6084" s="6" t="str">
        <f>MIN(INT(C6084*5),4)</f>
      </c>
      <c r="F6084" s="6" t="str">
        <f>D6084*5+E6084</f>
      </c>
    </row>
    <row r="6085">
      <c r="A6085" s="5">
        <v>1037</v>
      </c>
      <c r="B6085" s="5" t="str">
        <f>'Lineal Mixto'!$C$1041</f>
      </c>
      <c r="C6085" s="5" t="str">
        <f>'Lineal Mixto'!$C$1042</f>
      </c>
      <c r="D6085" s="5" t="str">
        <f>MIN(INT(B6085*5),4)</f>
      </c>
      <c r="E6085" s="5" t="str">
        <f>MIN(INT(C6085*5),4)</f>
      </c>
      <c r="F6085" s="5" t="str">
        <f>D6085*5+E6085</f>
      </c>
    </row>
    <row r="6086">
      <c r="A6086" s="6">
        <v>1038</v>
      </c>
      <c r="B6086" s="6" t="str">
        <f>'Lineal Mixto'!$C$1042</f>
      </c>
      <c r="C6086" s="6" t="str">
        <f>'Lineal Mixto'!$C$1043</f>
      </c>
      <c r="D6086" s="6" t="str">
        <f>MIN(INT(B6086*5),4)</f>
      </c>
      <c r="E6086" s="6" t="str">
        <f>MIN(INT(C6086*5),4)</f>
      </c>
      <c r="F6086" s="6" t="str">
        <f>D6086*5+E6086</f>
      </c>
    </row>
    <row r="6087">
      <c r="A6087" s="5">
        <v>1039</v>
      </c>
      <c r="B6087" s="5" t="str">
        <f>'Lineal Mixto'!$C$1043</f>
      </c>
      <c r="C6087" s="5" t="str">
        <f>'Lineal Mixto'!$C$1044</f>
      </c>
      <c r="D6087" s="5" t="str">
        <f>MIN(INT(B6087*5),4)</f>
      </c>
      <c r="E6087" s="5" t="str">
        <f>MIN(INT(C6087*5),4)</f>
      </c>
      <c r="F6087" s="5" t="str">
        <f>D6087*5+E6087</f>
      </c>
    </row>
    <row r="6088">
      <c r="A6088" s="6">
        <v>1040</v>
      </c>
      <c r="B6088" s="6" t="str">
        <f>'Lineal Mixto'!$C$1044</f>
      </c>
      <c r="C6088" s="6" t="str">
        <f>'Lineal Mixto'!$C$1045</f>
      </c>
      <c r="D6088" s="6" t="str">
        <f>MIN(INT(B6088*5),4)</f>
      </c>
      <c r="E6088" s="6" t="str">
        <f>MIN(INT(C6088*5),4)</f>
      </c>
      <c r="F6088" s="6" t="str">
        <f>D6088*5+E6088</f>
      </c>
    </row>
    <row r="6089">
      <c r="A6089" s="5">
        <v>1041</v>
      </c>
      <c r="B6089" s="5" t="str">
        <f>'Lineal Mixto'!$C$1045</f>
      </c>
      <c r="C6089" s="5" t="str">
        <f>'Lineal Mixto'!$C$1046</f>
      </c>
      <c r="D6089" s="5" t="str">
        <f>MIN(INT(B6089*5),4)</f>
      </c>
      <c r="E6089" s="5" t="str">
        <f>MIN(INT(C6089*5),4)</f>
      </c>
      <c r="F6089" s="5" t="str">
        <f>D6089*5+E6089</f>
      </c>
    </row>
    <row r="6090">
      <c r="A6090" s="6">
        <v>1042</v>
      </c>
      <c r="B6090" s="6" t="str">
        <f>'Lineal Mixto'!$C$1046</f>
      </c>
      <c r="C6090" s="6" t="str">
        <f>'Lineal Mixto'!$C$1047</f>
      </c>
      <c r="D6090" s="6" t="str">
        <f>MIN(INT(B6090*5),4)</f>
      </c>
      <c r="E6090" s="6" t="str">
        <f>MIN(INT(C6090*5),4)</f>
      </c>
      <c r="F6090" s="6" t="str">
        <f>D6090*5+E6090</f>
      </c>
    </row>
    <row r="6091">
      <c r="A6091" s="5">
        <v>1043</v>
      </c>
      <c r="B6091" s="5" t="str">
        <f>'Lineal Mixto'!$C$1047</f>
      </c>
      <c r="C6091" s="5" t="str">
        <f>'Lineal Mixto'!$C$1048</f>
      </c>
      <c r="D6091" s="5" t="str">
        <f>MIN(INT(B6091*5),4)</f>
      </c>
      <c r="E6091" s="5" t="str">
        <f>MIN(INT(C6091*5),4)</f>
      </c>
      <c r="F6091" s="5" t="str">
        <f>D6091*5+E6091</f>
      </c>
    </row>
    <row r="6092">
      <c r="A6092" s="6">
        <v>1044</v>
      </c>
      <c r="B6092" s="6" t="str">
        <f>'Lineal Mixto'!$C$1048</f>
      </c>
      <c r="C6092" s="6" t="str">
        <f>'Lineal Mixto'!$C$1049</f>
      </c>
      <c r="D6092" s="6" t="str">
        <f>MIN(INT(B6092*5),4)</f>
      </c>
      <c r="E6092" s="6" t="str">
        <f>MIN(INT(C6092*5),4)</f>
      </c>
      <c r="F6092" s="6" t="str">
        <f>D6092*5+E6092</f>
      </c>
    </row>
    <row r="6093">
      <c r="A6093" s="5">
        <v>1045</v>
      </c>
      <c r="B6093" s="5" t="str">
        <f>'Lineal Mixto'!$C$1049</f>
      </c>
      <c r="C6093" s="5" t="str">
        <f>'Lineal Mixto'!$C$1050</f>
      </c>
      <c r="D6093" s="5" t="str">
        <f>MIN(INT(B6093*5),4)</f>
      </c>
      <c r="E6093" s="5" t="str">
        <f>MIN(INT(C6093*5),4)</f>
      </c>
      <c r="F6093" s="5" t="str">
        <f>D6093*5+E6093</f>
      </c>
    </row>
    <row r="6094">
      <c r="A6094" s="6">
        <v>1046</v>
      </c>
      <c r="B6094" s="6" t="str">
        <f>'Lineal Mixto'!$C$1050</f>
      </c>
      <c r="C6094" s="6" t="str">
        <f>'Lineal Mixto'!$C$1051</f>
      </c>
      <c r="D6094" s="6" t="str">
        <f>MIN(INT(B6094*5),4)</f>
      </c>
      <c r="E6094" s="6" t="str">
        <f>MIN(INT(C6094*5),4)</f>
      </c>
      <c r="F6094" s="6" t="str">
        <f>D6094*5+E6094</f>
      </c>
    </row>
    <row r="6095">
      <c r="A6095" s="5">
        <v>1047</v>
      </c>
      <c r="B6095" s="5" t="str">
        <f>'Lineal Mixto'!$C$1051</f>
      </c>
      <c r="C6095" s="5" t="str">
        <f>'Lineal Mixto'!$C$1052</f>
      </c>
      <c r="D6095" s="5" t="str">
        <f>MIN(INT(B6095*5),4)</f>
      </c>
      <c r="E6095" s="5" t="str">
        <f>MIN(INT(C6095*5),4)</f>
      </c>
      <c r="F6095" s="5" t="str">
        <f>D6095*5+E6095</f>
      </c>
    </row>
    <row r="6096">
      <c r="A6096" s="6">
        <v>1048</v>
      </c>
      <c r="B6096" s="6" t="str">
        <f>'Lineal Mixto'!$C$1052</f>
      </c>
      <c r="C6096" s="6" t="str">
        <f>'Lineal Mixto'!$C$1053</f>
      </c>
      <c r="D6096" s="6" t="str">
        <f>MIN(INT(B6096*5),4)</f>
      </c>
      <c r="E6096" s="6" t="str">
        <f>MIN(INT(C6096*5),4)</f>
      </c>
      <c r="F6096" s="6" t="str">
        <f>D6096*5+E6096</f>
      </c>
    </row>
    <row r="6097">
      <c r="A6097" s="5">
        <v>1049</v>
      </c>
      <c r="B6097" s="5" t="str">
        <f>'Lineal Mixto'!$C$1053</f>
      </c>
      <c r="C6097" s="5" t="str">
        <f>'Lineal Mixto'!$C$1054</f>
      </c>
      <c r="D6097" s="5" t="str">
        <f>MIN(INT(B6097*5),4)</f>
      </c>
      <c r="E6097" s="5" t="str">
        <f>MIN(INT(C6097*5),4)</f>
      </c>
      <c r="F6097" s="5" t="str">
        <f>D6097*5+E6097</f>
      </c>
    </row>
    <row r="6098">
      <c r="A6098" s="6">
        <v>1050</v>
      </c>
      <c r="B6098" s="6" t="str">
        <f>'Lineal Mixto'!$C$1054</f>
      </c>
      <c r="C6098" s="6" t="str">
        <f>'Lineal Mixto'!$C$1055</f>
      </c>
      <c r="D6098" s="6" t="str">
        <f>MIN(INT(B6098*5),4)</f>
      </c>
      <c r="E6098" s="6" t="str">
        <f>MIN(INT(C6098*5),4)</f>
      </c>
      <c r="F6098" s="6" t="str">
        <f>D6098*5+E6098</f>
      </c>
    </row>
    <row r="6099">
      <c r="A6099" s="5">
        <v>1051</v>
      </c>
      <c r="B6099" s="5" t="str">
        <f>'Lineal Mixto'!$C$1055</f>
      </c>
      <c r="C6099" s="5" t="str">
        <f>'Lineal Mixto'!$C$1056</f>
      </c>
      <c r="D6099" s="5" t="str">
        <f>MIN(INT(B6099*5),4)</f>
      </c>
      <c r="E6099" s="5" t="str">
        <f>MIN(INT(C6099*5),4)</f>
      </c>
      <c r="F6099" s="5" t="str">
        <f>D6099*5+E6099</f>
      </c>
    </row>
    <row r="6100">
      <c r="A6100" s="6">
        <v>1052</v>
      </c>
      <c r="B6100" s="6" t="str">
        <f>'Lineal Mixto'!$C$1056</f>
      </c>
      <c r="C6100" s="6" t="str">
        <f>'Lineal Mixto'!$C$1057</f>
      </c>
      <c r="D6100" s="6" t="str">
        <f>MIN(INT(B6100*5),4)</f>
      </c>
      <c r="E6100" s="6" t="str">
        <f>MIN(INT(C6100*5),4)</f>
      </c>
      <c r="F6100" s="6" t="str">
        <f>D6100*5+E6100</f>
      </c>
    </row>
    <row r="6101">
      <c r="A6101" s="5">
        <v>1053</v>
      </c>
      <c r="B6101" s="5" t="str">
        <f>'Lineal Mixto'!$C$1057</f>
      </c>
      <c r="C6101" s="5" t="str">
        <f>'Lineal Mixto'!$C$1058</f>
      </c>
      <c r="D6101" s="5" t="str">
        <f>MIN(INT(B6101*5),4)</f>
      </c>
      <c r="E6101" s="5" t="str">
        <f>MIN(INT(C6101*5),4)</f>
      </c>
      <c r="F6101" s="5" t="str">
        <f>D6101*5+E6101</f>
      </c>
    </row>
    <row r="6102">
      <c r="A6102" s="6">
        <v>1054</v>
      </c>
      <c r="B6102" s="6" t="str">
        <f>'Lineal Mixto'!$C$1058</f>
      </c>
      <c r="C6102" s="6" t="str">
        <f>'Lineal Mixto'!$C$1059</f>
      </c>
      <c r="D6102" s="6" t="str">
        <f>MIN(INT(B6102*5),4)</f>
      </c>
      <c r="E6102" s="6" t="str">
        <f>MIN(INT(C6102*5),4)</f>
      </c>
      <c r="F6102" s="6" t="str">
        <f>D6102*5+E6102</f>
      </c>
    </row>
    <row r="6103">
      <c r="A6103" s="5">
        <v>1055</v>
      </c>
      <c r="B6103" s="5" t="str">
        <f>'Lineal Mixto'!$C$1059</f>
      </c>
      <c r="C6103" s="5" t="str">
        <f>'Lineal Mixto'!$C$1060</f>
      </c>
      <c r="D6103" s="5" t="str">
        <f>MIN(INT(B6103*5),4)</f>
      </c>
      <c r="E6103" s="5" t="str">
        <f>MIN(INT(C6103*5),4)</f>
      </c>
      <c r="F6103" s="5" t="str">
        <f>D6103*5+E6103</f>
      </c>
    </row>
    <row r="6104">
      <c r="A6104" s="6">
        <v>1056</v>
      </c>
      <c r="B6104" s="6" t="str">
        <f>'Lineal Mixto'!$C$1060</f>
      </c>
      <c r="C6104" s="6" t="str">
        <f>'Lineal Mixto'!$C$1061</f>
      </c>
      <c r="D6104" s="6" t="str">
        <f>MIN(INT(B6104*5),4)</f>
      </c>
      <c r="E6104" s="6" t="str">
        <f>MIN(INT(C6104*5),4)</f>
      </c>
      <c r="F6104" s="6" t="str">
        <f>D6104*5+E6104</f>
      </c>
    </row>
    <row r="6105">
      <c r="A6105" s="5">
        <v>1057</v>
      </c>
      <c r="B6105" s="5" t="str">
        <f>'Lineal Mixto'!$C$1061</f>
      </c>
      <c r="C6105" s="5" t="str">
        <f>'Lineal Mixto'!$C$1062</f>
      </c>
      <c r="D6105" s="5" t="str">
        <f>MIN(INT(B6105*5),4)</f>
      </c>
      <c r="E6105" s="5" t="str">
        <f>MIN(INT(C6105*5),4)</f>
      </c>
      <c r="F6105" s="5" t="str">
        <f>D6105*5+E6105</f>
      </c>
    </row>
    <row r="6106">
      <c r="A6106" s="6">
        <v>1058</v>
      </c>
      <c r="B6106" s="6" t="str">
        <f>'Lineal Mixto'!$C$1062</f>
      </c>
      <c r="C6106" s="6" t="str">
        <f>'Lineal Mixto'!$C$1063</f>
      </c>
      <c r="D6106" s="6" t="str">
        <f>MIN(INT(B6106*5),4)</f>
      </c>
      <c r="E6106" s="6" t="str">
        <f>MIN(INT(C6106*5),4)</f>
      </c>
      <c r="F6106" s="6" t="str">
        <f>D6106*5+E6106</f>
      </c>
    </row>
    <row r="6107">
      <c r="A6107" s="5">
        <v>1059</v>
      </c>
      <c r="B6107" s="5" t="str">
        <f>'Lineal Mixto'!$C$1063</f>
      </c>
      <c r="C6107" s="5" t="str">
        <f>'Lineal Mixto'!$C$1064</f>
      </c>
      <c r="D6107" s="5" t="str">
        <f>MIN(INT(B6107*5),4)</f>
      </c>
      <c r="E6107" s="5" t="str">
        <f>MIN(INT(C6107*5),4)</f>
      </c>
      <c r="F6107" s="5" t="str">
        <f>D6107*5+E6107</f>
      </c>
    </row>
    <row r="6108">
      <c r="A6108" s="6">
        <v>1060</v>
      </c>
      <c r="B6108" s="6" t="str">
        <f>'Lineal Mixto'!$C$1064</f>
      </c>
      <c r="C6108" s="6" t="str">
        <f>'Lineal Mixto'!$C$1065</f>
      </c>
      <c r="D6108" s="6" t="str">
        <f>MIN(INT(B6108*5),4)</f>
      </c>
      <c r="E6108" s="6" t="str">
        <f>MIN(INT(C6108*5),4)</f>
      </c>
      <c r="F6108" s="6" t="str">
        <f>D6108*5+E6108</f>
      </c>
    </row>
    <row r="6109">
      <c r="A6109" s="5">
        <v>1061</v>
      </c>
      <c r="B6109" s="5" t="str">
        <f>'Lineal Mixto'!$C$1065</f>
      </c>
      <c r="C6109" s="5" t="str">
        <f>'Lineal Mixto'!$C$1066</f>
      </c>
      <c r="D6109" s="5" t="str">
        <f>MIN(INT(B6109*5),4)</f>
      </c>
      <c r="E6109" s="5" t="str">
        <f>MIN(INT(C6109*5),4)</f>
      </c>
      <c r="F6109" s="5" t="str">
        <f>D6109*5+E6109</f>
      </c>
    </row>
    <row r="6110">
      <c r="A6110" s="6">
        <v>1062</v>
      </c>
      <c r="B6110" s="6" t="str">
        <f>'Lineal Mixto'!$C$1066</f>
      </c>
      <c r="C6110" s="6" t="str">
        <f>'Lineal Mixto'!$C$1067</f>
      </c>
      <c r="D6110" s="6" t="str">
        <f>MIN(INT(B6110*5),4)</f>
      </c>
      <c r="E6110" s="6" t="str">
        <f>MIN(INT(C6110*5),4)</f>
      </c>
      <c r="F6110" s="6" t="str">
        <f>D6110*5+E6110</f>
      </c>
    </row>
    <row r="6111">
      <c r="A6111" s="5">
        <v>1063</v>
      </c>
      <c r="B6111" s="5" t="str">
        <f>'Lineal Mixto'!$C$1067</f>
      </c>
      <c r="C6111" s="5" t="str">
        <f>'Lineal Mixto'!$C$1068</f>
      </c>
      <c r="D6111" s="5" t="str">
        <f>MIN(INT(B6111*5),4)</f>
      </c>
      <c r="E6111" s="5" t="str">
        <f>MIN(INT(C6111*5),4)</f>
      </c>
      <c r="F6111" s="5" t="str">
        <f>D6111*5+E6111</f>
      </c>
    </row>
    <row r="6112">
      <c r="A6112" s="6">
        <v>1064</v>
      </c>
      <c r="B6112" s="6" t="str">
        <f>'Lineal Mixto'!$C$1068</f>
      </c>
      <c r="C6112" s="6" t="str">
        <f>'Lineal Mixto'!$C$1069</f>
      </c>
      <c r="D6112" s="6" t="str">
        <f>MIN(INT(B6112*5),4)</f>
      </c>
      <c r="E6112" s="6" t="str">
        <f>MIN(INT(C6112*5),4)</f>
      </c>
      <c r="F6112" s="6" t="str">
        <f>D6112*5+E6112</f>
      </c>
    </row>
    <row r="6113">
      <c r="A6113" s="5">
        <v>1065</v>
      </c>
      <c r="B6113" s="5" t="str">
        <f>'Lineal Mixto'!$C$1069</f>
      </c>
      <c r="C6113" s="5" t="str">
        <f>'Lineal Mixto'!$C$1070</f>
      </c>
      <c r="D6113" s="5" t="str">
        <f>MIN(INT(B6113*5),4)</f>
      </c>
      <c r="E6113" s="5" t="str">
        <f>MIN(INT(C6113*5),4)</f>
      </c>
      <c r="F6113" s="5" t="str">
        <f>D6113*5+E6113</f>
      </c>
    </row>
    <row r="6114">
      <c r="A6114" s="6">
        <v>1066</v>
      </c>
      <c r="B6114" s="6" t="str">
        <f>'Lineal Mixto'!$C$1070</f>
      </c>
      <c r="C6114" s="6" t="str">
        <f>'Lineal Mixto'!$C$1071</f>
      </c>
      <c r="D6114" s="6" t="str">
        <f>MIN(INT(B6114*5),4)</f>
      </c>
      <c r="E6114" s="6" t="str">
        <f>MIN(INT(C6114*5),4)</f>
      </c>
      <c r="F6114" s="6" t="str">
        <f>D6114*5+E6114</f>
      </c>
    </row>
    <row r="6115">
      <c r="A6115" s="5">
        <v>1067</v>
      </c>
      <c r="B6115" s="5" t="str">
        <f>'Lineal Mixto'!$C$1071</f>
      </c>
      <c r="C6115" s="5" t="str">
        <f>'Lineal Mixto'!$C$1072</f>
      </c>
      <c r="D6115" s="5" t="str">
        <f>MIN(INT(B6115*5),4)</f>
      </c>
      <c r="E6115" s="5" t="str">
        <f>MIN(INT(C6115*5),4)</f>
      </c>
      <c r="F6115" s="5" t="str">
        <f>D6115*5+E6115</f>
      </c>
    </row>
    <row r="6116">
      <c r="A6116" s="6">
        <v>1068</v>
      </c>
      <c r="B6116" s="6" t="str">
        <f>'Lineal Mixto'!$C$1072</f>
      </c>
      <c r="C6116" s="6" t="str">
        <f>'Lineal Mixto'!$C$1073</f>
      </c>
      <c r="D6116" s="6" t="str">
        <f>MIN(INT(B6116*5),4)</f>
      </c>
      <c r="E6116" s="6" t="str">
        <f>MIN(INT(C6116*5),4)</f>
      </c>
      <c r="F6116" s="6" t="str">
        <f>D6116*5+E6116</f>
      </c>
    </row>
    <row r="6117">
      <c r="A6117" s="5">
        <v>1069</v>
      </c>
      <c r="B6117" s="5" t="str">
        <f>'Lineal Mixto'!$C$1073</f>
      </c>
      <c r="C6117" s="5" t="str">
        <f>'Lineal Mixto'!$C$1074</f>
      </c>
      <c r="D6117" s="5" t="str">
        <f>MIN(INT(B6117*5),4)</f>
      </c>
      <c r="E6117" s="5" t="str">
        <f>MIN(INT(C6117*5),4)</f>
      </c>
      <c r="F6117" s="5" t="str">
        <f>D6117*5+E6117</f>
      </c>
    </row>
    <row r="6118">
      <c r="A6118" s="6">
        <v>1070</v>
      </c>
      <c r="B6118" s="6" t="str">
        <f>'Lineal Mixto'!$C$1074</f>
      </c>
      <c r="C6118" s="6" t="str">
        <f>'Lineal Mixto'!$C$1075</f>
      </c>
      <c r="D6118" s="6" t="str">
        <f>MIN(INT(B6118*5),4)</f>
      </c>
      <c r="E6118" s="6" t="str">
        <f>MIN(INT(C6118*5),4)</f>
      </c>
      <c r="F6118" s="6" t="str">
        <f>D6118*5+E6118</f>
      </c>
    </row>
    <row r="6119">
      <c r="A6119" s="5">
        <v>1071</v>
      </c>
      <c r="B6119" s="5" t="str">
        <f>'Lineal Mixto'!$C$1075</f>
      </c>
      <c r="C6119" s="5" t="str">
        <f>'Lineal Mixto'!$C$1076</f>
      </c>
      <c r="D6119" s="5" t="str">
        <f>MIN(INT(B6119*5),4)</f>
      </c>
      <c r="E6119" s="5" t="str">
        <f>MIN(INT(C6119*5),4)</f>
      </c>
      <c r="F6119" s="5" t="str">
        <f>D6119*5+E6119</f>
      </c>
    </row>
    <row r="6120">
      <c r="A6120" s="6">
        <v>1072</v>
      </c>
      <c r="B6120" s="6" t="str">
        <f>'Lineal Mixto'!$C$1076</f>
      </c>
      <c r="C6120" s="6" t="str">
        <f>'Lineal Mixto'!$C$1077</f>
      </c>
      <c r="D6120" s="6" t="str">
        <f>MIN(INT(B6120*5),4)</f>
      </c>
      <c r="E6120" s="6" t="str">
        <f>MIN(INT(C6120*5),4)</f>
      </c>
      <c r="F6120" s="6" t="str">
        <f>D6120*5+E6120</f>
      </c>
    </row>
    <row r="6121">
      <c r="A6121" s="5">
        <v>1073</v>
      </c>
      <c r="B6121" s="5" t="str">
        <f>'Lineal Mixto'!$C$1077</f>
      </c>
      <c r="C6121" s="5" t="str">
        <f>'Lineal Mixto'!$C$1078</f>
      </c>
      <c r="D6121" s="5" t="str">
        <f>MIN(INT(B6121*5),4)</f>
      </c>
      <c r="E6121" s="5" t="str">
        <f>MIN(INT(C6121*5),4)</f>
      </c>
      <c r="F6121" s="5" t="str">
        <f>D6121*5+E6121</f>
      </c>
    </row>
    <row r="6122">
      <c r="A6122" s="6">
        <v>1074</v>
      </c>
      <c r="B6122" s="6" t="str">
        <f>'Lineal Mixto'!$C$1078</f>
      </c>
      <c r="C6122" s="6" t="str">
        <f>'Lineal Mixto'!$C$1079</f>
      </c>
      <c r="D6122" s="6" t="str">
        <f>MIN(INT(B6122*5),4)</f>
      </c>
      <c r="E6122" s="6" t="str">
        <f>MIN(INT(C6122*5),4)</f>
      </c>
      <c r="F6122" s="6" t="str">
        <f>D6122*5+E6122</f>
      </c>
    </row>
    <row r="6123">
      <c r="A6123" s="5">
        <v>1075</v>
      </c>
      <c r="B6123" s="5" t="str">
        <f>'Lineal Mixto'!$C$1079</f>
      </c>
      <c r="C6123" s="5" t="str">
        <f>'Lineal Mixto'!$C$1080</f>
      </c>
      <c r="D6123" s="5" t="str">
        <f>MIN(INT(B6123*5),4)</f>
      </c>
      <c r="E6123" s="5" t="str">
        <f>MIN(INT(C6123*5),4)</f>
      </c>
      <c r="F6123" s="5" t="str">
        <f>D6123*5+E6123</f>
      </c>
    </row>
    <row r="6124">
      <c r="A6124" s="6">
        <v>1076</v>
      </c>
      <c r="B6124" s="6" t="str">
        <f>'Lineal Mixto'!$C$1080</f>
      </c>
      <c r="C6124" s="6" t="str">
        <f>'Lineal Mixto'!$C$1081</f>
      </c>
      <c r="D6124" s="6" t="str">
        <f>MIN(INT(B6124*5),4)</f>
      </c>
      <c r="E6124" s="6" t="str">
        <f>MIN(INT(C6124*5),4)</f>
      </c>
      <c r="F6124" s="6" t="str">
        <f>D6124*5+E6124</f>
      </c>
    </row>
    <row r="6125">
      <c r="A6125" s="5">
        <v>1077</v>
      </c>
      <c r="B6125" s="5" t="str">
        <f>'Lineal Mixto'!$C$1081</f>
      </c>
      <c r="C6125" s="5" t="str">
        <f>'Lineal Mixto'!$C$1082</f>
      </c>
      <c r="D6125" s="5" t="str">
        <f>MIN(INT(B6125*5),4)</f>
      </c>
      <c r="E6125" s="5" t="str">
        <f>MIN(INT(C6125*5),4)</f>
      </c>
      <c r="F6125" s="5" t="str">
        <f>D6125*5+E6125</f>
      </c>
    </row>
    <row r="6126">
      <c r="A6126" s="6">
        <v>1078</v>
      </c>
      <c r="B6126" s="6" t="str">
        <f>'Lineal Mixto'!$C$1082</f>
      </c>
      <c r="C6126" s="6" t="str">
        <f>'Lineal Mixto'!$C$1083</f>
      </c>
      <c r="D6126" s="6" t="str">
        <f>MIN(INT(B6126*5),4)</f>
      </c>
      <c r="E6126" s="6" t="str">
        <f>MIN(INT(C6126*5),4)</f>
      </c>
      <c r="F6126" s="6" t="str">
        <f>D6126*5+E6126</f>
      </c>
    </row>
    <row r="6127">
      <c r="A6127" s="5">
        <v>1079</v>
      </c>
      <c r="B6127" s="5" t="str">
        <f>'Lineal Mixto'!$C$1083</f>
      </c>
      <c r="C6127" s="5" t="str">
        <f>'Lineal Mixto'!$C$1084</f>
      </c>
      <c r="D6127" s="5" t="str">
        <f>MIN(INT(B6127*5),4)</f>
      </c>
      <c r="E6127" s="5" t="str">
        <f>MIN(INT(C6127*5),4)</f>
      </c>
      <c r="F6127" s="5" t="str">
        <f>D6127*5+E6127</f>
      </c>
    </row>
    <row r="6128">
      <c r="A6128" s="6">
        <v>1080</v>
      </c>
      <c r="B6128" s="6" t="str">
        <f>'Lineal Mixto'!$C$1084</f>
      </c>
      <c r="C6128" s="6" t="str">
        <f>'Lineal Mixto'!$C$1085</f>
      </c>
      <c r="D6128" s="6" t="str">
        <f>MIN(INT(B6128*5),4)</f>
      </c>
      <c r="E6128" s="6" t="str">
        <f>MIN(INT(C6128*5),4)</f>
      </c>
      <c r="F6128" s="6" t="str">
        <f>D6128*5+E6128</f>
      </c>
    </row>
    <row r="6129">
      <c r="A6129" s="5">
        <v>1081</v>
      </c>
      <c r="B6129" s="5" t="str">
        <f>'Lineal Mixto'!$C$1085</f>
      </c>
      <c r="C6129" s="5" t="str">
        <f>'Lineal Mixto'!$C$1086</f>
      </c>
      <c r="D6129" s="5" t="str">
        <f>MIN(INT(B6129*5),4)</f>
      </c>
      <c r="E6129" s="5" t="str">
        <f>MIN(INT(C6129*5),4)</f>
      </c>
      <c r="F6129" s="5" t="str">
        <f>D6129*5+E6129</f>
      </c>
    </row>
    <row r="6130">
      <c r="A6130" s="6">
        <v>1082</v>
      </c>
      <c r="B6130" s="6" t="str">
        <f>'Lineal Mixto'!$C$1086</f>
      </c>
      <c r="C6130" s="6" t="str">
        <f>'Lineal Mixto'!$C$1087</f>
      </c>
      <c r="D6130" s="6" t="str">
        <f>MIN(INT(B6130*5),4)</f>
      </c>
      <c r="E6130" s="6" t="str">
        <f>MIN(INT(C6130*5),4)</f>
      </c>
      <c r="F6130" s="6" t="str">
        <f>D6130*5+E6130</f>
      </c>
    </row>
    <row r="6131">
      <c r="A6131" s="5">
        <v>1083</v>
      </c>
      <c r="B6131" s="5" t="str">
        <f>'Lineal Mixto'!$C$1087</f>
      </c>
      <c r="C6131" s="5" t="str">
        <f>'Lineal Mixto'!$C$1088</f>
      </c>
      <c r="D6131" s="5" t="str">
        <f>MIN(INT(B6131*5),4)</f>
      </c>
      <c r="E6131" s="5" t="str">
        <f>MIN(INT(C6131*5),4)</f>
      </c>
      <c r="F6131" s="5" t="str">
        <f>D6131*5+E6131</f>
      </c>
    </row>
    <row r="6132">
      <c r="A6132" s="6">
        <v>1084</v>
      </c>
      <c r="B6132" s="6" t="str">
        <f>'Lineal Mixto'!$C$1088</f>
      </c>
      <c r="C6132" s="6" t="str">
        <f>'Lineal Mixto'!$C$1089</f>
      </c>
      <c r="D6132" s="6" t="str">
        <f>MIN(INT(B6132*5),4)</f>
      </c>
      <c r="E6132" s="6" t="str">
        <f>MIN(INT(C6132*5),4)</f>
      </c>
      <c r="F6132" s="6" t="str">
        <f>D6132*5+E6132</f>
      </c>
    </row>
    <row r="6133">
      <c r="A6133" s="5">
        <v>1085</v>
      </c>
      <c r="B6133" s="5" t="str">
        <f>'Lineal Mixto'!$C$1089</f>
      </c>
      <c r="C6133" s="5" t="str">
        <f>'Lineal Mixto'!$C$1090</f>
      </c>
      <c r="D6133" s="5" t="str">
        <f>MIN(INT(B6133*5),4)</f>
      </c>
      <c r="E6133" s="5" t="str">
        <f>MIN(INT(C6133*5),4)</f>
      </c>
      <c r="F6133" s="5" t="str">
        <f>D6133*5+E6133</f>
      </c>
    </row>
    <row r="6134">
      <c r="A6134" s="6">
        <v>1086</v>
      </c>
      <c r="B6134" s="6" t="str">
        <f>'Lineal Mixto'!$C$1090</f>
      </c>
      <c r="C6134" s="6" t="str">
        <f>'Lineal Mixto'!$C$1091</f>
      </c>
      <c r="D6134" s="6" t="str">
        <f>MIN(INT(B6134*5),4)</f>
      </c>
      <c r="E6134" s="6" t="str">
        <f>MIN(INT(C6134*5),4)</f>
      </c>
      <c r="F6134" s="6" t="str">
        <f>D6134*5+E6134</f>
      </c>
    </row>
    <row r="6135">
      <c r="A6135" s="5">
        <v>1087</v>
      </c>
      <c r="B6135" s="5" t="str">
        <f>'Lineal Mixto'!$C$1091</f>
      </c>
      <c r="C6135" s="5" t="str">
        <f>'Lineal Mixto'!$C$1092</f>
      </c>
      <c r="D6135" s="5" t="str">
        <f>MIN(INT(B6135*5),4)</f>
      </c>
      <c r="E6135" s="5" t="str">
        <f>MIN(INT(C6135*5),4)</f>
      </c>
      <c r="F6135" s="5" t="str">
        <f>D6135*5+E6135</f>
      </c>
    </row>
    <row r="6136">
      <c r="A6136" s="6">
        <v>1088</v>
      </c>
      <c r="B6136" s="6" t="str">
        <f>'Lineal Mixto'!$C$1092</f>
      </c>
      <c r="C6136" s="6" t="str">
        <f>'Lineal Mixto'!$C$1093</f>
      </c>
      <c r="D6136" s="6" t="str">
        <f>MIN(INT(B6136*5),4)</f>
      </c>
      <c r="E6136" s="6" t="str">
        <f>MIN(INT(C6136*5),4)</f>
      </c>
      <c r="F6136" s="6" t="str">
        <f>D6136*5+E6136</f>
      </c>
    </row>
    <row r="6137">
      <c r="A6137" s="5">
        <v>1089</v>
      </c>
      <c r="B6137" s="5" t="str">
        <f>'Lineal Mixto'!$C$1093</f>
      </c>
      <c r="C6137" s="5" t="str">
        <f>'Lineal Mixto'!$C$1094</f>
      </c>
      <c r="D6137" s="5" t="str">
        <f>MIN(INT(B6137*5),4)</f>
      </c>
      <c r="E6137" s="5" t="str">
        <f>MIN(INT(C6137*5),4)</f>
      </c>
      <c r="F6137" s="5" t="str">
        <f>D6137*5+E6137</f>
      </c>
    </row>
    <row r="6138">
      <c r="A6138" s="6">
        <v>1090</v>
      </c>
      <c r="B6138" s="6" t="str">
        <f>'Lineal Mixto'!$C$1094</f>
      </c>
      <c r="C6138" s="6" t="str">
        <f>'Lineal Mixto'!$C$1095</f>
      </c>
      <c r="D6138" s="6" t="str">
        <f>MIN(INT(B6138*5),4)</f>
      </c>
      <c r="E6138" s="6" t="str">
        <f>MIN(INT(C6138*5),4)</f>
      </c>
      <c r="F6138" s="6" t="str">
        <f>D6138*5+E6138</f>
      </c>
    </row>
    <row r="6139">
      <c r="A6139" s="5">
        <v>1091</v>
      </c>
      <c r="B6139" s="5" t="str">
        <f>'Lineal Mixto'!$C$1095</f>
      </c>
      <c r="C6139" s="5" t="str">
        <f>'Lineal Mixto'!$C$1096</f>
      </c>
      <c r="D6139" s="5" t="str">
        <f>MIN(INT(B6139*5),4)</f>
      </c>
      <c r="E6139" s="5" t="str">
        <f>MIN(INT(C6139*5),4)</f>
      </c>
      <c r="F6139" s="5" t="str">
        <f>D6139*5+E6139</f>
      </c>
    </row>
    <row r="6140">
      <c r="A6140" s="6">
        <v>1092</v>
      </c>
      <c r="B6140" s="6" t="str">
        <f>'Lineal Mixto'!$C$1096</f>
      </c>
      <c r="C6140" s="6" t="str">
        <f>'Lineal Mixto'!$C$1097</f>
      </c>
      <c r="D6140" s="6" t="str">
        <f>MIN(INT(B6140*5),4)</f>
      </c>
      <c r="E6140" s="6" t="str">
        <f>MIN(INT(C6140*5),4)</f>
      </c>
      <c r="F6140" s="6" t="str">
        <f>D6140*5+E6140</f>
      </c>
    </row>
    <row r="6141">
      <c r="A6141" s="5">
        <v>1093</v>
      </c>
      <c r="B6141" s="5" t="str">
        <f>'Lineal Mixto'!$C$1097</f>
      </c>
      <c r="C6141" s="5" t="str">
        <f>'Lineal Mixto'!$C$1098</f>
      </c>
      <c r="D6141" s="5" t="str">
        <f>MIN(INT(B6141*5),4)</f>
      </c>
      <c r="E6141" s="5" t="str">
        <f>MIN(INT(C6141*5),4)</f>
      </c>
      <c r="F6141" s="5" t="str">
        <f>D6141*5+E6141</f>
      </c>
    </row>
    <row r="6142">
      <c r="A6142" s="6">
        <v>1094</v>
      </c>
      <c r="B6142" s="6" t="str">
        <f>'Lineal Mixto'!$C$1098</f>
      </c>
      <c r="C6142" s="6" t="str">
        <f>'Lineal Mixto'!$C$1099</f>
      </c>
      <c r="D6142" s="6" t="str">
        <f>MIN(INT(B6142*5),4)</f>
      </c>
      <c r="E6142" s="6" t="str">
        <f>MIN(INT(C6142*5),4)</f>
      </c>
      <c r="F6142" s="6" t="str">
        <f>D6142*5+E6142</f>
      </c>
    </row>
    <row r="6143">
      <c r="A6143" s="5">
        <v>1095</v>
      </c>
      <c r="B6143" s="5" t="str">
        <f>'Lineal Mixto'!$C$1099</f>
      </c>
      <c r="C6143" s="5" t="str">
        <f>'Lineal Mixto'!$C$1100</f>
      </c>
      <c r="D6143" s="5" t="str">
        <f>MIN(INT(B6143*5),4)</f>
      </c>
      <c r="E6143" s="5" t="str">
        <f>MIN(INT(C6143*5),4)</f>
      </c>
      <c r="F6143" s="5" t="str">
        <f>D6143*5+E6143</f>
      </c>
    </row>
    <row r="6144">
      <c r="A6144" s="6">
        <v>1096</v>
      </c>
      <c r="B6144" s="6" t="str">
        <f>'Lineal Mixto'!$C$1100</f>
      </c>
      <c r="C6144" s="6" t="str">
        <f>'Lineal Mixto'!$C$1101</f>
      </c>
      <c r="D6144" s="6" t="str">
        <f>MIN(INT(B6144*5),4)</f>
      </c>
      <c r="E6144" s="6" t="str">
        <f>MIN(INT(C6144*5),4)</f>
      </c>
      <c r="F6144" s="6" t="str">
        <f>D6144*5+E6144</f>
      </c>
    </row>
    <row r="6145">
      <c r="A6145" s="5">
        <v>1097</v>
      </c>
      <c r="B6145" s="5" t="str">
        <f>'Lineal Mixto'!$C$1101</f>
      </c>
      <c r="C6145" s="5" t="str">
        <f>'Lineal Mixto'!$C$1102</f>
      </c>
      <c r="D6145" s="5" t="str">
        <f>MIN(INT(B6145*5),4)</f>
      </c>
      <c r="E6145" s="5" t="str">
        <f>MIN(INT(C6145*5),4)</f>
      </c>
      <c r="F6145" s="5" t="str">
        <f>D6145*5+E6145</f>
      </c>
    </row>
    <row r="6146">
      <c r="A6146" s="6">
        <v>1098</v>
      </c>
      <c r="B6146" s="6" t="str">
        <f>'Lineal Mixto'!$C$1102</f>
      </c>
      <c r="C6146" s="6" t="str">
        <f>'Lineal Mixto'!$C$1103</f>
      </c>
      <c r="D6146" s="6" t="str">
        <f>MIN(INT(B6146*5),4)</f>
      </c>
      <c r="E6146" s="6" t="str">
        <f>MIN(INT(C6146*5),4)</f>
      </c>
      <c r="F6146" s="6" t="str">
        <f>D6146*5+E6146</f>
      </c>
    </row>
    <row r="6147">
      <c r="A6147" s="5">
        <v>1099</v>
      </c>
      <c r="B6147" s="5" t="str">
        <f>'Lineal Mixto'!$C$1103</f>
      </c>
      <c r="C6147" s="5" t="str">
        <f>'Lineal Mixto'!$C$1104</f>
      </c>
      <c r="D6147" s="5" t="str">
        <f>MIN(INT(B6147*5),4)</f>
      </c>
      <c r="E6147" s="5" t="str">
        <f>MIN(INT(C6147*5),4)</f>
      </c>
      <c r="F6147" s="5" t="str">
        <f>D6147*5+E6147</f>
      </c>
    </row>
    <row r="6148">
      <c r="A6148" s="6">
        <v>1100</v>
      </c>
      <c r="B6148" s="6" t="str">
        <f>'Lineal Mixto'!$C$1104</f>
      </c>
      <c r="C6148" s="6" t="str">
        <f>'Lineal Mixto'!$C$1105</f>
      </c>
      <c r="D6148" s="6" t="str">
        <f>MIN(INT(B6148*5),4)</f>
      </c>
      <c r="E6148" s="6" t="str">
        <f>MIN(INT(C6148*5),4)</f>
      </c>
      <c r="F6148" s="6" t="str">
        <f>D6148*5+E6148</f>
      </c>
    </row>
    <row r="6149">
      <c r="A6149" s="5">
        <v>1101</v>
      </c>
      <c r="B6149" s="5" t="str">
        <f>'Lineal Mixto'!$C$1105</f>
      </c>
      <c r="C6149" s="5" t="str">
        <f>'Lineal Mixto'!$C$1106</f>
      </c>
      <c r="D6149" s="5" t="str">
        <f>MIN(INT(B6149*5),4)</f>
      </c>
      <c r="E6149" s="5" t="str">
        <f>MIN(INT(C6149*5),4)</f>
      </c>
      <c r="F6149" s="5" t="str">
        <f>D6149*5+E6149</f>
      </c>
    </row>
    <row r="6150">
      <c r="A6150" s="6">
        <v>1102</v>
      </c>
      <c r="B6150" s="6" t="str">
        <f>'Lineal Mixto'!$C$1106</f>
      </c>
      <c r="C6150" s="6" t="str">
        <f>'Lineal Mixto'!$C$1107</f>
      </c>
      <c r="D6150" s="6" t="str">
        <f>MIN(INT(B6150*5),4)</f>
      </c>
      <c r="E6150" s="6" t="str">
        <f>MIN(INT(C6150*5),4)</f>
      </c>
      <c r="F6150" s="6" t="str">
        <f>D6150*5+E6150</f>
      </c>
    </row>
    <row r="6151">
      <c r="A6151" s="5">
        <v>1103</v>
      </c>
      <c r="B6151" s="5" t="str">
        <f>'Lineal Mixto'!$C$1107</f>
      </c>
      <c r="C6151" s="5" t="str">
        <f>'Lineal Mixto'!$C$1108</f>
      </c>
      <c r="D6151" s="5" t="str">
        <f>MIN(INT(B6151*5),4)</f>
      </c>
      <c r="E6151" s="5" t="str">
        <f>MIN(INT(C6151*5),4)</f>
      </c>
      <c r="F6151" s="5" t="str">
        <f>D6151*5+E6151</f>
      </c>
    </row>
    <row r="6152">
      <c r="A6152" s="6">
        <v>1104</v>
      </c>
      <c r="B6152" s="6" t="str">
        <f>'Lineal Mixto'!$C$1108</f>
      </c>
      <c r="C6152" s="6" t="str">
        <f>'Lineal Mixto'!$C$1109</f>
      </c>
      <c r="D6152" s="6" t="str">
        <f>MIN(INT(B6152*5),4)</f>
      </c>
      <c r="E6152" s="6" t="str">
        <f>MIN(INT(C6152*5),4)</f>
      </c>
      <c r="F6152" s="6" t="str">
        <f>D6152*5+E6152</f>
      </c>
    </row>
    <row r="6153">
      <c r="A6153" s="5">
        <v>1105</v>
      </c>
      <c r="B6153" s="5" t="str">
        <f>'Lineal Mixto'!$C$1109</f>
      </c>
      <c r="C6153" s="5" t="str">
        <f>'Lineal Mixto'!$C$1110</f>
      </c>
      <c r="D6153" s="5" t="str">
        <f>MIN(INT(B6153*5),4)</f>
      </c>
      <c r="E6153" s="5" t="str">
        <f>MIN(INT(C6153*5),4)</f>
      </c>
      <c r="F6153" s="5" t="str">
        <f>D6153*5+E6153</f>
      </c>
    </row>
    <row r="6154">
      <c r="A6154" s="6">
        <v>1106</v>
      </c>
      <c r="B6154" s="6" t="str">
        <f>'Lineal Mixto'!$C$1110</f>
      </c>
      <c r="C6154" s="6" t="str">
        <f>'Lineal Mixto'!$C$1111</f>
      </c>
      <c r="D6154" s="6" t="str">
        <f>MIN(INT(B6154*5),4)</f>
      </c>
      <c r="E6154" s="6" t="str">
        <f>MIN(INT(C6154*5),4)</f>
      </c>
      <c r="F6154" s="6" t="str">
        <f>D6154*5+E6154</f>
      </c>
    </row>
    <row r="6155">
      <c r="A6155" s="5">
        <v>1107</v>
      </c>
      <c r="B6155" s="5" t="str">
        <f>'Lineal Mixto'!$C$1111</f>
      </c>
      <c r="C6155" s="5" t="str">
        <f>'Lineal Mixto'!$C$1112</f>
      </c>
      <c r="D6155" s="5" t="str">
        <f>MIN(INT(B6155*5),4)</f>
      </c>
      <c r="E6155" s="5" t="str">
        <f>MIN(INT(C6155*5),4)</f>
      </c>
      <c r="F6155" s="5" t="str">
        <f>D6155*5+E6155</f>
      </c>
    </row>
    <row r="6156">
      <c r="A6156" s="6">
        <v>1108</v>
      </c>
      <c r="B6156" s="6" t="str">
        <f>'Lineal Mixto'!$C$1112</f>
      </c>
      <c r="C6156" s="6" t="str">
        <f>'Lineal Mixto'!$C$1113</f>
      </c>
      <c r="D6156" s="6" t="str">
        <f>MIN(INT(B6156*5),4)</f>
      </c>
      <c r="E6156" s="6" t="str">
        <f>MIN(INT(C6156*5),4)</f>
      </c>
      <c r="F6156" s="6" t="str">
        <f>D6156*5+E6156</f>
      </c>
    </row>
    <row r="6157">
      <c r="A6157" s="5">
        <v>1109</v>
      </c>
      <c r="B6157" s="5" t="str">
        <f>'Lineal Mixto'!$C$1113</f>
      </c>
      <c r="C6157" s="5" t="str">
        <f>'Lineal Mixto'!$C$1114</f>
      </c>
      <c r="D6157" s="5" t="str">
        <f>MIN(INT(B6157*5),4)</f>
      </c>
      <c r="E6157" s="5" t="str">
        <f>MIN(INT(C6157*5),4)</f>
      </c>
      <c r="F6157" s="5" t="str">
        <f>D6157*5+E6157</f>
      </c>
    </row>
    <row r="6158">
      <c r="A6158" s="6">
        <v>1110</v>
      </c>
      <c r="B6158" s="6" t="str">
        <f>'Lineal Mixto'!$C$1114</f>
      </c>
      <c r="C6158" s="6" t="str">
        <f>'Lineal Mixto'!$C$1115</f>
      </c>
      <c r="D6158" s="6" t="str">
        <f>MIN(INT(B6158*5),4)</f>
      </c>
      <c r="E6158" s="6" t="str">
        <f>MIN(INT(C6158*5),4)</f>
      </c>
      <c r="F6158" s="6" t="str">
        <f>D6158*5+E6158</f>
      </c>
    </row>
    <row r="6159">
      <c r="A6159" s="5">
        <v>1111</v>
      </c>
      <c r="B6159" s="5" t="str">
        <f>'Lineal Mixto'!$C$1115</f>
      </c>
      <c r="C6159" s="5" t="str">
        <f>'Lineal Mixto'!$C$1116</f>
      </c>
      <c r="D6159" s="5" t="str">
        <f>MIN(INT(B6159*5),4)</f>
      </c>
      <c r="E6159" s="5" t="str">
        <f>MIN(INT(C6159*5),4)</f>
      </c>
      <c r="F6159" s="5" t="str">
        <f>D6159*5+E6159</f>
      </c>
    </row>
    <row r="6160">
      <c r="A6160" s="6">
        <v>1112</v>
      </c>
      <c r="B6160" s="6" t="str">
        <f>'Lineal Mixto'!$C$1116</f>
      </c>
      <c r="C6160" s="6" t="str">
        <f>'Lineal Mixto'!$C$1117</f>
      </c>
      <c r="D6160" s="6" t="str">
        <f>MIN(INT(B6160*5),4)</f>
      </c>
      <c r="E6160" s="6" t="str">
        <f>MIN(INT(C6160*5),4)</f>
      </c>
      <c r="F6160" s="6" t="str">
        <f>D6160*5+E6160</f>
      </c>
    </row>
    <row r="6161">
      <c r="A6161" s="5">
        <v>1113</v>
      </c>
      <c r="B6161" s="5" t="str">
        <f>'Lineal Mixto'!$C$1117</f>
      </c>
      <c r="C6161" s="5" t="str">
        <f>'Lineal Mixto'!$C$1118</f>
      </c>
      <c r="D6161" s="5" t="str">
        <f>MIN(INT(B6161*5),4)</f>
      </c>
      <c r="E6161" s="5" t="str">
        <f>MIN(INT(C6161*5),4)</f>
      </c>
      <c r="F6161" s="5" t="str">
        <f>D6161*5+E6161</f>
      </c>
    </row>
    <row r="6162">
      <c r="A6162" s="6">
        <v>1114</v>
      </c>
      <c r="B6162" s="6" t="str">
        <f>'Lineal Mixto'!$C$1118</f>
      </c>
      <c r="C6162" s="6" t="str">
        <f>'Lineal Mixto'!$C$1119</f>
      </c>
      <c r="D6162" s="6" t="str">
        <f>MIN(INT(B6162*5),4)</f>
      </c>
      <c r="E6162" s="6" t="str">
        <f>MIN(INT(C6162*5),4)</f>
      </c>
      <c r="F6162" s="6" t="str">
        <f>D6162*5+E6162</f>
      </c>
    </row>
    <row r="6163">
      <c r="A6163" s="5">
        <v>1115</v>
      </c>
      <c r="B6163" s="5" t="str">
        <f>'Lineal Mixto'!$C$1119</f>
      </c>
      <c r="C6163" s="5" t="str">
        <f>'Lineal Mixto'!$C$1120</f>
      </c>
      <c r="D6163" s="5" t="str">
        <f>MIN(INT(B6163*5),4)</f>
      </c>
      <c r="E6163" s="5" t="str">
        <f>MIN(INT(C6163*5),4)</f>
      </c>
      <c r="F6163" s="5" t="str">
        <f>D6163*5+E6163</f>
      </c>
    </row>
    <row r="6164">
      <c r="A6164" s="6">
        <v>1116</v>
      </c>
      <c r="B6164" s="6" t="str">
        <f>'Lineal Mixto'!$C$1120</f>
      </c>
      <c r="C6164" s="6" t="str">
        <f>'Lineal Mixto'!$C$1121</f>
      </c>
      <c r="D6164" s="6" t="str">
        <f>MIN(INT(B6164*5),4)</f>
      </c>
      <c r="E6164" s="6" t="str">
        <f>MIN(INT(C6164*5),4)</f>
      </c>
      <c r="F6164" s="6" t="str">
        <f>D6164*5+E6164</f>
      </c>
    </row>
    <row r="6165">
      <c r="A6165" s="5">
        <v>1117</v>
      </c>
      <c r="B6165" s="5" t="str">
        <f>'Lineal Mixto'!$C$1121</f>
      </c>
      <c r="C6165" s="5" t="str">
        <f>'Lineal Mixto'!$C$1122</f>
      </c>
      <c r="D6165" s="5" t="str">
        <f>MIN(INT(B6165*5),4)</f>
      </c>
      <c r="E6165" s="5" t="str">
        <f>MIN(INT(C6165*5),4)</f>
      </c>
      <c r="F6165" s="5" t="str">
        <f>D6165*5+E6165</f>
      </c>
    </row>
    <row r="6166">
      <c r="A6166" s="6">
        <v>1118</v>
      </c>
      <c r="B6166" s="6" t="str">
        <f>'Lineal Mixto'!$C$1122</f>
      </c>
      <c r="C6166" s="6" t="str">
        <f>'Lineal Mixto'!$C$1123</f>
      </c>
      <c r="D6166" s="6" t="str">
        <f>MIN(INT(B6166*5),4)</f>
      </c>
      <c r="E6166" s="6" t="str">
        <f>MIN(INT(C6166*5),4)</f>
      </c>
      <c r="F6166" s="6" t="str">
        <f>D6166*5+E6166</f>
      </c>
    </row>
    <row r="6167">
      <c r="A6167" s="5">
        <v>1119</v>
      </c>
      <c r="B6167" s="5" t="str">
        <f>'Lineal Mixto'!$C$1123</f>
      </c>
      <c r="C6167" s="5" t="str">
        <f>'Lineal Mixto'!$C$1124</f>
      </c>
      <c r="D6167" s="5" t="str">
        <f>MIN(INT(B6167*5),4)</f>
      </c>
      <c r="E6167" s="5" t="str">
        <f>MIN(INT(C6167*5),4)</f>
      </c>
      <c r="F6167" s="5" t="str">
        <f>D6167*5+E6167</f>
      </c>
    </row>
    <row r="6168">
      <c r="A6168" s="6">
        <v>1120</v>
      </c>
      <c r="B6168" s="6" t="str">
        <f>'Lineal Mixto'!$C$1124</f>
      </c>
      <c r="C6168" s="6" t="str">
        <f>'Lineal Mixto'!$C$1125</f>
      </c>
      <c r="D6168" s="6" t="str">
        <f>MIN(INT(B6168*5),4)</f>
      </c>
      <c r="E6168" s="6" t="str">
        <f>MIN(INT(C6168*5),4)</f>
      </c>
      <c r="F6168" s="6" t="str">
        <f>D6168*5+E6168</f>
      </c>
    </row>
    <row r="6169">
      <c r="A6169" s="5">
        <v>1121</v>
      </c>
      <c r="B6169" s="5" t="str">
        <f>'Lineal Mixto'!$C$1125</f>
      </c>
      <c r="C6169" s="5" t="str">
        <f>'Lineal Mixto'!$C$1126</f>
      </c>
      <c r="D6169" s="5" t="str">
        <f>MIN(INT(B6169*5),4)</f>
      </c>
      <c r="E6169" s="5" t="str">
        <f>MIN(INT(C6169*5),4)</f>
      </c>
      <c r="F6169" s="5" t="str">
        <f>D6169*5+E6169</f>
      </c>
    </row>
    <row r="6170">
      <c r="A6170" s="6">
        <v>1122</v>
      </c>
      <c r="B6170" s="6" t="str">
        <f>'Lineal Mixto'!$C$1126</f>
      </c>
      <c r="C6170" s="6" t="str">
        <f>'Lineal Mixto'!$C$1127</f>
      </c>
      <c r="D6170" s="6" t="str">
        <f>MIN(INT(B6170*5),4)</f>
      </c>
      <c r="E6170" s="6" t="str">
        <f>MIN(INT(C6170*5),4)</f>
      </c>
      <c r="F6170" s="6" t="str">
        <f>D6170*5+E6170</f>
      </c>
    </row>
    <row r="6171">
      <c r="A6171" s="5">
        <v>1123</v>
      </c>
      <c r="B6171" s="5" t="str">
        <f>'Lineal Mixto'!$C$1127</f>
      </c>
      <c r="C6171" s="5" t="str">
        <f>'Lineal Mixto'!$C$1128</f>
      </c>
      <c r="D6171" s="5" t="str">
        <f>MIN(INT(B6171*5),4)</f>
      </c>
      <c r="E6171" s="5" t="str">
        <f>MIN(INT(C6171*5),4)</f>
      </c>
      <c r="F6171" s="5" t="str">
        <f>D6171*5+E6171</f>
      </c>
    </row>
    <row r="6172">
      <c r="A6172" s="6">
        <v>1124</v>
      </c>
      <c r="B6172" s="6" t="str">
        <f>'Lineal Mixto'!$C$1128</f>
      </c>
      <c r="C6172" s="6" t="str">
        <f>'Lineal Mixto'!$C$1129</f>
      </c>
      <c r="D6172" s="6" t="str">
        <f>MIN(INT(B6172*5),4)</f>
      </c>
      <c r="E6172" s="6" t="str">
        <f>MIN(INT(C6172*5),4)</f>
      </c>
      <c r="F6172" s="6" t="str">
        <f>D6172*5+E6172</f>
      </c>
    </row>
    <row r="6173">
      <c r="A6173" s="5">
        <v>1125</v>
      </c>
      <c r="B6173" s="5" t="str">
        <f>'Lineal Mixto'!$C$1129</f>
      </c>
      <c r="C6173" s="5" t="str">
        <f>'Lineal Mixto'!$C$1130</f>
      </c>
      <c r="D6173" s="5" t="str">
        <f>MIN(INT(B6173*5),4)</f>
      </c>
      <c r="E6173" s="5" t="str">
        <f>MIN(INT(C6173*5),4)</f>
      </c>
      <c r="F6173" s="5" t="str">
        <f>D6173*5+E6173</f>
      </c>
    </row>
    <row r="6174">
      <c r="A6174" s="6">
        <v>1126</v>
      </c>
      <c r="B6174" s="6" t="str">
        <f>'Lineal Mixto'!$C$1130</f>
      </c>
      <c r="C6174" s="6" t="str">
        <f>'Lineal Mixto'!$C$1131</f>
      </c>
      <c r="D6174" s="6" t="str">
        <f>MIN(INT(B6174*5),4)</f>
      </c>
      <c r="E6174" s="6" t="str">
        <f>MIN(INT(C6174*5),4)</f>
      </c>
      <c r="F6174" s="6" t="str">
        <f>D6174*5+E6174</f>
      </c>
    </row>
    <row r="6175">
      <c r="A6175" s="5">
        <v>1127</v>
      </c>
      <c r="B6175" s="5" t="str">
        <f>'Lineal Mixto'!$C$1131</f>
      </c>
      <c r="C6175" s="5" t="str">
        <f>'Lineal Mixto'!$C$1132</f>
      </c>
      <c r="D6175" s="5" t="str">
        <f>MIN(INT(B6175*5),4)</f>
      </c>
      <c r="E6175" s="5" t="str">
        <f>MIN(INT(C6175*5),4)</f>
      </c>
      <c r="F6175" s="5" t="str">
        <f>D6175*5+E6175</f>
      </c>
    </row>
    <row r="6176">
      <c r="A6176" s="6">
        <v>1128</v>
      </c>
      <c r="B6176" s="6" t="str">
        <f>'Lineal Mixto'!$C$1132</f>
      </c>
      <c r="C6176" s="6" t="str">
        <f>'Lineal Mixto'!$C$1133</f>
      </c>
      <c r="D6176" s="6" t="str">
        <f>MIN(INT(B6176*5),4)</f>
      </c>
      <c r="E6176" s="6" t="str">
        <f>MIN(INT(C6176*5),4)</f>
      </c>
      <c r="F6176" s="6" t="str">
        <f>D6176*5+E6176</f>
      </c>
    </row>
    <row r="6177">
      <c r="A6177" s="5">
        <v>1129</v>
      </c>
      <c r="B6177" s="5" t="str">
        <f>'Lineal Mixto'!$C$1133</f>
      </c>
      <c r="C6177" s="5" t="str">
        <f>'Lineal Mixto'!$C$1134</f>
      </c>
      <c r="D6177" s="5" t="str">
        <f>MIN(INT(B6177*5),4)</f>
      </c>
      <c r="E6177" s="5" t="str">
        <f>MIN(INT(C6177*5),4)</f>
      </c>
      <c r="F6177" s="5" t="str">
        <f>D6177*5+E6177</f>
      </c>
    </row>
    <row r="6178">
      <c r="A6178" s="6">
        <v>1130</v>
      </c>
      <c r="B6178" s="6" t="str">
        <f>'Lineal Mixto'!$C$1134</f>
      </c>
      <c r="C6178" s="6" t="str">
        <f>'Lineal Mixto'!$C$1135</f>
      </c>
      <c r="D6178" s="6" t="str">
        <f>MIN(INT(B6178*5),4)</f>
      </c>
      <c r="E6178" s="6" t="str">
        <f>MIN(INT(C6178*5),4)</f>
      </c>
      <c r="F6178" s="6" t="str">
        <f>D6178*5+E6178</f>
      </c>
    </row>
    <row r="6179">
      <c r="A6179" s="5">
        <v>1131</v>
      </c>
      <c r="B6179" s="5" t="str">
        <f>'Lineal Mixto'!$C$1135</f>
      </c>
      <c r="C6179" s="5" t="str">
        <f>'Lineal Mixto'!$C$1136</f>
      </c>
      <c r="D6179" s="5" t="str">
        <f>MIN(INT(B6179*5),4)</f>
      </c>
      <c r="E6179" s="5" t="str">
        <f>MIN(INT(C6179*5),4)</f>
      </c>
      <c r="F6179" s="5" t="str">
        <f>D6179*5+E6179</f>
      </c>
    </row>
    <row r="6180">
      <c r="A6180" s="6">
        <v>1132</v>
      </c>
      <c r="B6180" s="6" t="str">
        <f>'Lineal Mixto'!$C$1136</f>
      </c>
      <c r="C6180" s="6" t="str">
        <f>'Lineal Mixto'!$C$1137</f>
      </c>
      <c r="D6180" s="6" t="str">
        <f>MIN(INT(B6180*5),4)</f>
      </c>
      <c r="E6180" s="6" t="str">
        <f>MIN(INT(C6180*5),4)</f>
      </c>
      <c r="F6180" s="6" t="str">
        <f>D6180*5+E6180</f>
      </c>
    </row>
    <row r="6181">
      <c r="A6181" s="5">
        <v>1133</v>
      </c>
      <c r="B6181" s="5" t="str">
        <f>'Lineal Mixto'!$C$1137</f>
      </c>
      <c r="C6181" s="5" t="str">
        <f>'Lineal Mixto'!$C$1138</f>
      </c>
      <c r="D6181" s="5" t="str">
        <f>MIN(INT(B6181*5),4)</f>
      </c>
      <c r="E6181" s="5" t="str">
        <f>MIN(INT(C6181*5),4)</f>
      </c>
      <c r="F6181" s="5" t="str">
        <f>D6181*5+E6181</f>
      </c>
    </row>
    <row r="6182">
      <c r="A6182" s="6">
        <v>1134</v>
      </c>
      <c r="B6182" s="6" t="str">
        <f>'Lineal Mixto'!$C$1138</f>
      </c>
      <c r="C6182" s="6" t="str">
        <f>'Lineal Mixto'!$C$1139</f>
      </c>
      <c r="D6182" s="6" t="str">
        <f>MIN(INT(B6182*5),4)</f>
      </c>
      <c r="E6182" s="6" t="str">
        <f>MIN(INT(C6182*5),4)</f>
      </c>
      <c r="F6182" s="6" t="str">
        <f>D6182*5+E6182</f>
      </c>
    </row>
    <row r="6183">
      <c r="A6183" s="5">
        <v>1135</v>
      </c>
      <c r="B6183" s="5" t="str">
        <f>'Lineal Mixto'!$C$1139</f>
      </c>
      <c r="C6183" s="5" t="str">
        <f>'Lineal Mixto'!$C$1140</f>
      </c>
      <c r="D6183" s="5" t="str">
        <f>MIN(INT(B6183*5),4)</f>
      </c>
      <c r="E6183" s="5" t="str">
        <f>MIN(INT(C6183*5),4)</f>
      </c>
      <c r="F6183" s="5" t="str">
        <f>D6183*5+E6183</f>
      </c>
    </row>
    <row r="6184">
      <c r="A6184" s="6">
        <v>1136</v>
      </c>
      <c r="B6184" s="6" t="str">
        <f>'Lineal Mixto'!$C$1140</f>
      </c>
      <c r="C6184" s="6" t="str">
        <f>'Lineal Mixto'!$C$1141</f>
      </c>
      <c r="D6184" s="6" t="str">
        <f>MIN(INT(B6184*5),4)</f>
      </c>
      <c r="E6184" s="6" t="str">
        <f>MIN(INT(C6184*5),4)</f>
      </c>
      <c r="F6184" s="6" t="str">
        <f>D6184*5+E6184</f>
      </c>
    </row>
    <row r="6185">
      <c r="A6185" s="5">
        <v>1137</v>
      </c>
      <c r="B6185" s="5" t="str">
        <f>'Lineal Mixto'!$C$1141</f>
      </c>
      <c r="C6185" s="5" t="str">
        <f>'Lineal Mixto'!$C$1142</f>
      </c>
      <c r="D6185" s="5" t="str">
        <f>MIN(INT(B6185*5),4)</f>
      </c>
      <c r="E6185" s="5" t="str">
        <f>MIN(INT(C6185*5),4)</f>
      </c>
      <c r="F6185" s="5" t="str">
        <f>D6185*5+E6185</f>
      </c>
    </row>
    <row r="6186">
      <c r="A6186" s="6">
        <v>1138</v>
      </c>
      <c r="B6186" s="6" t="str">
        <f>'Lineal Mixto'!$C$1142</f>
      </c>
      <c r="C6186" s="6" t="str">
        <f>'Lineal Mixto'!$C$1143</f>
      </c>
      <c r="D6186" s="6" t="str">
        <f>MIN(INT(B6186*5),4)</f>
      </c>
      <c r="E6186" s="6" t="str">
        <f>MIN(INT(C6186*5),4)</f>
      </c>
      <c r="F6186" s="6" t="str">
        <f>D6186*5+E6186</f>
      </c>
    </row>
    <row r="6187">
      <c r="A6187" s="5">
        <v>1139</v>
      </c>
      <c r="B6187" s="5" t="str">
        <f>'Lineal Mixto'!$C$1143</f>
      </c>
      <c r="C6187" s="5" t="str">
        <f>'Lineal Mixto'!$C$1144</f>
      </c>
      <c r="D6187" s="5" t="str">
        <f>MIN(INT(B6187*5),4)</f>
      </c>
      <c r="E6187" s="5" t="str">
        <f>MIN(INT(C6187*5),4)</f>
      </c>
      <c r="F6187" s="5" t="str">
        <f>D6187*5+E6187</f>
      </c>
    </row>
    <row r="6188">
      <c r="A6188" s="6">
        <v>1140</v>
      </c>
      <c r="B6188" s="6" t="str">
        <f>'Lineal Mixto'!$C$1144</f>
      </c>
      <c r="C6188" s="6" t="str">
        <f>'Lineal Mixto'!$C$1145</f>
      </c>
      <c r="D6188" s="6" t="str">
        <f>MIN(INT(B6188*5),4)</f>
      </c>
      <c r="E6188" s="6" t="str">
        <f>MIN(INT(C6188*5),4)</f>
      </c>
      <c r="F6188" s="6" t="str">
        <f>D6188*5+E6188</f>
      </c>
    </row>
    <row r="6189">
      <c r="A6189" s="5">
        <v>1141</v>
      </c>
      <c r="B6189" s="5" t="str">
        <f>'Lineal Mixto'!$C$1145</f>
      </c>
      <c r="C6189" s="5" t="str">
        <f>'Lineal Mixto'!$C$1146</f>
      </c>
      <c r="D6189" s="5" t="str">
        <f>MIN(INT(B6189*5),4)</f>
      </c>
      <c r="E6189" s="5" t="str">
        <f>MIN(INT(C6189*5),4)</f>
      </c>
      <c r="F6189" s="5" t="str">
        <f>D6189*5+E6189</f>
      </c>
    </row>
    <row r="6190">
      <c r="A6190" s="6">
        <v>1142</v>
      </c>
      <c r="B6190" s="6" t="str">
        <f>'Lineal Mixto'!$C$1146</f>
      </c>
      <c r="C6190" s="6" t="str">
        <f>'Lineal Mixto'!$C$1147</f>
      </c>
      <c r="D6190" s="6" t="str">
        <f>MIN(INT(B6190*5),4)</f>
      </c>
      <c r="E6190" s="6" t="str">
        <f>MIN(INT(C6190*5),4)</f>
      </c>
      <c r="F6190" s="6" t="str">
        <f>D6190*5+E6190</f>
      </c>
    </row>
    <row r="6191">
      <c r="A6191" s="5">
        <v>1143</v>
      </c>
      <c r="B6191" s="5" t="str">
        <f>'Lineal Mixto'!$C$1147</f>
      </c>
      <c r="C6191" s="5" t="str">
        <f>'Lineal Mixto'!$C$1148</f>
      </c>
      <c r="D6191" s="5" t="str">
        <f>MIN(INT(B6191*5),4)</f>
      </c>
      <c r="E6191" s="5" t="str">
        <f>MIN(INT(C6191*5),4)</f>
      </c>
      <c r="F6191" s="5" t="str">
        <f>D6191*5+E6191</f>
      </c>
    </row>
    <row r="6192">
      <c r="A6192" s="6">
        <v>1144</v>
      </c>
      <c r="B6192" s="6" t="str">
        <f>'Lineal Mixto'!$C$1148</f>
      </c>
      <c r="C6192" s="6" t="str">
        <f>'Lineal Mixto'!$C$1149</f>
      </c>
      <c r="D6192" s="6" t="str">
        <f>MIN(INT(B6192*5),4)</f>
      </c>
      <c r="E6192" s="6" t="str">
        <f>MIN(INT(C6192*5),4)</f>
      </c>
      <c r="F6192" s="6" t="str">
        <f>D6192*5+E6192</f>
      </c>
    </row>
    <row r="6193">
      <c r="A6193" s="5">
        <v>1145</v>
      </c>
      <c r="B6193" s="5" t="str">
        <f>'Lineal Mixto'!$C$1149</f>
      </c>
      <c r="C6193" s="5" t="str">
        <f>'Lineal Mixto'!$C$1150</f>
      </c>
      <c r="D6193" s="5" t="str">
        <f>MIN(INT(B6193*5),4)</f>
      </c>
      <c r="E6193" s="5" t="str">
        <f>MIN(INT(C6193*5),4)</f>
      </c>
      <c r="F6193" s="5" t="str">
        <f>D6193*5+E6193</f>
      </c>
    </row>
    <row r="6194">
      <c r="A6194" s="6">
        <v>1146</v>
      </c>
      <c r="B6194" s="6" t="str">
        <f>'Lineal Mixto'!$C$1150</f>
      </c>
      <c r="C6194" s="6" t="str">
        <f>'Lineal Mixto'!$C$1151</f>
      </c>
      <c r="D6194" s="6" t="str">
        <f>MIN(INT(B6194*5),4)</f>
      </c>
      <c r="E6194" s="6" t="str">
        <f>MIN(INT(C6194*5),4)</f>
      </c>
      <c r="F6194" s="6" t="str">
        <f>D6194*5+E6194</f>
      </c>
    </row>
    <row r="6195">
      <c r="A6195" s="5">
        <v>1147</v>
      </c>
      <c r="B6195" s="5" t="str">
        <f>'Lineal Mixto'!$C$1151</f>
      </c>
      <c r="C6195" s="5" t="str">
        <f>'Lineal Mixto'!$C$1152</f>
      </c>
      <c r="D6195" s="5" t="str">
        <f>MIN(INT(B6195*5),4)</f>
      </c>
      <c r="E6195" s="5" t="str">
        <f>MIN(INT(C6195*5),4)</f>
      </c>
      <c r="F6195" s="5" t="str">
        <f>D6195*5+E6195</f>
      </c>
    </row>
    <row r="6196">
      <c r="A6196" s="6">
        <v>1148</v>
      </c>
      <c r="B6196" s="6" t="str">
        <f>'Lineal Mixto'!$C$1152</f>
      </c>
      <c r="C6196" s="6" t="str">
        <f>'Lineal Mixto'!$C$1153</f>
      </c>
      <c r="D6196" s="6" t="str">
        <f>MIN(INT(B6196*5),4)</f>
      </c>
      <c r="E6196" s="6" t="str">
        <f>MIN(INT(C6196*5),4)</f>
      </c>
      <c r="F6196" s="6" t="str">
        <f>D6196*5+E6196</f>
      </c>
    </row>
    <row r="6197">
      <c r="A6197" s="5">
        <v>1149</v>
      </c>
      <c r="B6197" s="5" t="str">
        <f>'Lineal Mixto'!$C$1153</f>
      </c>
      <c r="C6197" s="5" t="str">
        <f>'Lineal Mixto'!$C$1154</f>
      </c>
      <c r="D6197" s="5" t="str">
        <f>MIN(INT(B6197*5),4)</f>
      </c>
      <c r="E6197" s="5" t="str">
        <f>MIN(INT(C6197*5),4)</f>
      </c>
      <c r="F6197" s="5" t="str">
        <f>D6197*5+E6197</f>
      </c>
    </row>
    <row r="6198">
      <c r="A6198" s="6">
        <v>1150</v>
      </c>
      <c r="B6198" s="6" t="str">
        <f>'Lineal Mixto'!$C$1154</f>
      </c>
      <c r="C6198" s="6" t="str">
        <f>'Lineal Mixto'!$C$1155</f>
      </c>
      <c r="D6198" s="6" t="str">
        <f>MIN(INT(B6198*5),4)</f>
      </c>
      <c r="E6198" s="6" t="str">
        <f>MIN(INT(C6198*5),4)</f>
      </c>
      <c r="F6198" s="6" t="str">
        <f>D6198*5+E6198</f>
      </c>
    </row>
    <row r="6199">
      <c r="A6199" s="5">
        <v>1151</v>
      </c>
      <c r="B6199" s="5" t="str">
        <f>'Lineal Mixto'!$C$1155</f>
      </c>
      <c r="C6199" s="5" t="str">
        <f>'Lineal Mixto'!$C$1156</f>
      </c>
      <c r="D6199" s="5" t="str">
        <f>MIN(INT(B6199*5),4)</f>
      </c>
      <c r="E6199" s="5" t="str">
        <f>MIN(INT(C6199*5),4)</f>
      </c>
      <c r="F6199" s="5" t="str">
        <f>D6199*5+E6199</f>
      </c>
    </row>
    <row r="6200">
      <c r="A6200" s="6">
        <v>1152</v>
      </c>
      <c r="B6200" s="6" t="str">
        <f>'Lineal Mixto'!$C$1156</f>
      </c>
      <c r="C6200" s="6" t="str">
        <f>'Lineal Mixto'!$C$1157</f>
      </c>
      <c r="D6200" s="6" t="str">
        <f>MIN(INT(B6200*5),4)</f>
      </c>
      <c r="E6200" s="6" t="str">
        <f>MIN(INT(C6200*5),4)</f>
      </c>
      <c r="F6200" s="6" t="str">
        <f>D6200*5+E6200</f>
      </c>
    </row>
    <row r="6201">
      <c r="A6201" s="5">
        <v>1153</v>
      </c>
      <c r="B6201" s="5" t="str">
        <f>'Lineal Mixto'!$C$1157</f>
      </c>
      <c r="C6201" s="5" t="str">
        <f>'Lineal Mixto'!$C$1158</f>
      </c>
      <c r="D6201" s="5" t="str">
        <f>MIN(INT(B6201*5),4)</f>
      </c>
      <c r="E6201" s="5" t="str">
        <f>MIN(INT(C6201*5),4)</f>
      </c>
      <c r="F6201" s="5" t="str">
        <f>D6201*5+E6201</f>
      </c>
    </row>
    <row r="6202">
      <c r="A6202" s="6">
        <v>1154</v>
      </c>
      <c r="B6202" s="6" t="str">
        <f>'Lineal Mixto'!$C$1158</f>
      </c>
      <c r="C6202" s="6" t="str">
        <f>'Lineal Mixto'!$C$1159</f>
      </c>
      <c r="D6202" s="6" t="str">
        <f>MIN(INT(B6202*5),4)</f>
      </c>
      <c r="E6202" s="6" t="str">
        <f>MIN(INT(C6202*5),4)</f>
      </c>
      <c r="F6202" s="6" t="str">
        <f>D6202*5+E6202</f>
      </c>
    </row>
    <row r="6203">
      <c r="A6203" s="5">
        <v>1155</v>
      </c>
      <c r="B6203" s="5" t="str">
        <f>'Lineal Mixto'!$C$1159</f>
      </c>
      <c r="C6203" s="5" t="str">
        <f>'Lineal Mixto'!$C$1160</f>
      </c>
      <c r="D6203" s="5" t="str">
        <f>MIN(INT(B6203*5),4)</f>
      </c>
      <c r="E6203" s="5" t="str">
        <f>MIN(INT(C6203*5),4)</f>
      </c>
      <c r="F6203" s="5" t="str">
        <f>D6203*5+E6203</f>
      </c>
    </row>
    <row r="6204">
      <c r="A6204" s="6">
        <v>1156</v>
      </c>
      <c r="B6204" s="6" t="str">
        <f>'Lineal Mixto'!$C$1160</f>
      </c>
      <c r="C6204" s="6" t="str">
        <f>'Lineal Mixto'!$C$1161</f>
      </c>
      <c r="D6204" s="6" t="str">
        <f>MIN(INT(B6204*5),4)</f>
      </c>
      <c r="E6204" s="6" t="str">
        <f>MIN(INT(C6204*5),4)</f>
      </c>
      <c r="F6204" s="6" t="str">
        <f>D6204*5+E6204</f>
      </c>
    </row>
    <row r="6205">
      <c r="A6205" s="5">
        <v>1157</v>
      </c>
      <c r="B6205" s="5" t="str">
        <f>'Lineal Mixto'!$C$1161</f>
      </c>
      <c r="C6205" s="5" t="str">
        <f>'Lineal Mixto'!$C$1162</f>
      </c>
      <c r="D6205" s="5" t="str">
        <f>MIN(INT(B6205*5),4)</f>
      </c>
      <c r="E6205" s="5" t="str">
        <f>MIN(INT(C6205*5),4)</f>
      </c>
      <c r="F6205" s="5" t="str">
        <f>D6205*5+E6205</f>
      </c>
    </row>
    <row r="6206">
      <c r="A6206" s="6">
        <v>1158</v>
      </c>
      <c r="B6206" s="6" t="str">
        <f>'Lineal Mixto'!$C$1162</f>
      </c>
      <c r="C6206" s="6" t="str">
        <f>'Lineal Mixto'!$C$1163</f>
      </c>
      <c r="D6206" s="6" t="str">
        <f>MIN(INT(B6206*5),4)</f>
      </c>
      <c r="E6206" s="6" t="str">
        <f>MIN(INT(C6206*5),4)</f>
      </c>
      <c r="F6206" s="6" t="str">
        <f>D6206*5+E6206</f>
      </c>
    </row>
    <row r="6207">
      <c r="A6207" s="5">
        <v>1159</v>
      </c>
      <c r="B6207" s="5" t="str">
        <f>'Lineal Mixto'!$C$1163</f>
      </c>
      <c r="C6207" s="5" t="str">
        <f>'Lineal Mixto'!$C$1164</f>
      </c>
      <c r="D6207" s="5" t="str">
        <f>MIN(INT(B6207*5),4)</f>
      </c>
      <c r="E6207" s="5" t="str">
        <f>MIN(INT(C6207*5),4)</f>
      </c>
      <c r="F6207" s="5" t="str">
        <f>D6207*5+E6207</f>
      </c>
    </row>
    <row r="6208">
      <c r="A6208" s="6">
        <v>1160</v>
      </c>
      <c r="B6208" s="6" t="str">
        <f>'Lineal Mixto'!$C$1164</f>
      </c>
      <c r="C6208" s="6" t="str">
        <f>'Lineal Mixto'!$C$1165</f>
      </c>
      <c r="D6208" s="6" t="str">
        <f>MIN(INT(B6208*5),4)</f>
      </c>
      <c r="E6208" s="6" t="str">
        <f>MIN(INT(C6208*5),4)</f>
      </c>
      <c r="F6208" s="6" t="str">
        <f>D6208*5+E6208</f>
      </c>
    </row>
    <row r="6209">
      <c r="A6209" s="5">
        <v>1161</v>
      </c>
      <c r="B6209" s="5" t="str">
        <f>'Lineal Mixto'!$C$1165</f>
      </c>
      <c r="C6209" s="5" t="str">
        <f>'Lineal Mixto'!$C$1166</f>
      </c>
      <c r="D6209" s="5" t="str">
        <f>MIN(INT(B6209*5),4)</f>
      </c>
      <c r="E6209" s="5" t="str">
        <f>MIN(INT(C6209*5),4)</f>
      </c>
      <c r="F6209" s="5" t="str">
        <f>D6209*5+E6209</f>
      </c>
    </row>
    <row r="6210">
      <c r="A6210" s="6">
        <v>1162</v>
      </c>
      <c r="B6210" s="6" t="str">
        <f>'Lineal Mixto'!$C$1166</f>
      </c>
      <c r="C6210" s="6" t="str">
        <f>'Lineal Mixto'!$C$1167</f>
      </c>
      <c r="D6210" s="6" t="str">
        <f>MIN(INT(B6210*5),4)</f>
      </c>
      <c r="E6210" s="6" t="str">
        <f>MIN(INT(C6210*5),4)</f>
      </c>
      <c r="F6210" s="6" t="str">
        <f>D6210*5+E6210</f>
      </c>
    </row>
    <row r="6211">
      <c r="A6211" s="5">
        <v>1163</v>
      </c>
      <c r="B6211" s="5" t="str">
        <f>'Lineal Mixto'!$C$1167</f>
      </c>
      <c r="C6211" s="5" t="str">
        <f>'Lineal Mixto'!$C$1168</f>
      </c>
      <c r="D6211" s="5" t="str">
        <f>MIN(INT(B6211*5),4)</f>
      </c>
      <c r="E6211" s="5" t="str">
        <f>MIN(INT(C6211*5),4)</f>
      </c>
      <c r="F6211" s="5" t="str">
        <f>D6211*5+E6211</f>
      </c>
    </row>
    <row r="6212">
      <c r="A6212" s="6">
        <v>1164</v>
      </c>
      <c r="B6212" s="6" t="str">
        <f>'Lineal Mixto'!$C$1168</f>
      </c>
      <c r="C6212" s="6" t="str">
        <f>'Lineal Mixto'!$C$1169</f>
      </c>
      <c r="D6212" s="6" t="str">
        <f>MIN(INT(B6212*5),4)</f>
      </c>
      <c r="E6212" s="6" t="str">
        <f>MIN(INT(C6212*5),4)</f>
      </c>
      <c r="F6212" s="6" t="str">
        <f>D6212*5+E6212</f>
      </c>
    </row>
    <row r="6213">
      <c r="A6213" s="5">
        <v>1165</v>
      </c>
      <c r="B6213" s="5" t="str">
        <f>'Lineal Mixto'!$C$1169</f>
      </c>
      <c r="C6213" s="5" t="str">
        <f>'Lineal Mixto'!$C$1170</f>
      </c>
      <c r="D6213" s="5" t="str">
        <f>MIN(INT(B6213*5),4)</f>
      </c>
      <c r="E6213" s="5" t="str">
        <f>MIN(INT(C6213*5),4)</f>
      </c>
      <c r="F6213" s="5" t="str">
        <f>D6213*5+E6213</f>
      </c>
    </row>
    <row r="6214">
      <c r="A6214" s="6">
        <v>1166</v>
      </c>
      <c r="B6214" s="6" t="str">
        <f>'Lineal Mixto'!$C$1170</f>
      </c>
      <c r="C6214" s="6" t="str">
        <f>'Lineal Mixto'!$C$1171</f>
      </c>
      <c r="D6214" s="6" t="str">
        <f>MIN(INT(B6214*5),4)</f>
      </c>
      <c r="E6214" s="6" t="str">
        <f>MIN(INT(C6214*5),4)</f>
      </c>
      <c r="F6214" s="6" t="str">
        <f>D6214*5+E6214</f>
      </c>
    </row>
    <row r="6215">
      <c r="A6215" s="5">
        <v>1167</v>
      </c>
      <c r="B6215" s="5" t="str">
        <f>'Lineal Mixto'!$C$1171</f>
      </c>
      <c r="C6215" s="5" t="str">
        <f>'Lineal Mixto'!$C$1172</f>
      </c>
      <c r="D6215" s="5" t="str">
        <f>MIN(INT(B6215*5),4)</f>
      </c>
      <c r="E6215" s="5" t="str">
        <f>MIN(INT(C6215*5),4)</f>
      </c>
      <c r="F6215" s="5" t="str">
        <f>D6215*5+E6215</f>
      </c>
    </row>
    <row r="6216">
      <c r="A6216" s="6">
        <v>1168</v>
      </c>
      <c r="B6216" s="6" t="str">
        <f>'Lineal Mixto'!$C$1172</f>
      </c>
      <c r="C6216" s="6" t="str">
        <f>'Lineal Mixto'!$C$1173</f>
      </c>
      <c r="D6216" s="6" t="str">
        <f>MIN(INT(B6216*5),4)</f>
      </c>
      <c r="E6216" s="6" t="str">
        <f>MIN(INT(C6216*5),4)</f>
      </c>
      <c r="F6216" s="6" t="str">
        <f>D6216*5+E6216</f>
      </c>
    </row>
    <row r="6217">
      <c r="A6217" s="5">
        <v>1169</v>
      </c>
      <c r="B6217" s="5" t="str">
        <f>'Lineal Mixto'!$C$1173</f>
      </c>
      <c r="C6217" s="5" t="str">
        <f>'Lineal Mixto'!$C$1174</f>
      </c>
      <c r="D6217" s="5" t="str">
        <f>MIN(INT(B6217*5),4)</f>
      </c>
      <c r="E6217" s="5" t="str">
        <f>MIN(INT(C6217*5),4)</f>
      </c>
      <c r="F6217" s="5" t="str">
        <f>D6217*5+E6217</f>
      </c>
    </row>
    <row r="6218">
      <c r="A6218" s="6">
        <v>1170</v>
      </c>
      <c r="B6218" s="6" t="str">
        <f>'Lineal Mixto'!$C$1174</f>
      </c>
      <c r="C6218" s="6" t="str">
        <f>'Lineal Mixto'!$C$1175</f>
      </c>
      <c r="D6218" s="6" t="str">
        <f>MIN(INT(B6218*5),4)</f>
      </c>
      <c r="E6218" s="6" t="str">
        <f>MIN(INT(C6218*5),4)</f>
      </c>
      <c r="F6218" s="6" t="str">
        <f>D6218*5+E6218</f>
      </c>
    </row>
    <row r="6219">
      <c r="A6219" s="5">
        <v>1171</v>
      </c>
      <c r="B6219" s="5" t="str">
        <f>'Lineal Mixto'!$C$1175</f>
      </c>
      <c r="C6219" s="5" t="str">
        <f>'Lineal Mixto'!$C$1176</f>
      </c>
      <c r="D6219" s="5" t="str">
        <f>MIN(INT(B6219*5),4)</f>
      </c>
      <c r="E6219" s="5" t="str">
        <f>MIN(INT(C6219*5),4)</f>
      </c>
      <c r="F6219" s="5" t="str">
        <f>D6219*5+E6219</f>
      </c>
    </row>
    <row r="6220">
      <c r="A6220" s="6">
        <v>1172</v>
      </c>
      <c r="B6220" s="6" t="str">
        <f>'Lineal Mixto'!$C$1176</f>
      </c>
      <c r="C6220" s="6" t="str">
        <f>'Lineal Mixto'!$C$1177</f>
      </c>
      <c r="D6220" s="6" t="str">
        <f>MIN(INT(B6220*5),4)</f>
      </c>
      <c r="E6220" s="6" t="str">
        <f>MIN(INT(C6220*5),4)</f>
      </c>
      <c r="F6220" s="6" t="str">
        <f>D6220*5+E6220</f>
      </c>
    </row>
    <row r="6221">
      <c r="A6221" s="5">
        <v>1173</v>
      </c>
      <c r="B6221" s="5" t="str">
        <f>'Lineal Mixto'!$C$1177</f>
      </c>
      <c r="C6221" s="5" t="str">
        <f>'Lineal Mixto'!$C$1178</f>
      </c>
      <c r="D6221" s="5" t="str">
        <f>MIN(INT(B6221*5),4)</f>
      </c>
      <c r="E6221" s="5" t="str">
        <f>MIN(INT(C6221*5),4)</f>
      </c>
      <c r="F6221" s="5" t="str">
        <f>D6221*5+E6221</f>
      </c>
    </row>
    <row r="6222">
      <c r="A6222" s="6">
        <v>1174</v>
      </c>
      <c r="B6222" s="6" t="str">
        <f>'Lineal Mixto'!$C$1178</f>
      </c>
      <c r="C6222" s="6" t="str">
        <f>'Lineal Mixto'!$C$1179</f>
      </c>
      <c r="D6222" s="6" t="str">
        <f>MIN(INT(B6222*5),4)</f>
      </c>
      <c r="E6222" s="6" t="str">
        <f>MIN(INT(C6222*5),4)</f>
      </c>
      <c r="F6222" s="6" t="str">
        <f>D6222*5+E6222</f>
      </c>
    </row>
    <row r="6223">
      <c r="A6223" s="5">
        <v>1175</v>
      </c>
      <c r="B6223" s="5" t="str">
        <f>'Lineal Mixto'!$C$1179</f>
      </c>
      <c r="C6223" s="5" t="str">
        <f>'Lineal Mixto'!$C$1180</f>
      </c>
      <c r="D6223" s="5" t="str">
        <f>MIN(INT(B6223*5),4)</f>
      </c>
      <c r="E6223" s="5" t="str">
        <f>MIN(INT(C6223*5),4)</f>
      </c>
      <c r="F6223" s="5" t="str">
        <f>D6223*5+E6223</f>
      </c>
    </row>
    <row r="6224">
      <c r="A6224" s="6">
        <v>1176</v>
      </c>
      <c r="B6224" s="6" t="str">
        <f>'Lineal Mixto'!$C$1180</f>
      </c>
      <c r="C6224" s="6" t="str">
        <f>'Lineal Mixto'!$C$1181</f>
      </c>
      <c r="D6224" s="6" t="str">
        <f>MIN(INT(B6224*5),4)</f>
      </c>
      <c r="E6224" s="6" t="str">
        <f>MIN(INT(C6224*5),4)</f>
      </c>
      <c r="F6224" s="6" t="str">
        <f>D6224*5+E6224</f>
      </c>
    </row>
    <row r="6225">
      <c r="A6225" s="5">
        <v>1177</v>
      </c>
      <c r="B6225" s="5" t="str">
        <f>'Lineal Mixto'!$C$1181</f>
      </c>
      <c r="C6225" s="5" t="str">
        <f>'Lineal Mixto'!$C$1182</f>
      </c>
      <c r="D6225" s="5" t="str">
        <f>MIN(INT(B6225*5),4)</f>
      </c>
      <c r="E6225" s="5" t="str">
        <f>MIN(INT(C6225*5),4)</f>
      </c>
      <c r="F6225" s="5" t="str">
        <f>D6225*5+E6225</f>
      </c>
    </row>
    <row r="6226">
      <c r="A6226" s="6">
        <v>1178</v>
      </c>
      <c r="B6226" s="6" t="str">
        <f>'Lineal Mixto'!$C$1182</f>
      </c>
      <c r="C6226" s="6" t="str">
        <f>'Lineal Mixto'!$C$1183</f>
      </c>
      <c r="D6226" s="6" t="str">
        <f>MIN(INT(B6226*5),4)</f>
      </c>
      <c r="E6226" s="6" t="str">
        <f>MIN(INT(C6226*5),4)</f>
      </c>
      <c r="F6226" s="6" t="str">
        <f>D6226*5+E6226</f>
      </c>
    </row>
    <row r="6227">
      <c r="A6227" s="5">
        <v>1179</v>
      </c>
      <c r="B6227" s="5" t="str">
        <f>'Lineal Mixto'!$C$1183</f>
      </c>
      <c r="C6227" s="5" t="str">
        <f>'Lineal Mixto'!$C$1184</f>
      </c>
      <c r="D6227" s="5" t="str">
        <f>MIN(INT(B6227*5),4)</f>
      </c>
      <c r="E6227" s="5" t="str">
        <f>MIN(INT(C6227*5),4)</f>
      </c>
      <c r="F6227" s="5" t="str">
        <f>D6227*5+E6227</f>
      </c>
    </row>
    <row r="6228">
      <c r="A6228" s="6">
        <v>1180</v>
      </c>
      <c r="B6228" s="6" t="str">
        <f>'Lineal Mixto'!$C$1184</f>
      </c>
      <c r="C6228" s="6" t="str">
        <f>'Lineal Mixto'!$C$1185</f>
      </c>
      <c r="D6228" s="6" t="str">
        <f>MIN(INT(B6228*5),4)</f>
      </c>
      <c r="E6228" s="6" t="str">
        <f>MIN(INT(C6228*5),4)</f>
      </c>
      <c r="F6228" s="6" t="str">
        <f>D6228*5+E6228</f>
      </c>
    </row>
    <row r="6229">
      <c r="A6229" s="5">
        <v>1181</v>
      </c>
      <c r="B6229" s="5" t="str">
        <f>'Lineal Mixto'!$C$1185</f>
      </c>
      <c r="C6229" s="5" t="str">
        <f>'Lineal Mixto'!$C$1186</f>
      </c>
      <c r="D6229" s="5" t="str">
        <f>MIN(INT(B6229*5),4)</f>
      </c>
      <c r="E6229" s="5" t="str">
        <f>MIN(INT(C6229*5),4)</f>
      </c>
      <c r="F6229" s="5" t="str">
        <f>D6229*5+E6229</f>
      </c>
    </row>
    <row r="6230">
      <c r="A6230" s="6">
        <v>1182</v>
      </c>
      <c r="B6230" s="6" t="str">
        <f>'Lineal Mixto'!$C$1186</f>
      </c>
      <c r="C6230" s="6" t="str">
        <f>'Lineal Mixto'!$C$1187</f>
      </c>
      <c r="D6230" s="6" t="str">
        <f>MIN(INT(B6230*5),4)</f>
      </c>
      <c r="E6230" s="6" t="str">
        <f>MIN(INT(C6230*5),4)</f>
      </c>
      <c r="F6230" s="6" t="str">
        <f>D6230*5+E6230</f>
      </c>
    </row>
    <row r="6231">
      <c r="A6231" s="5">
        <v>1183</v>
      </c>
      <c r="B6231" s="5" t="str">
        <f>'Lineal Mixto'!$C$1187</f>
      </c>
      <c r="C6231" s="5" t="str">
        <f>'Lineal Mixto'!$C$1188</f>
      </c>
      <c r="D6231" s="5" t="str">
        <f>MIN(INT(B6231*5),4)</f>
      </c>
      <c r="E6231" s="5" t="str">
        <f>MIN(INT(C6231*5),4)</f>
      </c>
      <c r="F6231" s="5" t="str">
        <f>D6231*5+E6231</f>
      </c>
    </row>
    <row r="6232">
      <c r="A6232" s="6">
        <v>1184</v>
      </c>
      <c r="B6232" s="6" t="str">
        <f>'Lineal Mixto'!$C$1188</f>
      </c>
      <c r="C6232" s="6" t="str">
        <f>'Lineal Mixto'!$C$1189</f>
      </c>
      <c r="D6232" s="6" t="str">
        <f>MIN(INT(B6232*5),4)</f>
      </c>
      <c r="E6232" s="6" t="str">
        <f>MIN(INT(C6232*5),4)</f>
      </c>
      <c r="F6232" s="6" t="str">
        <f>D6232*5+E6232</f>
      </c>
    </row>
    <row r="6233">
      <c r="A6233" s="5">
        <v>1185</v>
      </c>
      <c r="B6233" s="5" t="str">
        <f>'Lineal Mixto'!$C$1189</f>
      </c>
      <c r="C6233" s="5" t="str">
        <f>'Lineal Mixto'!$C$1190</f>
      </c>
      <c r="D6233" s="5" t="str">
        <f>MIN(INT(B6233*5),4)</f>
      </c>
      <c r="E6233" s="5" t="str">
        <f>MIN(INT(C6233*5),4)</f>
      </c>
      <c r="F6233" s="5" t="str">
        <f>D6233*5+E6233</f>
      </c>
    </row>
    <row r="6234">
      <c r="A6234" s="6">
        <v>1186</v>
      </c>
      <c r="B6234" s="6" t="str">
        <f>'Lineal Mixto'!$C$1190</f>
      </c>
      <c r="C6234" s="6" t="str">
        <f>'Lineal Mixto'!$C$1191</f>
      </c>
      <c r="D6234" s="6" t="str">
        <f>MIN(INT(B6234*5),4)</f>
      </c>
      <c r="E6234" s="6" t="str">
        <f>MIN(INT(C6234*5),4)</f>
      </c>
      <c r="F6234" s="6" t="str">
        <f>D6234*5+E6234</f>
      </c>
    </row>
    <row r="6235">
      <c r="A6235" s="5">
        <v>1187</v>
      </c>
      <c r="B6235" s="5" t="str">
        <f>'Lineal Mixto'!$C$1191</f>
      </c>
      <c r="C6235" s="5" t="str">
        <f>'Lineal Mixto'!$C$1192</f>
      </c>
      <c r="D6235" s="5" t="str">
        <f>MIN(INT(B6235*5),4)</f>
      </c>
      <c r="E6235" s="5" t="str">
        <f>MIN(INT(C6235*5),4)</f>
      </c>
      <c r="F6235" s="5" t="str">
        <f>D6235*5+E6235</f>
      </c>
    </row>
    <row r="6236">
      <c r="A6236" s="6">
        <v>1188</v>
      </c>
      <c r="B6236" s="6" t="str">
        <f>'Lineal Mixto'!$C$1192</f>
      </c>
      <c r="C6236" s="6" t="str">
        <f>'Lineal Mixto'!$C$1193</f>
      </c>
      <c r="D6236" s="6" t="str">
        <f>MIN(INT(B6236*5),4)</f>
      </c>
      <c r="E6236" s="6" t="str">
        <f>MIN(INT(C6236*5),4)</f>
      </c>
      <c r="F6236" s="6" t="str">
        <f>D6236*5+E6236</f>
      </c>
    </row>
    <row r="6237">
      <c r="A6237" s="5">
        <v>1189</v>
      </c>
      <c r="B6237" s="5" t="str">
        <f>'Lineal Mixto'!$C$1193</f>
      </c>
      <c r="C6237" s="5" t="str">
        <f>'Lineal Mixto'!$C$1194</f>
      </c>
      <c r="D6237" s="5" t="str">
        <f>MIN(INT(B6237*5),4)</f>
      </c>
      <c r="E6237" s="5" t="str">
        <f>MIN(INT(C6237*5),4)</f>
      </c>
      <c r="F6237" s="5" t="str">
        <f>D6237*5+E6237</f>
      </c>
    </row>
    <row r="6238">
      <c r="A6238" s="6">
        <v>1190</v>
      </c>
      <c r="B6238" s="6" t="str">
        <f>'Lineal Mixto'!$C$1194</f>
      </c>
      <c r="C6238" s="6" t="str">
        <f>'Lineal Mixto'!$C$1195</f>
      </c>
      <c r="D6238" s="6" t="str">
        <f>MIN(INT(B6238*5),4)</f>
      </c>
      <c r="E6238" s="6" t="str">
        <f>MIN(INT(C6238*5),4)</f>
      </c>
      <c r="F6238" s="6" t="str">
        <f>D6238*5+E6238</f>
      </c>
    </row>
    <row r="6239">
      <c r="A6239" s="5">
        <v>1191</v>
      </c>
      <c r="B6239" s="5" t="str">
        <f>'Lineal Mixto'!$C$1195</f>
      </c>
      <c r="C6239" s="5" t="str">
        <f>'Lineal Mixto'!$C$1196</f>
      </c>
      <c r="D6239" s="5" t="str">
        <f>MIN(INT(B6239*5),4)</f>
      </c>
      <c r="E6239" s="5" t="str">
        <f>MIN(INT(C6239*5),4)</f>
      </c>
      <c r="F6239" s="5" t="str">
        <f>D6239*5+E6239</f>
      </c>
    </row>
    <row r="6240">
      <c r="A6240" s="6">
        <v>1192</v>
      </c>
      <c r="B6240" s="6" t="str">
        <f>'Lineal Mixto'!$C$1196</f>
      </c>
      <c r="C6240" s="6" t="str">
        <f>'Lineal Mixto'!$C$1197</f>
      </c>
      <c r="D6240" s="6" t="str">
        <f>MIN(INT(B6240*5),4)</f>
      </c>
      <c r="E6240" s="6" t="str">
        <f>MIN(INT(C6240*5),4)</f>
      </c>
      <c r="F6240" s="6" t="str">
        <f>D6240*5+E6240</f>
      </c>
    </row>
    <row r="6241">
      <c r="A6241" s="5">
        <v>1193</v>
      </c>
      <c r="B6241" s="5" t="str">
        <f>'Lineal Mixto'!$C$1197</f>
      </c>
      <c r="C6241" s="5" t="str">
        <f>'Lineal Mixto'!$C$1198</f>
      </c>
      <c r="D6241" s="5" t="str">
        <f>MIN(INT(B6241*5),4)</f>
      </c>
      <c r="E6241" s="5" t="str">
        <f>MIN(INT(C6241*5),4)</f>
      </c>
      <c r="F6241" s="5" t="str">
        <f>D6241*5+E6241</f>
      </c>
    </row>
    <row r="6242">
      <c r="A6242" s="6">
        <v>1194</v>
      </c>
      <c r="B6242" s="6" t="str">
        <f>'Lineal Mixto'!$C$1198</f>
      </c>
      <c r="C6242" s="6" t="str">
        <f>'Lineal Mixto'!$C$1199</f>
      </c>
      <c r="D6242" s="6" t="str">
        <f>MIN(INT(B6242*5),4)</f>
      </c>
      <c r="E6242" s="6" t="str">
        <f>MIN(INT(C6242*5),4)</f>
      </c>
      <c r="F6242" s="6" t="str">
        <f>D6242*5+E6242</f>
      </c>
    </row>
    <row r="6243">
      <c r="A6243" s="5">
        <v>1195</v>
      </c>
      <c r="B6243" s="5" t="str">
        <f>'Lineal Mixto'!$C$1199</f>
      </c>
      <c r="C6243" s="5" t="str">
        <f>'Lineal Mixto'!$C$1200</f>
      </c>
      <c r="D6243" s="5" t="str">
        <f>MIN(INT(B6243*5),4)</f>
      </c>
      <c r="E6243" s="5" t="str">
        <f>MIN(INT(C6243*5),4)</f>
      </c>
      <c r="F6243" s="5" t="str">
        <f>D6243*5+E6243</f>
      </c>
    </row>
    <row r="6244">
      <c r="A6244" s="6">
        <v>1196</v>
      </c>
      <c r="B6244" s="6" t="str">
        <f>'Lineal Mixto'!$C$1200</f>
      </c>
      <c r="C6244" s="6" t="str">
        <f>'Lineal Mixto'!$C$1201</f>
      </c>
      <c r="D6244" s="6" t="str">
        <f>MIN(INT(B6244*5),4)</f>
      </c>
      <c r="E6244" s="6" t="str">
        <f>MIN(INT(C6244*5),4)</f>
      </c>
      <c r="F6244" s="6" t="str">
        <f>D6244*5+E6244</f>
      </c>
    </row>
    <row r="6245">
      <c r="A6245" s="5">
        <v>1197</v>
      </c>
      <c r="B6245" s="5" t="str">
        <f>'Lineal Mixto'!$C$1201</f>
      </c>
      <c r="C6245" s="5" t="str">
        <f>'Lineal Mixto'!$C$1202</f>
      </c>
      <c r="D6245" s="5" t="str">
        <f>MIN(INT(B6245*5),4)</f>
      </c>
      <c r="E6245" s="5" t="str">
        <f>MIN(INT(C6245*5),4)</f>
      </c>
      <c r="F6245" s="5" t="str">
        <f>D6245*5+E6245</f>
      </c>
    </row>
    <row r="6246">
      <c r="A6246" s="6">
        <v>1198</v>
      </c>
      <c r="B6246" s="6" t="str">
        <f>'Lineal Mixto'!$C$1202</f>
      </c>
      <c r="C6246" s="6" t="str">
        <f>'Lineal Mixto'!$C$1203</f>
      </c>
      <c r="D6246" s="6" t="str">
        <f>MIN(INT(B6246*5),4)</f>
      </c>
      <c r="E6246" s="6" t="str">
        <f>MIN(INT(C6246*5),4)</f>
      </c>
      <c r="F6246" s="6" t="str">
        <f>D6246*5+E6246</f>
      </c>
    </row>
    <row r="6247">
      <c r="A6247" s="5">
        <v>1199</v>
      </c>
      <c r="B6247" s="5" t="str">
        <f>'Lineal Mixto'!$C$1203</f>
      </c>
      <c r="C6247" s="5" t="str">
        <f>'Lineal Mixto'!$C$1204</f>
      </c>
      <c r="D6247" s="5" t="str">
        <f>MIN(INT(B6247*5),4)</f>
      </c>
      <c r="E6247" s="5" t="str">
        <f>MIN(INT(C6247*5),4)</f>
      </c>
      <c r="F6247" s="5" t="str">
        <f>D6247*5+E6247</f>
      </c>
    </row>
    <row r="6248">
      <c r="A6248" s="6">
        <v>1200</v>
      </c>
      <c r="B6248" s="6" t="str">
        <f>'Lineal Mixto'!$C$1204</f>
      </c>
      <c r="C6248" s="6" t="str">
        <f>'Lineal Mixto'!$C$1205</f>
      </c>
      <c r="D6248" s="6" t="str">
        <f>MIN(INT(B6248*5),4)</f>
      </c>
      <c r="E6248" s="6" t="str">
        <f>MIN(INT(C6248*5),4)</f>
      </c>
      <c r="F6248" s="6" t="str">
        <f>D6248*5+E6248</f>
      </c>
    </row>
    <row r="6249">
      <c r="A6249" s="5">
        <v>1201</v>
      </c>
      <c r="B6249" s="5" t="str">
        <f>'Lineal Mixto'!$C$1205</f>
      </c>
      <c r="C6249" s="5" t="str">
        <f>'Lineal Mixto'!$C$1206</f>
      </c>
      <c r="D6249" s="5" t="str">
        <f>MIN(INT(B6249*5),4)</f>
      </c>
      <c r="E6249" s="5" t="str">
        <f>MIN(INT(C6249*5),4)</f>
      </c>
      <c r="F6249" s="5" t="str">
        <f>D6249*5+E6249</f>
      </c>
    </row>
    <row r="6250">
      <c r="A6250" s="6">
        <v>1202</v>
      </c>
      <c r="B6250" s="6" t="str">
        <f>'Lineal Mixto'!$C$1206</f>
      </c>
      <c r="C6250" s="6" t="str">
        <f>'Lineal Mixto'!$C$1207</f>
      </c>
      <c r="D6250" s="6" t="str">
        <f>MIN(INT(B6250*5),4)</f>
      </c>
      <c r="E6250" s="6" t="str">
        <f>MIN(INT(C6250*5),4)</f>
      </c>
      <c r="F6250" s="6" t="str">
        <f>D6250*5+E6250</f>
      </c>
    </row>
    <row r="6251">
      <c r="A6251" s="5">
        <v>1203</v>
      </c>
      <c r="B6251" s="5" t="str">
        <f>'Lineal Mixto'!$C$1207</f>
      </c>
      <c r="C6251" s="5" t="str">
        <f>'Lineal Mixto'!$C$1208</f>
      </c>
      <c r="D6251" s="5" t="str">
        <f>MIN(INT(B6251*5),4)</f>
      </c>
      <c r="E6251" s="5" t="str">
        <f>MIN(INT(C6251*5),4)</f>
      </c>
      <c r="F6251" s="5" t="str">
        <f>D6251*5+E6251</f>
      </c>
    </row>
    <row r="6252">
      <c r="A6252" s="6">
        <v>1204</v>
      </c>
      <c r="B6252" s="6" t="str">
        <f>'Lineal Mixto'!$C$1208</f>
      </c>
      <c r="C6252" s="6" t="str">
        <f>'Lineal Mixto'!$C$1209</f>
      </c>
      <c r="D6252" s="6" t="str">
        <f>MIN(INT(B6252*5),4)</f>
      </c>
      <c r="E6252" s="6" t="str">
        <f>MIN(INT(C6252*5),4)</f>
      </c>
      <c r="F6252" s="6" t="str">
        <f>D6252*5+E6252</f>
      </c>
    </row>
    <row r="6253">
      <c r="A6253" s="5">
        <v>1205</v>
      </c>
      <c r="B6253" s="5" t="str">
        <f>'Lineal Mixto'!$C$1209</f>
      </c>
      <c r="C6253" s="5" t="str">
        <f>'Lineal Mixto'!$C$1210</f>
      </c>
      <c r="D6253" s="5" t="str">
        <f>MIN(INT(B6253*5),4)</f>
      </c>
      <c r="E6253" s="5" t="str">
        <f>MIN(INT(C6253*5),4)</f>
      </c>
      <c r="F6253" s="5" t="str">
        <f>D6253*5+E6253</f>
      </c>
    </row>
    <row r="6254">
      <c r="A6254" s="6">
        <v>1206</v>
      </c>
      <c r="B6254" s="6" t="str">
        <f>'Lineal Mixto'!$C$1210</f>
      </c>
      <c r="C6254" s="6" t="str">
        <f>'Lineal Mixto'!$C$1211</f>
      </c>
      <c r="D6254" s="6" t="str">
        <f>MIN(INT(B6254*5),4)</f>
      </c>
      <c r="E6254" s="6" t="str">
        <f>MIN(INT(C6254*5),4)</f>
      </c>
      <c r="F6254" s="6" t="str">
        <f>D6254*5+E6254</f>
      </c>
    </row>
    <row r="6255">
      <c r="A6255" s="5">
        <v>1207</v>
      </c>
      <c r="B6255" s="5" t="str">
        <f>'Lineal Mixto'!$C$1211</f>
      </c>
      <c r="C6255" s="5" t="str">
        <f>'Lineal Mixto'!$C$1212</f>
      </c>
      <c r="D6255" s="5" t="str">
        <f>MIN(INT(B6255*5),4)</f>
      </c>
      <c r="E6255" s="5" t="str">
        <f>MIN(INT(C6255*5),4)</f>
      </c>
      <c r="F6255" s="5" t="str">
        <f>D6255*5+E6255</f>
      </c>
    </row>
    <row r="6256">
      <c r="A6256" s="6">
        <v>1208</v>
      </c>
      <c r="B6256" s="6" t="str">
        <f>'Lineal Mixto'!$C$1212</f>
      </c>
      <c r="C6256" s="6" t="str">
        <f>'Lineal Mixto'!$C$1213</f>
      </c>
      <c r="D6256" s="6" t="str">
        <f>MIN(INT(B6256*5),4)</f>
      </c>
      <c r="E6256" s="6" t="str">
        <f>MIN(INT(C6256*5),4)</f>
      </c>
      <c r="F6256" s="6" t="str">
        <f>D6256*5+E6256</f>
      </c>
    </row>
    <row r="6257">
      <c r="A6257" s="5">
        <v>1209</v>
      </c>
      <c r="B6257" s="5" t="str">
        <f>'Lineal Mixto'!$C$1213</f>
      </c>
      <c r="C6257" s="5" t="str">
        <f>'Lineal Mixto'!$C$1214</f>
      </c>
      <c r="D6257" s="5" t="str">
        <f>MIN(INT(B6257*5),4)</f>
      </c>
      <c r="E6257" s="5" t="str">
        <f>MIN(INT(C6257*5),4)</f>
      </c>
      <c r="F6257" s="5" t="str">
        <f>D6257*5+E6257</f>
      </c>
    </row>
    <row r="6258">
      <c r="A6258" s="6">
        <v>1210</v>
      </c>
      <c r="B6258" s="6" t="str">
        <f>'Lineal Mixto'!$C$1214</f>
      </c>
      <c r="C6258" s="6" t="str">
        <f>'Lineal Mixto'!$C$1215</f>
      </c>
      <c r="D6258" s="6" t="str">
        <f>MIN(INT(B6258*5),4)</f>
      </c>
      <c r="E6258" s="6" t="str">
        <f>MIN(INT(C6258*5),4)</f>
      </c>
      <c r="F6258" s="6" t="str">
        <f>D6258*5+E6258</f>
      </c>
    </row>
    <row r="6259">
      <c r="A6259" s="5">
        <v>1211</v>
      </c>
      <c r="B6259" s="5" t="str">
        <f>'Lineal Mixto'!$C$1215</f>
      </c>
      <c r="C6259" s="5" t="str">
        <f>'Lineal Mixto'!$C$1216</f>
      </c>
      <c r="D6259" s="5" t="str">
        <f>MIN(INT(B6259*5),4)</f>
      </c>
      <c r="E6259" s="5" t="str">
        <f>MIN(INT(C6259*5),4)</f>
      </c>
      <c r="F6259" s="5" t="str">
        <f>D6259*5+E6259</f>
      </c>
    </row>
    <row r="6260">
      <c r="A6260" s="6">
        <v>1212</v>
      </c>
      <c r="B6260" s="6" t="str">
        <f>'Lineal Mixto'!$C$1216</f>
      </c>
      <c r="C6260" s="6" t="str">
        <f>'Lineal Mixto'!$C$1217</f>
      </c>
      <c r="D6260" s="6" t="str">
        <f>MIN(INT(B6260*5),4)</f>
      </c>
      <c r="E6260" s="6" t="str">
        <f>MIN(INT(C6260*5),4)</f>
      </c>
      <c r="F6260" s="6" t="str">
        <f>D6260*5+E6260</f>
      </c>
    </row>
    <row r="6261">
      <c r="A6261" s="5">
        <v>1213</v>
      </c>
      <c r="B6261" s="5" t="str">
        <f>'Lineal Mixto'!$C$1217</f>
      </c>
      <c r="C6261" s="5" t="str">
        <f>'Lineal Mixto'!$C$1218</f>
      </c>
      <c r="D6261" s="5" t="str">
        <f>MIN(INT(B6261*5),4)</f>
      </c>
      <c r="E6261" s="5" t="str">
        <f>MIN(INT(C6261*5),4)</f>
      </c>
      <c r="F6261" s="5" t="str">
        <f>D6261*5+E6261</f>
      </c>
    </row>
    <row r="6262">
      <c r="A6262" s="6">
        <v>1214</v>
      </c>
      <c r="B6262" s="6" t="str">
        <f>'Lineal Mixto'!$C$1218</f>
      </c>
      <c r="C6262" s="6" t="str">
        <f>'Lineal Mixto'!$C$1219</f>
      </c>
      <c r="D6262" s="6" t="str">
        <f>MIN(INT(B6262*5),4)</f>
      </c>
      <c r="E6262" s="6" t="str">
        <f>MIN(INT(C6262*5),4)</f>
      </c>
      <c r="F6262" s="6" t="str">
        <f>D6262*5+E6262</f>
      </c>
    </row>
    <row r="6263">
      <c r="A6263" s="5">
        <v>1215</v>
      </c>
      <c r="B6263" s="5" t="str">
        <f>'Lineal Mixto'!$C$1219</f>
      </c>
      <c r="C6263" s="5" t="str">
        <f>'Lineal Mixto'!$C$1220</f>
      </c>
      <c r="D6263" s="5" t="str">
        <f>MIN(INT(B6263*5),4)</f>
      </c>
      <c r="E6263" s="5" t="str">
        <f>MIN(INT(C6263*5),4)</f>
      </c>
      <c r="F6263" s="5" t="str">
        <f>D6263*5+E6263</f>
      </c>
    </row>
    <row r="6264">
      <c r="A6264" s="6">
        <v>1216</v>
      </c>
      <c r="B6264" s="6" t="str">
        <f>'Lineal Mixto'!$C$1220</f>
      </c>
      <c r="C6264" s="6" t="str">
        <f>'Lineal Mixto'!$C$1221</f>
      </c>
      <c r="D6264" s="6" t="str">
        <f>MIN(INT(B6264*5),4)</f>
      </c>
      <c r="E6264" s="6" t="str">
        <f>MIN(INT(C6264*5),4)</f>
      </c>
      <c r="F6264" s="6" t="str">
        <f>D6264*5+E6264</f>
      </c>
    </row>
    <row r="6265">
      <c r="A6265" s="5">
        <v>1217</v>
      </c>
      <c r="B6265" s="5" t="str">
        <f>'Lineal Mixto'!$C$1221</f>
      </c>
      <c r="C6265" s="5" t="str">
        <f>'Lineal Mixto'!$C$1222</f>
      </c>
      <c r="D6265" s="5" t="str">
        <f>MIN(INT(B6265*5),4)</f>
      </c>
      <c r="E6265" s="5" t="str">
        <f>MIN(INT(C6265*5),4)</f>
      </c>
      <c r="F6265" s="5" t="str">
        <f>D6265*5+E6265</f>
      </c>
    </row>
    <row r="6266">
      <c r="A6266" s="6">
        <v>1218</v>
      </c>
      <c r="B6266" s="6" t="str">
        <f>'Lineal Mixto'!$C$1222</f>
      </c>
      <c r="C6266" s="6" t="str">
        <f>'Lineal Mixto'!$C$1223</f>
      </c>
      <c r="D6266" s="6" t="str">
        <f>MIN(INT(B6266*5),4)</f>
      </c>
      <c r="E6266" s="6" t="str">
        <f>MIN(INT(C6266*5),4)</f>
      </c>
      <c r="F6266" s="6" t="str">
        <f>D6266*5+E6266</f>
      </c>
    </row>
    <row r="6267">
      <c r="A6267" s="5">
        <v>1219</v>
      </c>
      <c r="B6267" s="5" t="str">
        <f>'Lineal Mixto'!$C$1223</f>
      </c>
      <c r="C6267" s="5" t="str">
        <f>'Lineal Mixto'!$C$1224</f>
      </c>
      <c r="D6267" s="5" t="str">
        <f>MIN(INT(B6267*5),4)</f>
      </c>
      <c r="E6267" s="5" t="str">
        <f>MIN(INT(C6267*5),4)</f>
      </c>
      <c r="F6267" s="5" t="str">
        <f>D6267*5+E6267</f>
      </c>
    </row>
    <row r="6268">
      <c r="A6268" s="6">
        <v>1220</v>
      </c>
      <c r="B6268" s="6" t="str">
        <f>'Lineal Mixto'!$C$1224</f>
      </c>
      <c r="C6268" s="6" t="str">
        <f>'Lineal Mixto'!$C$1225</f>
      </c>
      <c r="D6268" s="6" t="str">
        <f>MIN(INT(B6268*5),4)</f>
      </c>
      <c r="E6268" s="6" t="str">
        <f>MIN(INT(C6268*5),4)</f>
      </c>
      <c r="F6268" s="6" t="str">
        <f>D6268*5+E6268</f>
      </c>
    </row>
    <row r="6269">
      <c r="A6269" s="5">
        <v>1221</v>
      </c>
      <c r="B6269" s="5" t="str">
        <f>'Lineal Mixto'!$C$1225</f>
      </c>
      <c r="C6269" s="5" t="str">
        <f>'Lineal Mixto'!$C$1226</f>
      </c>
      <c r="D6269" s="5" t="str">
        <f>MIN(INT(B6269*5),4)</f>
      </c>
      <c r="E6269" s="5" t="str">
        <f>MIN(INT(C6269*5),4)</f>
      </c>
      <c r="F6269" s="5" t="str">
        <f>D6269*5+E6269</f>
      </c>
    </row>
    <row r="6270">
      <c r="A6270" s="6">
        <v>1222</v>
      </c>
      <c r="B6270" s="6" t="str">
        <f>'Lineal Mixto'!$C$1226</f>
      </c>
      <c r="C6270" s="6" t="str">
        <f>'Lineal Mixto'!$C$1227</f>
      </c>
      <c r="D6270" s="6" t="str">
        <f>MIN(INT(B6270*5),4)</f>
      </c>
      <c r="E6270" s="6" t="str">
        <f>MIN(INT(C6270*5),4)</f>
      </c>
      <c r="F6270" s="6" t="str">
        <f>D6270*5+E6270</f>
      </c>
    </row>
    <row r="6271">
      <c r="A6271" s="5">
        <v>1223</v>
      </c>
      <c r="B6271" s="5" t="str">
        <f>'Lineal Mixto'!$C$1227</f>
      </c>
      <c r="C6271" s="5" t="str">
        <f>'Lineal Mixto'!$C$1228</f>
      </c>
      <c r="D6271" s="5" t="str">
        <f>MIN(INT(B6271*5),4)</f>
      </c>
      <c r="E6271" s="5" t="str">
        <f>MIN(INT(C6271*5),4)</f>
      </c>
      <c r="F6271" s="5" t="str">
        <f>D6271*5+E6271</f>
      </c>
    </row>
    <row r="6272">
      <c r="A6272" s="6">
        <v>1224</v>
      </c>
      <c r="B6272" s="6" t="str">
        <f>'Lineal Mixto'!$C$1228</f>
      </c>
      <c r="C6272" s="6" t="str">
        <f>'Lineal Mixto'!$C$1229</f>
      </c>
      <c r="D6272" s="6" t="str">
        <f>MIN(INT(B6272*5),4)</f>
      </c>
      <c r="E6272" s="6" t="str">
        <f>MIN(INT(C6272*5),4)</f>
      </c>
      <c r="F6272" s="6" t="str">
        <f>D6272*5+E6272</f>
      </c>
    </row>
    <row r="6273">
      <c r="A6273" s="5">
        <v>1225</v>
      </c>
      <c r="B6273" s="5" t="str">
        <f>'Lineal Mixto'!$C$1229</f>
      </c>
      <c r="C6273" s="5" t="str">
        <f>'Lineal Mixto'!$C$1230</f>
      </c>
      <c r="D6273" s="5" t="str">
        <f>MIN(INT(B6273*5),4)</f>
      </c>
      <c r="E6273" s="5" t="str">
        <f>MIN(INT(C6273*5),4)</f>
      </c>
      <c r="F6273" s="5" t="str">
        <f>D6273*5+E6273</f>
      </c>
    </row>
    <row r="6274">
      <c r="A6274" s="6">
        <v>1226</v>
      </c>
      <c r="B6274" s="6" t="str">
        <f>'Lineal Mixto'!$C$1230</f>
      </c>
      <c r="C6274" s="6" t="str">
        <f>'Lineal Mixto'!$C$1231</f>
      </c>
      <c r="D6274" s="6" t="str">
        <f>MIN(INT(B6274*5),4)</f>
      </c>
      <c r="E6274" s="6" t="str">
        <f>MIN(INT(C6274*5),4)</f>
      </c>
      <c r="F6274" s="6" t="str">
        <f>D6274*5+E6274</f>
      </c>
    </row>
    <row r="6275">
      <c r="A6275" s="5">
        <v>1227</v>
      </c>
      <c r="B6275" s="5" t="str">
        <f>'Lineal Mixto'!$C$1231</f>
      </c>
      <c r="C6275" s="5" t="str">
        <f>'Lineal Mixto'!$C$1232</f>
      </c>
      <c r="D6275" s="5" t="str">
        <f>MIN(INT(B6275*5),4)</f>
      </c>
      <c r="E6275" s="5" t="str">
        <f>MIN(INT(C6275*5),4)</f>
      </c>
      <c r="F6275" s="5" t="str">
        <f>D6275*5+E6275</f>
      </c>
    </row>
    <row r="6276">
      <c r="A6276" s="6">
        <v>1228</v>
      </c>
      <c r="B6276" s="6" t="str">
        <f>'Lineal Mixto'!$C$1232</f>
      </c>
      <c r="C6276" s="6" t="str">
        <f>'Lineal Mixto'!$C$1233</f>
      </c>
      <c r="D6276" s="6" t="str">
        <f>MIN(INT(B6276*5),4)</f>
      </c>
      <c r="E6276" s="6" t="str">
        <f>MIN(INT(C6276*5),4)</f>
      </c>
      <c r="F6276" s="6" t="str">
        <f>D6276*5+E6276</f>
      </c>
    </row>
    <row r="6277">
      <c r="A6277" s="5">
        <v>1229</v>
      </c>
      <c r="B6277" s="5" t="str">
        <f>'Lineal Mixto'!$C$1233</f>
      </c>
      <c r="C6277" s="5" t="str">
        <f>'Lineal Mixto'!$C$1234</f>
      </c>
      <c r="D6277" s="5" t="str">
        <f>MIN(INT(B6277*5),4)</f>
      </c>
      <c r="E6277" s="5" t="str">
        <f>MIN(INT(C6277*5),4)</f>
      </c>
      <c r="F6277" s="5" t="str">
        <f>D6277*5+E6277</f>
      </c>
    </row>
    <row r="6278">
      <c r="A6278" s="6">
        <v>1230</v>
      </c>
      <c r="B6278" s="6" t="str">
        <f>'Lineal Mixto'!$C$1234</f>
      </c>
      <c r="C6278" s="6" t="str">
        <f>'Lineal Mixto'!$C$1235</f>
      </c>
      <c r="D6278" s="6" t="str">
        <f>MIN(INT(B6278*5),4)</f>
      </c>
      <c r="E6278" s="6" t="str">
        <f>MIN(INT(C6278*5),4)</f>
      </c>
      <c r="F6278" s="6" t="str">
        <f>D6278*5+E6278</f>
      </c>
    </row>
    <row r="6279">
      <c r="A6279" s="5">
        <v>1231</v>
      </c>
      <c r="B6279" s="5" t="str">
        <f>'Lineal Mixto'!$C$1235</f>
      </c>
      <c r="C6279" s="5" t="str">
        <f>'Lineal Mixto'!$C$1236</f>
      </c>
      <c r="D6279" s="5" t="str">
        <f>MIN(INT(B6279*5),4)</f>
      </c>
      <c r="E6279" s="5" t="str">
        <f>MIN(INT(C6279*5),4)</f>
      </c>
      <c r="F6279" s="5" t="str">
        <f>D6279*5+E6279</f>
      </c>
    </row>
    <row r="6280">
      <c r="A6280" s="6">
        <v>1232</v>
      </c>
      <c r="B6280" s="6" t="str">
        <f>'Lineal Mixto'!$C$1236</f>
      </c>
      <c r="C6280" s="6" t="str">
        <f>'Lineal Mixto'!$C$1237</f>
      </c>
      <c r="D6280" s="6" t="str">
        <f>MIN(INT(B6280*5),4)</f>
      </c>
      <c r="E6280" s="6" t="str">
        <f>MIN(INT(C6280*5),4)</f>
      </c>
      <c r="F6280" s="6" t="str">
        <f>D6280*5+E6280</f>
      </c>
    </row>
    <row r="6281">
      <c r="A6281" s="5">
        <v>1233</v>
      </c>
      <c r="B6281" s="5" t="str">
        <f>'Lineal Mixto'!$C$1237</f>
      </c>
      <c r="C6281" s="5" t="str">
        <f>'Lineal Mixto'!$C$1238</f>
      </c>
      <c r="D6281" s="5" t="str">
        <f>MIN(INT(B6281*5),4)</f>
      </c>
      <c r="E6281" s="5" t="str">
        <f>MIN(INT(C6281*5),4)</f>
      </c>
      <c r="F6281" s="5" t="str">
        <f>D6281*5+E6281</f>
      </c>
    </row>
    <row r="6282">
      <c r="A6282" s="6">
        <v>1234</v>
      </c>
      <c r="B6282" s="6" t="str">
        <f>'Lineal Mixto'!$C$1238</f>
      </c>
      <c r="C6282" s="6" t="str">
        <f>'Lineal Mixto'!$C$1239</f>
      </c>
      <c r="D6282" s="6" t="str">
        <f>MIN(INT(B6282*5),4)</f>
      </c>
      <c r="E6282" s="6" t="str">
        <f>MIN(INT(C6282*5),4)</f>
      </c>
      <c r="F6282" s="6" t="str">
        <f>D6282*5+E6282</f>
      </c>
    </row>
    <row r="6283">
      <c r="A6283" s="5">
        <v>1235</v>
      </c>
      <c r="B6283" s="5" t="str">
        <f>'Lineal Mixto'!$C$1239</f>
      </c>
      <c r="C6283" s="5" t="str">
        <f>'Lineal Mixto'!$C$1240</f>
      </c>
      <c r="D6283" s="5" t="str">
        <f>MIN(INT(B6283*5),4)</f>
      </c>
      <c r="E6283" s="5" t="str">
        <f>MIN(INT(C6283*5),4)</f>
      </c>
      <c r="F6283" s="5" t="str">
        <f>D6283*5+E6283</f>
      </c>
    </row>
    <row r="6284">
      <c r="A6284" s="6">
        <v>1236</v>
      </c>
      <c r="B6284" s="6" t="str">
        <f>'Lineal Mixto'!$C$1240</f>
      </c>
      <c r="C6284" s="6" t="str">
        <f>'Lineal Mixto'!$C$1241</f>
      </c>
      <c r="D6284" s="6" t="str">
        <f>MIN(INT(B6284*5),4)</f>
      </c>
      <c r="E6284" s="6" t="str">
        <f>MIN(INT(C6284*5),4)</f>
      </c>
      <c r="F6284" s="6" t="str">
        <f>D6284*5+E6284</f>
      </c>
    </row>
    <row r="6285">
      <c r="A6285" s="5">
        <v>1237</v>
      </c>
      <c r="B6285" s="5" t="str">
        <f>'Lineal Mixto'!$C$1241</f>
      </c>
      <c r="C6285" s="5" t="str">
        <f>'Lineal Mixto'!$C$1242</f>
      </c>
      <c r="D6285" s="5" t="str">
        <f>MIN(INT(B6285*5),4)</f>
      </c>
      <c r="E6285" s="5" t="str">
        <f>MIN(INT(C6285*5),4)</f>
      </c>
      <c r="F6285" s="5" t="str">
        <f>D6285*5+E6285</f>
      </c>
    </row>
    <row r="6286">
      <c r="A6286" s="6">
        <v>1238</v>
      </c>
      <c r="B6286" s="6" t="str">
        <f>'Lineal Mixto'!$C$1242</f>
      </c>
      <c r="C6286" s="6" t="str">
        <f>'Lineal Mixto'!$C$1243</f>
      </c>
      <c r="D6286" s="6" t="str">
        <f>MIN(INT(B6286*5),4)</f>
      </c>
      <c r="E6286" s="6" t="str">
        <f>MIN(INT(C6286*5),4)</f>
      </c>
      <c r="F6286" s="6" t="str">
        <f>D6286*5+E6286</f>
      </c>
    </row>
    <row r="6287">
      <c r="A6287" s="5">
        <v>1239</v>
      </c>
      <c r="B6287" s="5" t="str">
        <f>'Lineal Mixto'!$C$1243</f>
      </c>
      <c r="C6287" s="5" t="str">
        <f>'Lineal Mixto'!$C$1244</f>
      </c>
      <c r="D6287" s="5" t="str">
        <f>MIN(INT(B6287*5),4)</f>
      </c>
      <c r="E6287" s="5" t="str">
        <f>MIN(INT(C6287*5),4)</f>
      </c>
      <c r="F6287" s="5" t="str">
        <f>D6287*5+E6287</f>
      </c>
    </row>
    <row r="6288">
      <c r="A6288" s="6">
        <v>1240</v>
      </c>
      <c r="B6288" s="6" t="str">
        <f>'Lineal Mixto'!$C$1244</f>
      </c>
      <c r="C6288" s="6" t="str">
        <f>'Lineal Mixto'!$C$1245</f>
      </c>
      <c r="D6288" s="6" t="str">
        <f>MIN(INT(B6288*5),4)</f>
      </c>
      <c r="E6288" s="6" t="str">
        <f>MIN(INT(C6288*5),4)</f>
      </c>
      <c r="F6288" s="6" t="str">
        <f>D6288*5+E6288</f>
      </c>
    </row>
    <row r="6289">
      <c r="A6289" s="5">
        <v>1241</v>
      </c>
      <c r="B6289" s="5" t="str">
        <f>'Lineal Mixto'!$C$1245</f>
      </c>
      <c r="C6289" s="5" t="str">
        <f>'Lineal Mixto'!$C$1246</f>
      </c>
      <c r="D6289" s="5" t="str">
        <f>MIN(INT(B6289*5),4)</f>
      </c>
      <c r="E6289" s="5" t="str">
        <f>MIN(INT(C6289*5),4)</f>
      </c>
      <c r="F6289" s="5" t="str">
        <f>D6289*5+E6289</f>
      </c>
    </row>
    <row r="6290">
      <c r="A6290" s="6">
        <v>1242</v>
      </c>
      <c r="B6290" s="6" t="str">
        <f>'Lineal Mixto'!$C$1246</f>
      </c>
      <c r="C6290" s="6" t="str">
        <f>'Lineal Mixto'!$C$1247</f>
      </c>
      <c r="D6290" s="6" t="str">
        <f>MIN(INT(B6290*5),4)</f>
      </c>
      <c r="E6290" s="6" t="str">
        <f>MIN(INT(C6290*5),4)</f>
      </c>
      <c r="F6290" s="6" t="str">
        <f>D6290*5+E6290</f>
      </c>
    </row>
    <row r="6291">
      <c r="A6291" s="5">
        <v>1243</v>
      </c>
      <c r="B6291" s="5" t="str">
        <f>'Lineal Mixto'!$C$1247</f>
      </c>
      <c r="C6291" s="5" t="str">
        <f>'Lineal Mixto'!$C$1248</f>
      </c>
      <c r="D6291" s="5" t="str">
        <f>MIN(INT(B6291*5),4)</f>
      </c>
      <c r="E6291" s="5" t="str">
        <f>MIN(INT(C6291*5),4)</f>
      </c>
      <c r="F6291" s="5" t="str">
        <f>D6291*5+E6291</f>
      </c>
    </row>
    <row r="6292">
      <c r="A6292" s="6">
        <v>1244</v>
      </c>
      <c r="B6292" s="6" t="str">
        <f>'Lineal Mixto'!$C$1248</f>
      </c>
      <c r="C6292" s="6" t="str">
        <f>'Lineal Mixto'!$C$1249</f>
      </c>
      <c r="D6292" s="6" t="str">
        <f>MIN(INT(B6292*5),4)</f>
      </c>
      <c r="E6292" s="6" t="str">
        <f>MIN(INT(C6292*5),4)</f>
      </c>
      <c r="F6292" s="6" t="str">
        <f>D6292*5+E6292</f>
      </c>
    </row>
    <row r="6293">
      <c r="A6293" s="5">
        <v>1245</v>
      </c>
      <c r="B6293" s="5" t="str">
        <f>'Lineal Mixto'!$C$1249</f>
      </c>
      <c r="C6293" s="5" t="str">
        <f>'Lineal Mixto'!$C$1250</f>
      </c>
      <c r="D6293" s="5" t="str">
        <f>MIN(INT(B6293*5),4)</f>
      </c>
      <c r="E6293" s="5" t="str">
        <f>MIN(INT(C6293*5),4)</f>
      </c>
      <c r="F6293" s="5" t="str">
        <f>D6293*5+E6293</f>
      </c>
    </row>
    <row r="6294">
      <c r="A6294" s="6">
        <v>1246</v>
      </c>
      <c r="B6294" s="6" t="str">
        <f>'Lineal Mixto'!$C$1250</f>
      </c>
      <c r="C6294" s="6" t="str">
        <f>'Lineal Mixto'!$C$1251</f>
      </c>
      <c r="D6294" s="6" t="str">
        <f>MIN(INT(B6294*5),4)</f>
      </c>
      <c r="E6294" s="6" t="str">
        <f>MIN(INT(C6294*5),4)</f>
      </c>
      <c r="F6294" s="6" t="str">
        <f>D6294*5+E6294</f>
      </c>
    </row>
    <row r="6295">
      <c r="A6295" s="5">
        <v>1247</v>
      </c>
      <c r="B6295" s="5" t="str">
        <f>'Lineal Mixto'!$C$1251</f>
      </c>
      <c r="C6295" s="5" t="str">
        <f>'Lineal Mixto'!$C$1252</f>
      </c>
      <c r="D6295" s="5" t="str">
        <f>MIN(INT(B6295*5),4)</f>
      </c>
      <c r="E6295" s="5" t="str">
        <f>MIN(INT(C6295*5),4)</f>
      </c>
      <c r="F6295" s="5" t="str">
        <f>D6295*5+E6295</f>
      </c>
    </row>
    <row r="6296">
      <c r="A6296" s="6">
        <v>1248</v>
      </c>
      <c r="B6296" s="6" t="str">
        <f>'Lineal Mixto'!$C$1252</f>
      </c>
      <c r="C6296" s="6" t="str">
        <f>'Lineal Mixto'!$C$1253</f>
      </c>
      <c r="D6296" s="6" t="str">
        <f>MIN(INT(B6296*5),4)</f>
      </c>
      <c r="E6296" s="6" t="str">
        <f>MIN(INT(C6296*5),4)</f>
      </c>
      <c r="F6296" s="6" t="str">
        <f>D6296*5+E6296</f>
      </c>
    </row>
    <row r="6297">
      <c r="A6297" s="5">
        <v>1249</v>
      </c>
      <c r="B6297" s="5" t="str">
        <f>'Lineal Mixto'!$C$1253</f>
      </c>
      <c r="C6297" s="5" t="str">
        <f>'Lineal Mixto'!$C$1254</f>
      </c>
      <c r="D6297" s="5" t="str">
        <f>MIN(INT(B6297*5),4)</f>
      </c>
      <c r="E6297" s="5" t="str">
        <f>MIN(INT(C6297*5),4)</f>
      </c>
      <c r="F6297" s="5" t="str">
        <f>D6297*5+E6297</f>
      </c>
    </row>
    <row r="6298">
      <c r="A6298" s="6">
        <v>1250</v>
      </c>
      <c r="B6298" s="6" t="str">
        <f>'Lineal Mixto'!$C$1254</f>
      </c>
      <c r="C6298" s="6" t="str">
        <f>'Lineal Mixto'!$C$1255</f>
      </c>
      <c r="D6298" s="6" t="str">
        <f>MIN(INT(B6298*5),4)</f>
      </c>
      <c r="E6298" s="6" t="str">
        <f>MIN(INT(C6298*5),4)</f>
      </c>
      <c r="F6298" s="6" t="str">
        <f>D6298*5+E6298</f>
      </c>
    </row>
    <row r="6299">
      <c r="A6299" s="5">
        <v>1251</v>
      </c>
      <c r="B6299" s="5" t="str">
        <f>'Lineal Mixto'!$C$1255</f>
      </c>
      <c r="C6299" s="5" t="str">
        <f>'Lineal Mixto'!$C$1256</f>
      </c>
      <c r="D6299" s="5" t="str">
        <f>MIN(INT(B6299*5),4)</f>
      </c>
      <c r="E6299" s="5" t="str">
        <f>MIN(INT(C6299*5),4)</f>
      </c>
      <c r="F6299" s="5" t="str">
        <f>D6299*5+E6299</f>
      </c>
    </row>
    <row r="6300">
      <c r="A6300" s="6">
        <v>1252</v>
      </c>
      <c r="B6300" s="6" t="str">
        <f>'Lineal Mixto'!$C$1256</f>
      </c>
      <c r="C6300" s="6" t="str">
        <f>'Lineal Mixto'!$C$1257</f>
      </c>
      <c r="D6300" s="6" t="str">
        <f>MIN(INT(B6300*5),4)</f>
      </c>
      <c r="E6300" s="6" t="str">
        <f>MIN(INT(C6300*5),4)</f>
      </c>
      <c r="F6300" s="6" t="str">
        <f>D6300*5+E6300</f>
      </c>
    </row>
    <row r="6301">
      <c r="A6301" s="5">
        <v>1253</v>
      </c>
      <c r="B6301" s="5" t="str">
        <f>'Lineal Mixto'!$C$1257</f>
      </c>
      <c r="C6301" s="5" t="str">
        <f>'Lineal Mixto'!$C$1258</f>
      </c>
      <c r="D6301" s="5" t="str">
        <f>MIN(INT(B6301*5),4)</f>
      </c>
      <c r="E6301" s="5" t="str">
        <f>MIN(INT(C6301*5),4)</f>
      </c>
      <c r="F6301" s="5" t="str">
        <f>D6301*5+E6301</f>
      </c>
    </row>
    <row r="6302">
      <c r="A6302" s="6">
        <v>1254</v>
      </c>
      <c r="B6302" s="6" t="str">
        <f>'Lineal Mixto'!$C$1258</f>
      </c>
      <c r="C6302" s="6" t="str">
        <f>'Lineal Mixto'!$C$1259</f>
      </c>
      <c r="D6302" s="6" t="str">
        <f>MIN(INT(B6302*5),4)</f>
      </c>
      <c r="E6302" s="6" t="str">
        <f>MIN(INT(C6302*5),4)</f>
      </c>
      <c r="F6302" s="6" t="str">
        <f>D6302*5+E6302</f>
      </c>
    </row>
    <row r="6303">
      <c r="A6303" s="5">
        <v>1255</v>
      </c>
      <c r="B6303" s="5" t="str">
        <f>'Lineal Mixto'!$C$1259</f>
      </c>
      <c r="C6303" s="5" t="str">
        <f>'Lineal Mixto'!$C$1260</f>
      </c>
      <c r="D6303" s="5" t="str">
        <f>MIN(INT(B6303*5),4)</f>
      </c>
      <c r="E6303" s="5" t="str">
        <f>MIN(INT(C6303*5),4)</f>
      </c>
      <c r="F6303" s="5" t="str">
        <f>D6303*5+E6303</f>
      </c>
    </row>
    <row r="6304">
      <c r="A6304" s="6">
        <v>1256</v>
      </c>
      <c r="B6304" s="6" t="str">
        <f>'Lineal Mixto'!$C$1260</f>
      </c>
      <c r="C6304" s="6" t="str">
        <f>'Lineal Mixto'!$C$1261</f>
      </c>
      <c r="D6304" s="6" t="str">
        <f>MIN(INT(B6304*5),4)</f>
      </c>
      <c r="E6304" s="6" t="str">
        <f>MIN(INT(C6304*5),4)</f>
      </c>
      <c r="F6304" s="6" t="str">
        <f>D6304*5+E6304</f>
      </c>
    </row>
    <row r="6305">
      <c r="A6305" s="5">
        <v>1257</v>
      </c>
      <c r="B6305" s="5" t="str">
        <f>'Lineal Mixto'!$C$1261</f>
      </c>
      <c r="C6305" s="5" t="str">
        <f>'Lineal Mixto'!$C$1262</f>
      </c>
      <c r="D6305" s="5" t="str">
        <f>MIN(INT(B6305*5),4)</f>
      </c>
      <c r="E6305" s="5" t="str">
        <f>MIN(INT(C6305*5),4)</f>
      </c>
      <c r="F6305" s="5" t="str">
        <f>D6305*5+E6305</f>
      </c>
    </row>
    <row r="6306">
      <c r="A6306" s="6">
        <v>1258</v>
      </c>
      <c r="B6306" s="6" t="str">
        <f>'Lineal Mixto'!$C$1262</f>
      </c>
      <c r="C6306" s="6" t="str">
        <f>'Lineal Mixto'!$C$1263</f>
      </c>
      <c r="D6306" s="6" t="str">
        <f>MIN(INT(B6306*5),4)</f>
      </c>
      <c r="E6306" s="6" t="str">
        <f>MIN(INT(C6306*5),4)</f>
      </c>
      <c r="F6306" s="6" t="str">
        <f>D6306*5+E6306</f>
      </c>
    </row>
    <row r="6307">
      <c r="A6307" s="5">
        <v>1259</v>
      </c>
      <c r="B6307" s="5" t="str">
        <f>'Lineal Mixto'!$C$1263</f>
      </c>
      <c r="C6307" s="5" t="str">
        <f>'Lineal Mixto'!$C$1264</f>
      </c>
      <c r="D6307" s="5" t="str">
        <f>MIN(INT(B6307*5),4)</f>
      </c>
      <c r="E6307" s="5" t="str">
        <f>MIN(INT(C6307*5),4)</f>
      </c>
      <c r="F6307" s="5" t="str">
        <f>D6307*5+E6307</f>
      </c>
    </row>
    <row r="6308">
      <c r="A6308" s="6">
        <v>1260</v>
      </c>
      <c r="B6308" s="6" t="str">
        <f>'Lineal Mixto'!$C$1264</f>
      </c>
      <c r="C6308" s="6" t="str">
        <f>'Lineal Mixto'!$C$1265</f>
      </c>
      <c r="D6308" s="6" t="str">
        <f>MIN(INT(B6308*5),4)</f>
      </c>
      <c r="E6308" s="6" t="str">
        <f>MIN(INT(C6308*5),4)</f>
      </c>
      <c r="F6308" s="6" t="str">
        <f>D6308*5+E6308</f>
      </c>
    </row>
    <row r="6309">
      <c r="A6309" s="5">
        <v>1261</v>
      </c>
      <c r="B6309" s="5" t="str">
        <f>'Lineal Mixto'!$C$1265</f>
      </c>
      <c r="C6309" s="5" t="str">
        <f>'Lineal Mixto'!$C$1266</f>
      </c>
      <c r="D6309" s="5" t="str">
        <f>MIN(INT(B6309*5),4)</f>
      </c>
      <c r="E6309" s="5" t="str">
        <f>MIN(INT(C6309*5),4)</f>
      </c>
      <c r="F6309" s="5" t="str">
        <f>D6309*5+E6309</f>
      </c>
    </row>
    <row r="6310">
      <c r="A6310" s="6">
        <v>1262</v>
      </c>
      <c r="B6310" s="6" t="str">
        <f>'Lineal Mixto'!$C$1266</f>
      </c>
      <c r="C6310" s="6" t="str">
        <f>'Lineal Mixto'!$C$1267</f>
      </c>
      <c r="D6310" s="6" t="str">
        <f>MIN(INT(B6310*5),4)</f>
      </c>
      <c r="E6310" s="6" t="str">
        <f>MIN(INT(C6310*5),4)</f>
      </c>
      <c r="F6310" s="6" t="str">
        <f>D6310*5+E6310</f>
      </c>
    </row>
    <row r="6311">
      <c r="A6311" s="5">
        <v>1263</v>
      </c>
      <c r="B6311" s="5" t="str">
        <f>'Lineal Mixto'!$C$1267</f>
      </c>
      <c r="C6311" s="5" t="str">
        <f>'Lineal Mixto'!$C$1268</f>
      </c>
      <c r="D6311" s="5" t="str">
        <f>MIN(INT(B6311*5),4)</f>
      </c>
      <c r="E6311" s="5" t="str">
        <f>MIN(INT(C6311*5),4)</f>
      </c>
      <c r="F6311" s="5" t="str">
        <f>D6311*5+E6311</f>
      </c>
    </row>
    <row r="6312">
      <c r="A6312" s="6">
        <v>1264</v>
      </c>
      <c r="B6312" s="6" t="str">
        <f>'Lineal Mixto'!$C$1268</f>
      </c>
      <c r="C6312" s="6" t="str">
        <f>'Lineal Mixto'!$C$1269</f>
      </c>
      <c r="D6312" s="6" t="str">
        <f>MIN(INT(B6312*5),4)</f>
      </c>
      <c r="E6312" s="6" t="str">
        <f>MIN(INT(C6312*5),4)</f>
      </c>
      <c r="F6312" s="6" t="str">
        <f>D6312*5+E6312</f>
      </c>
    </row>
    <row r="6313">
      <c r="A6313" s="5">
        <v>1265</v>
      </c>
      <c r="B6313" s="5" t="str">
        <f>'Lineal Mixto'!$C$1269</f>
      </c>
      <c r="C6313" s="5" t="str">
        <f>'Lineal Mixto'!$C$1270</f>
      </c>
      <c r="D6313" s="5" t="str">
        <f>MIN(INT(B6313*5),4)</f>
      </c>
      <c r="E6313" s="5" t="str">
        <f>MIN(INT(C6313*5),4)</f>
      </c>
      <c r="F6313" s="5" t="str">
        <f>D6313*5+E6313</f>
      </c>
    </row>
    <row r="6314">
      <c r="A6314" s="6">
        <v>1266</v>
      </c>
      <c r="B6314" s="6" t="str">
        <f>'Lineal Mixto'!$C$1270</f>
      </c>
      <c r="C6314" s="6" t="str">
        <f>'Lineal Mixto'!$C$1271</f>
      </c>
      <c r="D6314" s="6" t="str">
        <f>MIN(INT(B6314*5),4)</f>
      </c>
      <c r="E6314" s="6" t="str">
        <f>MIN(INT(C6314*5),4)</f>
      </c>
      <c r="F6314" s="6" t="str">
        <f>D6314*5+E6314</f>
      </c>
    </row>
    <row r="6315">
      <c r="A6315" s="5">
        <v>1267</v>
      </c>
      <c r="B6315" s="5" t="str">
        <f>'Lineal Mixto'!$C$1271</f>
      </c>
      <c r="C6315" s="5" t="str">
        <f>'Lineal Mixto'!$C$1272</f>
      </c>
      <c r="D6315" s="5" t="str">
        <f>MIN(INT(B6315*5),4)</f>
      </c>
      <c r="E6315" s="5" t="str">
        <f>MIN(INT(C6315*5),4)</f>
      </c>
      <c r="F6315" s="5" t="str">
        <f>D6315*5+E6315</f>
      </c>
    </row>
    <row r="6316">
      <c r="A6316" s="6">
        <v>1268</v>
      </c>
      <c r="B6316" s="6" t="str">
        <f>'Lineal Mixto'!$C$1272</f>
      </c>
      <c r="C6316" s="6" t="str">
        <f>'Lineal Mixto'!$C$1273</f>
      </c>
      <c r="D6316" s="6" t="str">
        <f>MIN(INT(B6316*5),4)</f>
      </c>
      <c r="E6316" s="6" t="str">
        <f>MIN(INT(C6316*5),4)</f>
      </c>
      <c r="F6316" s="6" t="str">
        <f>D6316*5+E6316</f>
      </c>
    </row>
    <row r="6317">
      <c r="A6317" s="5">
        <v>1269</v>
      </c>
      <c r="B6317" s="5" t="str">
        <f>'Lineal Mixto'!$C$1273</f>
      </c>
      <c r="C6317" s="5" t="str">
        <f>'Lineal Mixto'!$C$1274</f>
      </c>
      <c r="D6317" s="5" t="str">
        <f>MIN(INT(B6317*5),4)</f>
      </c>
      <c r="E6317" s="5" t="str">
        <f>MIN(INT(C6317*5),4)</f>
      </c>
      <c r="F6317" s="5" t="str">
        <f>D6317*5+E6317</f>
      </c>
    </row>
    <row r="6318">
      <c r="A6318" s="6">
        <v>1270</v>
      </c>
      <c r="B6318" s="6" t="str">
        <f>'Lineal Mixto'!$C$1274</f>
      </c>
      <c r="C6318" s="6" t="str">
        <f>'Lineal Mixto'!$C$1275</f>
      </c>
      <c r="D6318" s="6" t="str">
        <f>MIN(INT(B6318*5),4)</f>
      </c>
      <c r="E6318" s="6" t="str">
        <f>MIN(INT(C6318*5),4)</f>
      </c>
      <c r="F6318" s="6" t="str">
        <f>D6318*5+E6318</f>
      </c>
    </row>
    <row r="6319">
      <c r="A6319" s="5">
        <v>1271</v>
      </c>
      <c r="B6319" s="5" t="str">
        <f>'Lineal Mixto'!$C$1275</f>
      </c>
      <c r="C6319" s="5" t="str">
        <f>'Lineal Mixto'!$C$1276</f>
      </c>
      <c r="D6319" s="5" t="str">
        <f>MIN(INT(B6319*5),4)</f>
      </c>
      <c r="E6319" s="5" t="str">
        <f>MIN(INT(C6319*5),4)</f>
      </c>
      <c r="F6319" s="5" t="str">
        <f>D6319*5+E6319</f>
      </c>
    </row>
    <row r="6320">
      <c r="A6320" s="6">
        <v>1272</v>
      </c>
      <c r="B6320" s="6" t="str">
        <f>'Lineal Mixto'!$C$1276</f>
      </c>
      <c r="C6320" s="6" t="str">
        <f>'Lineal Mixto'!$C$1277</f>
      </c>
      <c r="D6320" s="6" t="str">
        <f>MIN(INT(B6320*5),4)</f>
      </c>
      <c r="E6320" s="6" t="str">
        <f>MIN(INT(C6320*5),4)</f>
      </c>
      <c r="F6320" s="6" t="str">
        <f>D6320*5+E6320</f>
      </c>
    </row>
    <row r="6321">
      <c r="A6321" s="5">
        <v>1273</v>
      </c>
      <c r="B6321" s="5" t="str">
        <f>'Lineal Mixto'!$C$1277</f>
      </c>
      <c r="C6321" s="5" t="str">
        <f>'Lineal Mixto'!$C$1278</f>
      </c>
      <c r="D6321" s="5" t="str">
        <f>MIN(INT(B6321*5),4)</f>
      </c>
      <c r="E6321" s="5" t="str">
        <f>MIN(INT(C6321*5),4)</f>
      </c>
      <c r="F6321" s="5" t="str">
        <f>D6321*5+E6321</f>
      </c>
    </row>
    <row r="6322">
      <c r="A6322" s="6">
        <v>1274</v>
      </c>
      <c r="B6322" s="6" t="str">
        <f>'Lineal Mixto'!$C$1278</f>
      </c>
      <c r="C6322" s="6" t="str">
        <f>'Lineal Mixto'!$C$1279</f>
      </c>
      <c r="D6322" s="6" t="str">
        <f>MIN(INT(B6322*5),4)</f>
      </c>
      <c r="E6322" s="6" t="str">
        <f>MIN(INT(C6322*5),4)</f>
      </c>
      <c r="F6322" s="6" t="str">
        <f>D6322*5+E6322</f>
      </c>
    </row>
    <row r="6323">
      <c r="A6323" s="5">
        <v>1275</v>
      </c>
      <c r="B6323" s="5" t="str">
        <f>'Lineal Mixto'!$C$1279</f>
      </c>
      <c r="C6323" s="5" t="str">
        <f>'Lineal Mixto'!$C$1280</f>
      </c>
      <c r="D6323" s="5" t="str">
        <f>MIN(INT(B6323*5),4)</f>
      </c>
      <c r="E6323" s="5" t="str">
        <f>MIN(INT(C6323*5),4)</f>
      </c>
      <c r="F6323" s="5" t="str">
        <f>D6323*5+E6323</f>
      </c>
    </row>
    <row r="6324">
      <c r="A6324" s="6">
        <v>1276</v>
      </c>
      <c r="B6324" s="6" t="str">
        <f>'Lineal Mixto'!$C$1280</f>
      </c>
      <c r="C6324" s="6" t="str">
        <f>'Lineal Mixto'!$C$1281</f>
      </c>
      <c r="D6324" s="6" t="str">
        <f>MIN(INT(B6324*5),4)</f>
      </c>
      <c r="E6324" s="6" t="str">
        <f>MIN(INT(C6324*5),4)</f>
      </c>
      <c r="F6324" s="6" t="str">
        <f>D6324*5+E6324</f>
      </c>
    </row>
    <row r="6325">
      <c r="A6325" s="5">
        <v>1277</v>
      </c>
      <c r="B6325" s="5" t="str">
        <f>'Lineal Mixto'!$C$1281</f>
      </c>
      <c r="C6325" s="5" t="str">
        <f>'Lineal Mixto'!$C$1282</f>
      </c>
      <c r="D6325" s="5" t="str">
        <f>MIN(INT(B6325*5),4)</f>
      </c>
      <c r="E6325" s="5" t="str">
        <f>MIN(INT(C6325*5),4)</f>
      </c>
      <c r="F6325" s="5" t="str">
        <f>D6325*5+E6325</f>
      </c>
    </row>
    <row r="6326">
      <c r="A6326" s="6">
        <v>1278</v>
      </c>
      <c r="B6326" s="6" t="str">
        <f>'Lineal Mixto'!$C$1282</f>
      </c>
      <c r="C6326" s="6" t="str">
        <f>'Lineal Mixto'!$C$1283</f>
      </c>
      <c r="D6326" s="6" t="str">
        <f>MIN(INT(B6326*5),4)</f>
      </c>
      <c r="E6326" s="6" t="str">
        <f>MIN(INT(C6326*5),4)</f>
      </c>
      <c r="F6326" s="6" t="str">
        <f>D6326*5+E6326</f>
      </c>
    </row>
    <row r="6327">
      <c r="A6327" s="5">
        <v>1279</v>
      </c>
      <c r="B6327" s="5" t="str">
        <f>'Lineal Mixto'!$C$1283</f>
      </c>
      <c r="C6327" s="5" t="str">
        <f>'Lineal Mixto'!$C$1284</f>
      </c>
      <c r="D6327" s="5" t="str">
        <f>MIN(INT(B6327*5),4)</f>
      </c>
      <c r="E6327" s="5" t="str">
        <f>MIN(INT(C6327*5),4)</f>
      </c>
      <c r="F6327" s="5" t="str">
        <f>D6327*5+E6327</f>
      </c>
    </row>
    <row r="6328">
      <c r="A6328" s="6">
        <v>1280</v>
      </c>
      <c r="B6328" s="6" t="str">
        <f>'Lineal Mixto'!$C$1284</f>
      </c>
      <c r="C6328" s="6" t="str">
        <f>'Lineal Mixto'!$C$1285</f>
      </c>
      <c r="D6328" s="6" t="str">
        <f>MIN(INT(B6328*5),4)</f>
      </c>
      <c r="E6328" s="6" t="str">
        <f>MIN(INT(C6328*5),4)</f>
      </c>
      <c r="F6328" s="6" t="str">
        <f>D6328*5+E6328</f>
      </c>
    </row>
    <row r="6329">
      <c r="A6329" s="5">
        <v>1281</v>
      </c>
      <c r="B6329" s="5" t="str">
        <f>'Lineal Mixto'!$C$1285</f>
      </c>
      <c r="C6329" s="5" t="str">
        <f>'Lineal Mixto'!$C$1286</f>
      </c>
      <c r="D6329" s="5" t="str">
        <f>MIN(INT(B6329*5),4)</f>
      </c>
      <c r="E6329" s="5" t="str">
        <f>MIN(INT(C6329*5),4)</f>
      </c>
      <c r="F6329" s="5" t="str">
        <f>D6329*5+E6329</f>
      </c>
    </row>
    <row r="6330">
      <c r="A6330" s="6">
        <v>1282</v>
      </c>
      <c r="B6330" s="6" t="str">
        <f>'Lineal Mixto'!$C$1286</f>
      </c>
      <c r="C6330" s="6" t="str">
        <f>'Lineal Mixto'!$C$1287</f>
      </c>
      <c r="D6330" s="6" t="str">
        <f>MIN(INT(B6330*5),4)</f>
      </c>
      <c r="E6330" s="6" t="str">
        <f>MIN(INT(C6330*5),4)</f>
      </c>
      <c r="F6330" s="6" t="str">
        <f>D6330*5+E6330</f>
      </c>
    </row>
    <row r="6331">
      <c r="A6331" s="5">
        <v>1283</v>
      </c>
      <c r="B6331" s="5" t="str">
        <f>'Lineal Mixto'!$C$1287</f>
      </c>
      <c r="C6331" s="5" t="str">
        <f>'Lineal Mixto'!$C$1288</f>
      </c>
      <c r="D6331" s="5" t="str">
        <f>MIN(INT(B6331*5),4)</f>
      </c>
      <c r="E6331" s="5" t="str">
        <f>MIN(INT(C6331*5),4)</f>
      </c>
      <c r="F6331" s="5" t="str">
        <f>D6331*5+E6331</f>
      </c>
    </row>
    <row r="6332">
      <c r="A6332" s="6">
        <v>1284</v>
      </c>
      <c r="B6332" s="6" t="str">
        <f>'Lineal Mixto'!$C$1288</f>
      </c>
      <c r="C6332" s="6" t="str">
        <f>'Lineal Mixto'!$C$1289</f>
      </c>
      <c r="D6332" s="6" t="str">
        <f>MIN(INT(B6332*5),4)</f>
      </c>
      <c r="E6332" s="6" t="str">
        <f>MIN(INT(C6332*5),4)</f>
      </c>
      <c r="F6332" s="6" t="str">
        <f>D6332*5+E6332</f>
      </c>
    </row>
    <row r="6333">
      <c r="A6333" s="5">
        <v>1285</v>
      </c>
      <c r="B6333" s="5" t="str">
        <f>'Lineal Mixto'!$C$1289</f>
      </c>
      <c r="C6333" s="5" t="str">
        <f>'Lineal Mixto'!$C$1290</f>
      </c>
      <c r="D6333" s="5" t="str">
        <f>MIN(INT(B6333*5),4)</f>
      </c>
      <c r="E6333" s="5" t="str">
        <f>MIN(INT(C6333*5),4)</f>
      </c>
      <c r="F6333" s="5" t="str">
        <f>D6333*5+E6333</f>
      </c>
    </row>
    <row r="6334">
      <c r="A6334" s="6">
        <v>1286</v>
      </c>
      <c r="B6334" s="6" t="str">
        <f>'Lineal Mixto'!$C$1290</f>
      </c>
      <c r="C6334" s="6" t="str">
        <f>'Lineal Mixto'!$C$1291</f>
      </c>
      <c r="D6334" s="6" t="str">
        <f>MIN(INT(B6334*5),4)</f>
      </c>
      <c r="E6334" s="6" t="str">
        <f>MIN(INT(C6334*5),4)</f>
      </c>
      <c r="F6334" s="6" t="str">
        <f>D6334*5+E6334</f>
      </c>
    </row>
    <row r="6335">
      <c r="A6335" s="5">
        <v>1287</v>
      </c>
      <c r="B6335" s="5" t="str">
        <f>'Lineal Mixto'!$C$1291</f>
      </c>
      <c r="C6335" s="5" t="str">
        <f>'Lineal Mixto'!$C$1292</f>
      </c>
      <c r="D6335" s="5" t="str">
        <f>MIN(INT(B6335*5),4)</f>
      </c>
      <c r="E6335" s="5" t="str">
        <f>MIN(INT(C6335*5),4)</f>
      </c>
      <c r="F6335" s="5" t="str">
        <f>D6335*5+E6335</f>
      </c>
    </row>
    <row r="6336">
      <c r="A6336" s="6">
        <v>1288</v>
      </c>
      <c r="B6336" s="6" t="str">
        <f>'Lineal Mixto'!$C$1292</f>
      </c>
      <c r="C6336" s="6" t="str">
        <f>'Lineal Mixto'!$C$1293</f>
      </c>
      <c r="D6336" s="6" t="str">
        <f>MIN(INT(B6336*5),4)</f>
      </c>
      <c r="E6336" s="6" t="str">
        <f>MIN(INT(C6336*5),4)</f>
      </c>
      <c r="F6336" s="6" t="str">
        <f>D6336*5+E6336</f>
      </c>
    </row>
    <row r="6337">
      <c r="A6337" s="5">
        <v>1289</v>
      </c>
      <c r="B6337" s="5" t="str">
        <f>'Lineal Mixto'!$C$1293</f>
      </c>
      <c r="C6337" s="5" t="str">
        <f>'Lineal Mixto'!$C$1294</f>
      </c>
      <c r="D6337" s="5" t="str">
        <f>MIN(INT(B6337*5),4)</f>
      </c>
      <c r="E6337" s="5" t="str">
        <f>MIN(INT(C6337*5),4)</f>
      </c>
      <c r="F6337" s="5" t="str">
        <f>D6337*5+E6337</f>
      </c>
    </row>
    <row r="6338">
      <c r="A6338" s="6">
        <v>1290</v>
      </c>
      <c r="B6338" s="6" t="str">
        <f>'Lineal Mixto'!$C$1294</f>
      </c>
      <c r="C6338" s="6" t="str">
        <f>'Lineal Mixto'!$C$1295</f>
      </c>
      <c r="D6338" s="6" t="str">
        <f>MIN(INT(B6338*5),4)</f>
      </c>
      <c r="E6338" s="6" t="str">
        <f>MIN(INT(C6338*5),4)</f>
      </c>
      <c r="F6338" s="6" t="str">
        <f>D6338*5+E6338</f>
      </c>
    </row>
    <row r="6339">
      <c r="A6339" s="5">
        <v>1291</v>
      </c>
      <c r="B6339" s="5" t="str">
        <f>'Lineal Mixto'!$C$1295</f>
      </c>
      <c r="C6339" s="5" t="str">
        <f>'Lineal Mixto'!$C$1296</f>
      </c>
      <c r="D6339" s="5" t="str">
        <f>MIN(INT(B6339*5),4)</f>
      </c>
      <c r="E6339" s="5" t="str">
        <f>MIN(INT(C6339*5),4)</f>
      </c>
      <c r="F6339" s="5" t="str">
        <f>D6339*5+E6339</f>
      </c>
    </row>
    <row r="6340">
      <c r="A6340" s="6">
        <v>1292</v>
      </c>
      <c r="B6340" s="6" t="str">
        <f>'Lineal Mixto'!$C$1296</f>
      </c>
      <c r="C6340" s="6" t="str">
        <f>'Lineal Mixto'!$C$1297</f>
      </c>
      <c r="D6340" s="6" t="str">
        <f>MIN(INT(B6340*5),4)</f>
      </c>
      <c r="E6340" s="6" t="str">
        <f>MIN(INT(C6340*5),4)</f>
      </c>
      <c r="F6340" s="6" t="str">
        <f>D6340*5+E6340</f>
      </c>
    </row>
    <row r="6341">
      <c r="A6341" s="5">
        <v>1293</v>
      </c>
      <c r="B6341" s="5" t="str">
        <f>'Lineal Mixto'!$C$1297</f>
      </c>
      <c r="C6341" s="5" t="str">
        <f>'Lineal Mixto'!$C$1298</f>
      </c>
      <c r="D6341" s="5" t="str">
        <f>MIN(INT(B6341*5),4)</f>
      </c>
      <c r="E6341" s="5" t="str">
        <f>MIN(INT(C6341*5),4)</f>
      </c>
      <c r="F6341" s="5" t="str">
        <f>D6341*5+E6341</f>
      </c>
    </row>
    <row r="6342">
      <c r="A6342" s="6">
        <v>1294</v>
      </c>
      <c r="B6342" s="6" t="str">
        <f>'Lineal Mixto'!$C$1298</f>
      </c>
      <c r="C6342" s="6" t="str">
        <f>'Lineal Mixto'!$C$1299</f>
      </c>
      <c r="D6342" s="6" t="str">
        <f>MIN(INT(B6342*5),4)</f>
      </c>
      <c r="E6342" s="6" t="str">
        <f>MIN(INT(C6342*5),4)</f>
      </c>
      <c r="F6342" s="6" t="str">
        <f>D6342*5+E6342</f>
      </c>
    </row>
    <row r="6343">
      <c r="A6343" s="5">
        <v>1295</v>
      </c>
      <c r="B6343" s="5" t="str">
        <f>'Lineal Mixto'!$C$1299</f>
      </c>
      <c r="C6343" s="5" t="str">
        <f>'Lineal Mixto'!$C$1300</f>
      </c>
      <c r="D6343" s="5" t="str">
        <f>MIN(INT(B6343*5),4)</f>
      </c>
      <c r="E6343" s="5" t="str">
        <f>MIN(INT(C6343*5),4)</f>
      </c>
      <c r="F6343" s="5" t="str">
        <f>D6343*5+E6343</f>
      </c>
    </row>
    <row r="6344">
      <c r="A6344" s="6">
        <v>1296</v>
      </c>
      <c r="B6344" s="6" t="str">
        <f>'Lineal Mixto'!$C$1300</f>
      </c>
      <c r="C6344" s="6" t="str">
        <f>'Lineal Mixto'!$C$1301</f>
      </c>
      <c r="D6344" s="6" t="str">
        <f>MIN(INT(B6344*5),4)</f>
      </c>
      <c r="E6344" s="6" t="str">
        <f>MIN(INT(C6344*5),4)</f>
      </c>
      <c r="F6344" s="6" t="str">
        <f>D6344*5+E6344</f>
      </c>
    </row>
    <row r="6345">
      <c r="A6345" s="5">
        <v>1297</v>
      </c>
      <c r="B6345" s="5" t="str">
        <f>'Lineal Mixto'!$C$1301</f>
      </c>
      <c r="C6345" s="5" t="str">
        <f>'Lineal Mixto'!$C$1302</f>
      </c>
      <c r="D6345" s="5" t="str">
        <f>MIN(INT(B6345*5),4)</f>
      </c>
      <c r="E6345" s="5" t="str">
        <f>MIN(INT(C6345*5),4)</f>
      </c>
      <c r="F6345" s="5" t="str">
        <f>D6345*5+E6345</f>
      </c>
    </row>
    <row r="6346">
      <c r="A6346" s="6">
        <v>1298</v>
      </c>
      <c r="B6346" s="6" t="str">
        <f>'Lineal Mixto'!$C$1302</f>
      </c>
      <c r="C6346" s="6" t="str">
        <f>'Lineal Mixto'!$C$1303</f>
      </c>
      <c r="D6346" s="6" t="str">
        <f>MIN(INT(B6346*5),4)</f>
      </c>
      <c r="E6346" s="6" t="str">
        <f>MIN(INT(C6346*5),4)</f>
      </c>
      <c r="F6346" s="6" t="str">
        <f>D6346*5+E6346</f>
      </c>
    </row>
    <row r="6347">
      <c r="A6347" s="5">
        <v>1299</v>
      </c>
      <c r="B6347" s="5" t="str">
        <f>'Lineal Mixto'!$C$1303</f>
      </c>
      <c r="C6347" s="5" t="str">
        <f>'Lineal Mixto'!$C$1304</f>
      </c>
      <c r="D6347" s="5" t="str">
        <f>MIN(INT(B6347*5),4)</f>
      </c>
      <c r="E6347" s="5" t="str">
        <f>MIN(INT(C6347*5),4)</f>
      </c>
      <c r="F6347" s="5" t="str">
        <f>D6347*5+E6347</f>
      </c>
    </row>
    <row r="6348">
      <c r="A6348" s="6">
        <v>1300</v>
      </c>
      <c r="B6348" s="6" t="str">
        <f>'Lineal Mixto'!$C$1304</f>
      </c>
      <c r="C6348" s="6" t="str">
        <f>'Lineal Mixto'!$C$1305</f>
      </c>
      <c r="D6348" s="6" t="str">
        <f>MIN(INT(B6348*5),4)</f>
      </c>
      <c r="E6348" s="6" t="str">
        <f>MIN(INT(C6348*5),4)</f>
      </c>
      <c r="F6348" s="6" t="str">
        <f>D6348*5+E6348</f>
      </c>
    </row>
    <row r="6349">
      <c r="A6349" s="5">
        <v>1301</v>
      </c>
      <c r="B6349" s="5" t="str">
        <f>'Lineal Mixto'!$C$1305</f>
      </c>
      <c r="C6349" s="5" t="str">
        <f>'Lineal Mixto'!$C$1306</f>
      </c>
      <c r="D6349" s="5" t="str">
        <f>MIN(INT(B6349*5),4)</f>
      </c>
      <c r="E6349" s="5" t="str">
        <f>MIN(INT(C6349*5),4)</f>
      </c>
      <c r="F6349" s="5" t="str">
        <f>D6349*5+E6349</f>
      </c>
    </row>
    <row r="6350">
      <c r="A6350" s="6">
        <v>1302</v>
      </c>
      <c r="B6350" s="6" t="str">
        <f>'Lineal Mixto'!$C$1306</f>
      </c>
      <c r="C6350" s="6" t="str">
        <f>'Lineal Mixto'!$C$1307</f>
      </c>
      <c r="D6350" s="6" t="str">
        <f>MIN(INT(B6350*5),4)</f>
      </c>
      <c r="E6350" s="6" t="str">
        <f>MIN(INT(C6350*5),4)</f>
      </c>
      <c r="F6350" s="6" t="str">
        <f>D6350*5+E6350</f>
      </c>
    </row>
    <row r="6351">
      <c r="A6351" s="5">
        <v>1303</v>
      </c>
      <c r="B6351" s="5" t="str">
        <f>'Lineal Mixto'!$C$1307</f>
      </c>
      <c r="C6351" s="5" t="str">
        <f>'Lineal Mixto'!$C$1308</f>
      </c>
      <c r="D6351" s="5" t="str">
        <f>MIN(INT(B6351*5),4)</f>
      </c>
      <c r="E6351" s="5" t="str">
        <f>MIN(INT(C6351*5),4)</f>
      </c>
      <c r="F6351" s="5" t="str">
        <f>D6351*5+E6351</f>
      </c>
    </row>
    <row r="6352">
      <c r="A6352" s="6">
        <v>1304</v>
      </c>
      <c r="B6352" s="6" t="str">
        <f>'Lineal Mixto'!$C$1308</f>
      </c>
      <c r="C6352" s="6" t="str">
        <f>'Lineal Mixto'!$C$1309</f>
      </c>
      <c r="D6352" s="6" t="str">
        <f>MIN(INT(B6352*5),4)</f>
      </c>
      <c r="E6352" s="6" t="str">
        <f>MIN(INT(C6352*5),4)</f>
      </c>
      <c r="F6352" s="6" t="str">
        <f>D6352*5+E6352</f>
      </c>
    </row>
    <row r="6353">
      <c r="A6353" s="5">
        <v>1305</v>
      </c>
      <c r="B6353" s="5" t="str">
        <f>'Lineal Mixto'!$C$1309</f>
      </c>
      <c r="C6353" s="5" t="str">
        <f>'Lineal Mixto'!$C$1310</f>
      </c>
      <c r="D6353" s="5" t="str">
        <f>MIN(INT(B6353*5),4)</f>
      </c>
      <c r="E6353" s="5" t="str">
        <f>MIN(INT(C6353*5),4)</f>
      </c>
      <c r="F6353" s="5" t="str">
        <f>D6353*5+E6353</f>
      </c>
    </row>
    <row r="6354">
      <c r="A6354" s="6">
        <v>1306</v>
      </c>
      <c r="B6354" s="6" t="str">
        <f>'Lineal Mixto'!$C$1310</f>
      </c>
      <c r="C6354" s="6" t="str">
        <f>'Lineal Mixto'!$C$1311</f>
      </c>
      <c r="D6354" s="6" t="str">
        <f>MIN(INT(B6354*5),4)</f>
      </c>
      <c r="E6354" s="6" t="str">
        <f>MIN(INT(C6354*5),4)</f>
      </c>
      <c r="F6354" s="6" t="str">
        <f>D6354*5+E6354</f>
      </c>
    </row>
    <row r="6355">
      <c r="A6355" s="5">
        <v>1307</v>
      </c>
      <c r="B6355" s="5" t="str">
        <f>'Lineal Mixto'!$C$1311</f>
      </c>
      <c r="C6355" s="5" t="str">
        <f>'Lineal Mixto'!$C$1312</f>
      </c>
      <c r="D6355" s="5" t="str">
        <f>MIN(INT(B6355*5),4)</f>
      </c>
      <c r="E6355" s="5" t="str">
        <f>MIN(INT(C6355*5),4)</f>
      </c>
      <c r="F6355" s="5" t="str">
        <f>D6355*5+E6355</f>
      </c>
    </row>
    <row r="6356">
      <c r="A6356" s="6">
        <v>1308</v>
      </c>
      <c r="B6356" s="6" t="str">
        <f>'Lineal Mixto'!$C$1312</f>
      </c>
      <c r="C6356" s="6" t="str">
        <f>'Lineal Mixto'!$C$1313</f>
      </c>
      <c r="D6356" s="6" t="str">
        <f>MIN(INT(B6356*5),4)</f>
      </c>
      <c r="E6356" s="6" t="str">
        <f>MIN(INT(C6356*5),4)</f>
      </c>
      <c r="F6356" s="6" t="str">
        <f>D6356*5+E6356</f>
      </c>
    </row>
    <row r="6357">
      <c r="A6357" s="5">
        <v>1309</v>
      </c>
      <c r="B6357" s="5" t="str">
        <f>'Lineal Mixto'!$C$1313</f>
      </c>
      <c r="C6357" s="5" t="str">
        <f>'Lineal Mixto'!$C$1314</f>
      </c>
      <c r="D6357" s="5" t="str">
        <f>MIN(INT(B6357*5),4)</f>
      </c>
      <c r="E6357" s="5" t="str">
        <f>MIN(INT(C6357*5),4)</f>
      </c>
      <c r="F6357" s="5" t="str">
        <f>D6357*5+E6357</f>
      </c>
    </row>
    <row r="6358">
      <c r="A6358" s="6">
        <v>1310</v>
      </c>
      <c r="B6358" s="6" t="str">
        <f>'Lineal Mixto'!$C$1314</f>
      </c>
      <c r="C6358" s="6" t="str">
        <f>'Lineal Mixto'!$C$1315</f>
      </c>
      <c r="D6358" s="6" t="str">
        <f>MIN(INT(B6358*5),4)</f>
      </c>
      <c r="E6358" s="6" t="str">
        <f>MIN(INT(C6358*5),4)</f>
      </c>
      <c r="F6358" s="6" t="str">
        <f>D6358*5+E6358</f>
      </c>
    </row>
    <row r="6359">
      <c r="A6359" s="5">
        <v>1311</v>
      </c>
      <c r="B6359" s="5" t="str">
        <f>'Lineal Mixto'!$C$1315</f>
      </c>
      <c r="C6359" s="5" t="str">
        <f>'Lineal Mixto'!$C$1316</f>
      </c>
      <c r="D6359" s="5" t="str">
        <f>MIN(INT(B6359*5),4)</f>
      </c>
      <c r="E6359" s="5" t="str">
        <f>MIN(INT(C6359*5),4)</f>
      </c>
      <c r="F6359" s="5" t="str">
        <f>D6359*5+E6359</f>
      </c>
    </row>
    <row r="6360">
      <c r="A6360" s="6">
        <v>1312</v>
      </c>
      <c r="B6360" s="6" t="str">
        <f>'Lineal Mixto'!$C$1316</f>
      </c>
      <c r="C6360" s="6" t="str">
        <f>'Lineal Mixto'!$C$1317</f>
      </c>
      <c r="D6360" s="6" t="str">
        <f>MIN(INT(B6360*5),4)</f>
      </c>
      <c r="E6360" s="6" t="str">
        <f>MIN(INT(C6360*5),4)</f>
      </c>
      <c r="F6360" s="6" t="str">
        <f>D6360*5+E6360</f>
      </c>
    </row>
    <row r="6361">
      <c r="A6361" s="5">
        <v>1313</v>
      </c>
      <c r="B6361" s="5" t="str">
        <f>'Lineal Mixto'!$C$1317</f>
      </c>
      <c r="C6361" s="5" t="str">
        <f>'Lineal Mixto'!$C$1318</f>
      </c>
      <c r="D6361" s="5" t="str">
        <f>MIN(INT(B6361*5),4)</f>
      </c>
      <c r="E6361" s="5" t="str">
        <f>MIN(INT(C6361*5),4)</f>
      </c>
      <c r="F6361" s="5" t="str">
        <f>D6361*5+E6361</f>
      </c>
    </row>
    <row r="6362">
      <c r="A6362" s="6">
        <v>1314</v>
      </c>
      <c r="B6362" s="6" t="str">
        <f>'Lineal Mixto'!$C$1318</f>
      </c>
      <c r="C6362" s="6" t="str">
        <f>'Lineal Mixto'!$C$1319</f>
      </c>
      <c r="D6362" s="6" t="str">
        <f>MIN(INT(B6362*5),4)</f>
      </c>
      <c r="E6362" s="6" t="str">
        <f>MIN(INT(C6362*5),4)</f>
      </c>
      <c r="F6362" s="6" t="str">
        <f>D6362*5+E6362</f>
      </c>
    </row>
    <row r="6363">
      <c r="A6363" s="5">
        <v>1315</v>
      </c>
      <c r="B6363" s="5" t="str">
        <f>'Lineal Mixto'!$C$1319</f>
      </c>
      <c r="C6363" s="5" t="str">
        <f>'Lineal Mixto'!$C$1320</f>
      </c>
      <c r="D6363" s="5" t="str">
        <f>MIN(INT(B6363*5),4)</f>
      </c>
      <c r="E6363" s="5" t="str">
        <f>MIN(INT(C6363*5),4)</f>
      </c>
      <c r="F6363" s="5" t="str">
        <f>D6363*5+E6363</f>
      </c>
    </row>
    <row r="6364">
      <c r="A6364" s="6">
        <v>1316</v>
      </c>
      <c r="B6364" s="6" t="str">
        <f>'Lineal Mixto'!$C$1320</f>
      </c>
      <c r="C6364" s="6" t="str">
        <f>'Lineal Mixto'!$C$1321</f>
      </c>
      <c r="D6364" s="6" t="str">
        <f>MIN(INT(B6364*5),4)</f>
      </c>
      <c r="E6364" s="6" t="str">
        <f>MIN(INT(C6364*5),4)</f>
      </c>
      <c r="F6364" s="6" t="str">
        <f>D6364*5+E6364</f>
      </c>
    </row>
    <row r="6365">
      <c r="A6365" s="5">
        <v>1317</v>
      </c>
      <c r="B6365" s="5" t="str">
        <f>'Lineal Mixto'!$C$1321</f>
      </c>
      <c r="C6365" s="5" t="str">
        <f>'Lineal Mixto'!$C$1322</f>
      </c>
      <c r="D6365" s="5" t="str">
        <f>MIN(INT(B6365*5),4)</f>
      </c>
      <c r="E6365" s="5" t="str">
        <f>MIN(INT(C6365*5),4)</f>
      </c>
      <c r="F6365" s="5" t="str">
        <f>D6365*5+E6365</f>
      </c>
    </row>
    <row r="6366">
      <c r="A6366" s="6">
        <v>1318</v>
      </c>
      <c r="B6366" s="6" t="str">
        <f>'Lineal Mixto'!$C$1322</f>
      </c>
      <c r="C6366" s="6" t="str">
        <f>'Lineal Mixto'!$C$1323</f>
      </c>
      <c r="D6366" s="6" t="str">
        <f>MIN(INT(B6366*5),4)</f>
      </c>
      <c r="E6366" s="6" t="str">
        <f>MIN(INT(C6366*5),4)</f>
      </c>
      <c r="F6366" s="6" t="str">
        <f>D6366*5+E6366</f>
      </c>
    </row>
    <row r="6367">
      <c r="A6367" s="5">
        <v>1319</v>
      </c>
      <c r="B6367" s="5" t="str">
        <f>'Lineal Mixto'!$C$1323</f>
      </c>
      <c r="C6367" s="5" t="str">
        <f>'Lineal Mixto'!$C$1324</f>
      </c>
      <c r="D6367" s="5" t="str">
        <f>MIN(INT(B6367*5),4)</f>
      </c>
      <c r="E6367" s="5" t="str">
        <f>MIN(INT(C6367*5),4)</f>
      </c>
      <c r="F6367" s="5" t="str">
        <f>D6367*5+E6367</f>
      </c>
    </row>
    <row r="6368">
      <c r="A6368" s="6">
        <v>1320</v>
      </c>
      <c r="B6368" s="6" t="str">
        <f>'Lineal Mixto'!$C$1324</f>
      </c>
      <c r="C6368" s="6" t="str">
        <f>'Lineal Mixto'!$C$1325</f>
      </c>
      <c r="D6368" s="6" t="str">
        <f>MIN(INT(B6368*5),4)</f>
      </c>
      <c r="E6368" s="6" t="str">
        <f>MIN(INT(C6368*5),4)</f>
      </c>
      <c r="F6368" s="6" t="str">
        <f>D6368*5+E6368</f>
      </c>
    </row>
    <row r="6369">
      <c r="A6369" s="5">
        <v>1321</v>
      </c>
      <c r="B6369" s="5" t="str">
        <f>'Lineal Mixto'!$C$1325</f>
      </c>
      <c r="C6369" s="5" t="str">
        <f>'Lineal Mixto'!$C$1326</f>
      </c>
      <c r="D6369" s="5" t="str">
        <f>MIN(INT(B6369*5),4)</f>
      </c>
      <c r="E6369" s="5" t="str">
        <f>MIN(INT(C6369*5),4)</f>
      </c>
      <c r="F6369" s="5" t="str">
        <f>D6369*5+E6369</f>
      </c>
    </row>
    <row r="6370">
      <c r="A6370" s="6">
        <v>1322</v>
      </c>
      <c r="B6370" s="6" t="str">
        <f>'Lineal Mixto'!$C$1326</f>
      </c>
      <c r="C6370" s="6" t="str">
        <f>'Lineal Mixto'!$C$1327</f>
      </c>
      <c r="D6370" s="6" t="str">
        <f>MIN(INT(B6370*5),4)</f>
      </c>
      <c r="E6370" s="6" t="str">
        <f>MIN(INT(C6370*5),4)</f>
      </c>
      <c r="F6370" s="6" t="str">
        <f>D6370*5+E6370</f>
      </c>
    </row>
    <row r="6371">
      <c r="A6371" s="5">
        <v>1323</v>
      </c>
      <c r="B6371" s="5" t="str">
        <f>'Lineal Mixto'!$C$1327</f>
      </c>
      <c r="C6371" s="5" t="str">
        <f>'Lineal Mixto'!$C$1328</f>
      </c>
      <c r="D6371" s="5" t="str">
        <f>MIN(INT(B6371*5),4)</f>
      </c>
      <c r="E6371" s="5" t="str">
        <f>MIN(INT(C6371*5),4)</f>
      </c>
      <c r="F6371" s="5" t="str">
        <f>D6371*5+E6371</f>
      </c>
    </row>
    <row r="6372">
      <c r="A6372" s="6">
        <v>1324</v>
      </c>
      <c r="B6372" s="6" t="str">
        <f>'Lineal Mixto'!$C$1328</f>
      </c>
      <c r="C6372" s="6" t="str">
        <f>'Lineal Mixto'!$C$1329</f>
      </c>
      <c r="D6372" s="6" t="str">
        <f>MIN(INT(B6372*5),4)</f>
      </c>
      <c r="E6372" s="6" t="str">
        <f>MIN(INT(C6372*5),4)</f>
      </c>
      <c r="F6372" s="6" t="str">
        <f>D6372*5+E6372</f>
      </c>
    </row>
    <row r="6373">
      <c r="A6373" s="5">
        <v>1325</v>
      </c>
      <c r="B6373" s="5" t="str">
        <f>'Lineal Mixto'!$C$1329</f>
      </c>
      <c r="C6373" s="5" t="str">
        <f>'Lineal Mixto'!$C$1330</f>
      </c>
      <c r="D6373" s="5" t="str">
        <f>MIN(INT(B6373*5),4)</f>
      </c>
      <c r="E6373" s="5" t="str">
        <f>MIN(INT(C6373*5),4)</f>
      </c>
      <c r="F6373" s="5" t="str">
        <f>D6373*5+E6373</f>
      </c>
    </row>
    <row r="6374">
      <c r="A6374" s="6">
        <v>1326</v>
      </c>
      <c r="B6374" s="6" t="str">
        <f>'Lineal Mixto'!$C$1330</f>
      </c>
      <c r="C6374" s="6" t="str">
        <f>'Lineal Mixto'!$C$1331</f>
      </c>
      <c r="D6374" s="6" t="str">
        <f>MIN(INT(B6374*5),4)</f>
      </c>
      <c r="E6374" s="6" t="str">
        <f>MIN(INT(C6374*5),4)</f>
      </c>
      <c r="F6374" s="6" t="str">
        <f>D6374*5+E6374</f>
      </c>
    </row>
    <row r="6375">
      <c r="A6375" s="5">
        <v>1327</v>
      </c>
      <c r="B6375" s="5" t="str">
        <f>'Lineal Mixto'!$C$1331</f>
      </c>
      <c r="C6375" s="5" t="str">
        <f>'Lineal Mixto'!$C$1332</f>
      </c>
      <c r="D6375" s="5" t="str">
        <f>MIN(INT(B6375*5),4)</f>
      </c>
      <c r="E6375" s="5" t="str">
        <f>MIN(INT(C6375*5),4)</f>
      </c>
      <c r="F6375" s="5" t="str">
        <f>D6375*5+E6375</f>
      </c>
    </row>
    <row r="6376">
      <c r="A6376" s="6">
        <v>1328</v>
      </c>
      <c r="B6376" s="6" t="str">
        <f>'Lineal Mixto'!$C$1332</f>
      </c>
      <c r="C6376" s="6" t="str">
        <f>'Lineal Mixto'!$C$1333</f>
      </c>
      <c r="D6376" s="6" t="str">
        <f>MIN(INT(B6376*5),4)</f>
      </c>
      <c r="E6376" s="6" t="str">
        <f>MIN(INT(C6376*5),4)</f>
      </c>
      <c r="F6376" s="6" t="str">
        <f>D6376*5+E6376</f>
      </c>
    </row>
    <row r="6377">
      <c r="A6377" s="5">
        <v>1329</v>
      </c>
      <c r="B6377" s="5" t="str">
        <f>'Lineal Mixto'!$C$1333</f>
      </c>
      <c r="C6377" s="5" t="str">
        <f>'Lineal Mixto'!$C$1334</f>
      </c>
      <c r="D6377" s="5" t="str">
        <f>MIN(INT(B6377*5),4)</f>
      </c>
      <c r="E6377" s="5" t="str">
        <f>MIN(INT(C6377*5),4)</f>
      </c>
      <c r="F6377" s="5" t="str">
        <f>D6377*5+E6377</f>
      </c>
    </row>
    <row r="6378">
      <c r="A6378" s="6">
        <v>1330</v>
      </c>
      <c r="B6378" s="6" t="str">
        <f>'Lineal Mixto'!$C$1334</f>
      </c>
      <c r="C6378" s="6" t="str">
        <f>'Lineal Mixto'!$C$1335</f>
      </c>
      <c r="D6378" s="6" t="str">
        <f>MIN(INT(B6378*5),4)</f>
      </c>
      <c r="E6378" s="6" t="str">
        <f>MIN(INT(C6378*5),4)</f>
      </c>
      <c r="F6378" s="6" t="str">
        <f>D6378*5+E6378</f>
      </c>
    </row>
    <row r="6379">
      <c r="A6379" s="5">
        <v>1331</v>
      </c>
      <c r="B6379" s="5" t="str">
        <f>'Lineal Mixto'!$C$1335</f>
      </c>
      <c r="C6379" s="5" t="str">
        <f>'Lineal Mixto'!$C$1336</f>
      </c>
      <c r="D6379" s="5" t="str">
        <f>MIN(INT(B6379*5),4)</f>
      </c>
      <c r="E6379" s="5" t="str">
        <f>MIN(INT(C6379*5),4)</f>
      </c>
      <c r="F6379" s="5" t="str">
        <f>D6379*5+E6379</f>
      </c>
    </row>
    <row r="6380">
      <c r="A6380" s="6">
        <v>1332</v>
      </c>
      <c r="B6380" s="6" t="str">
        <f>'Lineal Mixto'!$C$1336</f>
      </c>
      <c r="C6380" s="6" t="str">
        <f>'Lineal Mixto'!$C$1337</f>
      </c>
      <c r="D6380" s="6" t="str">
        <f>MIN(INT(B6380*5),4)</f>
      </c>
      <c r="E6380" s="6" t="str">
        <f>MIN(INT(C6380*5),4)</f>
      </c>
      <c r="F6380" s="6" t="str">
        <f>D6380*5+E6380</f>
      </c>
    </row>
    <row r="6381">
      <c r="A6381" s="5">
        <v>1333</v>
      </c>
      <c r="B6381" s="5" t="str">
        <f>'Lineal Mixto'!$C$1337</f>
      </c>
      <c r="C6381" s="5" t="str">
        <f>'Lineal Mixto'!$C$1338</f>
      </c>
      <c r="D6381" s="5" t="str">
        <f>MIN(INT(B6381*5),4)</f>
      </c>
      <c r="E6381" s="5" t="str">
        <f>MIN(INT(C6381*5),4)</f>
      </c>
      <c r="F6381" s="5" t="str">
        <f>D6381*5+E6381</f>
      </c>
    </row>
    <row r="6382">
      <c r="A6382" s="6">
        <v>1334</v>
      </c>
      <c r="B6382" s="6" t="str">
        <f>'Lineal Mixto'!$C$1338</f>
      </c>
      <c r="C6382" s="6" t="str">
        <f>'Lineal Mixto'!$C$1339</f>
      </c>
      <c r="D6382" s="6" t="str">
        <f>MIN(INT(B6382*5),4)</f>
      </c>
      <c r="E6382" s="6" t="str">
        <f>MIN(INT(C6382*5),4)</f>
      </c>
      <c r="F6382" s="6" t="str">
        <f>D6382*5+E6382</f>
      </c>
    </row>
    <row r="6383">
      <c r="A6383" s="5">
        <v>1335</v>
      </c>
      <c r="B6383" s="5" t="str">
        <f>'Lineal Mixto'!$C$1339</f>
      </c>
      <c r="C6383" s="5" t="str">
        <f>'Lineal Mixto'!$C$1340</f>
      </c>
      <c r="D6383" s="5" t="str">
        <f>MIN(INT(B6383*5),4)</f>
      </c>
      <c r="E6383" s="5" t="str">
        <f>MIN(INT(C6383*5),4)</f>
      </c>
      <c r="F6383" s="5" t="str">
        <f>D6383*5+E6383</f>
      </c>
    </row>
    <row r="6384">
      <c r="A6384" s="6">
        <v>1336</v>
      </c>
      <c r="B6384" s="6" t="str">
        <f>'Lineal Mixto'!$C$1340</f>
      </c>
      <c r="C6384" s="6" t="str">
        <f>'Lineal Mixto'!$C$1341</f>
      </c>
      <c r="D6384" s="6" t="str">
        <f>MIN(INT(B6384*5),4)</f>
      </c>
      <c r="E6384" s="6" t="str">
        <f>MIN(INT(C6384*5),4)</f>
      </c>
      <c r="F6384" s="6" t="str">
        <f>D6384*5+E6384</f>
      </c>
    </row>
    <row r="6385">
      <c r="A6385" s="5">
        <v>1337</v>
      </c>
      <c r="B6385" s="5" t="str">
        <f>'Lineal Mixto'!$C$1341</f>
      </c>
      <c r="C6385" s="5" t="str">
        <f>'Lineal Mixto'!$C$1342</f>
      </c>
      <c r="D6385" s="5" t="str">
        <f>MIN(INT(B6385*5),4)</f>
      </c>
      <c r="E6385" s="5" t="str">
        <f>MIN(INT(C6385*5),4)</f>
      </c>
      <c r="F6385" s="5" t="str">
        <f>D6385*5+E6385</f>
      </c>
    </row>
    <row r="6386">
      <c r="A6386" s="6">
        <v>1338</v>
      </c>
      <c r="B6386" s="6" t="str">
        <f>'Lineal Mixto'!$C$1342</f>
      </c>
      <c r="C6386" s="6" t="str">
        <f>'Lineal Mixto'!$C$1343</f>
      </c>
      <c r="D6386" s="6" t="str">
        <f>MIN(INT(B6386*5),4)</f>
      </c>
      <c r="E6386" s="6" t="str">
        <f>MIN(INT(C6386*5),4)</f>
      </c>
      <c r="F6386" s="6" t="str">
        <f>D6386*5+E6386</f>
      </c>
    </row>
    <row r="6387">
      <c r="A6387" s="5">
        <v>1339</v>
      </c>
      <c r="B6387" s="5" t="str">
        <f>'Lineal Mixto'!$C$1343</f>
      </c>
      <c r="C6387" s="5" t="str">
        <f>'Lineal Mixto'!$C$1344</f>
      </c>
      <c r="D6387" s="5" t="str">
        <f>MIN(INT(B6387*5),4)</f>
      </c>
      <c r="E6387" s="5" t="str">
        <f>MIN(INT(C6387*5),4)</f>
      </c>
      <c r="F6387" s="5" t="str">
        <f>D6387*5+E6387</f>
      </c>
    </row>
    <row r="6388">
      <c r="A6388" s="6">
        <v>1340</v>
      </c>
      <c r="B6388" s="6" t="str">
        <f>'Lineal Mixto'!$C$1344</f>
      </c>
      <c r="C6388" s="6" t="str">
        <f>'Lineal Mixto'!$C$1345</f>
      </c>
      <c r="D6388" s="6" t="str">
        <f>MIN(INT(B6388*5),4)</f>
      </c>
      <c r="E6388" s="6" t="str">
        <f>MIN(INT(C6388*5),4)</f>
      </c>
      <c r="F6388" s="6" t="str">
        <f>D6388*5+E6388</f>
      </c>
    </row>
    <row r="6389">
      <c r="A6389" s="5">
        <v>1341</v>
      </c>
      <c r="B6389" s="5" t="str">
        <f>'Lineal Mixto'!$C$1345</f>
      </c>
      <c r="C6389" s="5" t="str">
        <f>'Lineal Mixto'!$C$1346</f>
      </c>
      <c r="D6389" s="5" t="str">
        <f>MIN(INT(B6389*5),4)</f>
      </c>
      <c r="E6389" s="5" t="str">
        <f>MIN(INT(C6389*5),4)</f>
      </c>
      <c r="F6389" s="5" t="str">
        <f>D6389*5+E6389</f>
      </c>
    </row>
    <row r="6390">
      <c r="A6390" s="6">
        <v>1342</v>
      </c>
      <c r="B6390" s="6" t="str">
        <f>'Lineal Mixto'!$C$1346</f>
      </c>
      <c r="C6390" s="6" t="str">
        <f>'Lineal Mixto'!$C$1347</f>
      </c>
      <c r="D6390" s="6" t="str">
        <f>MIN(INT(B6390*5),4)</f>
      </c>
      <c r="E6390" s="6" t="str">
        <f>MIN(INT(C6390*5),4)</f>
      </c>
      <c r="F6390" s="6" t="str">
        <f>D6390*5+E6390</f>
      </c>
    </row>
    <row r="6391">
      <c r="A6391" s="5">
        <v>1343</v>
      </c>
      <c r="B6391" s="5" t="str">
        <f>'Lineal Mixto'!$C$1347</f>
      </c>
      <c r="C6391" s="5" t="str">
        <f>'Lineal Mixto'!$C$1348</f>
      </c>
      <c r="D6391" s="5" t="str">
        <f>MIN(INT(B6391*5),4)</f>
      </c>
      <c r="E6391" s="5" t="str">
        <f>MIN(INT(C6391*5),4)</f>
      </c>
      <c r="F6391" s="5" t="str">
        <f>D6391*5+E6391</f>
      </c>
    </row>
    <row r="6392">
      <c r="A6392" s="6">
        <v>1344</v>
      </c>
      <c r="B6392" s="6" t="str">
        <f>'Lineal Mixto'!$C$1348</f>
      </c>
      <c r="C6392" s="6" t="str">
        <f>'Lineal Mixto'!$C$1349</f>
      </c>
      <c r="D6392" s="6" t="str">
        <f>MIN(INT(B6392*5),4)</f>
      </c>
      <c r="E6392" s="6" t="str">
        <f>MIN(INT(C6392*5),4)</f>
      </c>
      <c r="F6392" s="6" t="str">
        <f>D6392*5+E6392</f>
      </c>
    </row>
    <row r="6393">
      <c r="A6393" s="5">
        <v>1345</v>
      </c>
      <c r="B6393" s="5" t="str">
        <f>'Lineal Mixto'!$C$1349</f>
      </c>
      <c r="C6393" s="5" t="str">
        <f>'Lineal Mixto'!$C$1350</f>
      </c>
      <c r="D6393" s="5" t="str">
        <f>MIN(INT(B6393*5),4)</f>
      </c>
      <c r="E6393" s="5" t="str">
        <f>MIN(INT(C6393*5),4)</f>
      </c>
      <c r="F6393" s="5" t="str">
        <f>D6393*5+E6393</f>
      </c>
    </row>
    <row r="6394">
      <c r="A6394" s="6">
        <v>1346</v>
      </c>
      <c r="B6394" s="6" t="str">
        <f>'Lineal Mixto'!$C$1350</f>
      </c>
      <c r="C6394" s="6" t="str">
        <f>'Lineal Mixto'!$C$1351</f>
      </c>
      <c r="D6394" s="6" t="str">
        <f>MIN(INT(B6394*5),4)</f>
      </c>
      <c r="E6394" s="6" t="str">
        <f>MIN(INT(C6394*5),4)</f>
      </c>
      <c r="F6394" s="6" t="str">
        <f>D6394*5+E6394</f>
      </c>
    </row>
    <row r="6395">
      <c r="A6395" s="5">
        <v>1347</v>
      </c>
      <c r="B6395" s="5" t="str">
        <f>'Lineal Mixto'!$C$1351</f>
      </c>
      <c r="C6395" s="5" t="str">
        <f>'Lineal Mixto'!$C$1352</f>
      </c>
      <c r="D6395" s="5" t="str">
        <f>MIN(INT(B6395*5),4)</f>
      </c>
      <c r="E6395" s="5" t="str">
        <f>MIN(INT(C6395*5),4)</f>
      </c>
      <c r="F6395" s="5" t="str">
        <f>D6395*5+E6395</f>
      </c>
    </row>
    <row r="6396">
      <c r="A6396" s="6">
        <v>1348</v>
      </c>
      <c r="B6396" s="6" t="str">
        <f>'Lineal Mixto'!$C$1352</f>
      </c>
      <c r="C6396" s="6" t="str">
        <f>'Lineal Mixto'!$C$1353</f>
      </c>
      <c r="D6396" s="6" t="str">
        <f>MIN(INT(B6396*5),4)</f>
      </c>
      <c r="E6396" s="6" t="str">
        <f>MIN(INT(C6396*5),4)</f>
      </c>
      <c r="F6396" s="6" t="str">
        <f>D6396*5+E6396</f>
      </c>
    </row>
    <row r="6397">
      <c r="A6397" s="5">
        <v>1349</v>
      </c>
      <c r="B6397" s="5" t="str">
        <f>'Lineal Mixto'!$C$1353</f>
      </c>
      <c r="C6397" s="5" t="str">
        <f>'Lineal Mixto'!$C$1354</f>
      </c>
      <c r="D6397" s="5" t="str">
        <f>MIN(INT(B6397*5),4)</f>
      </c>
      <c r="E6397" s="5" t="str">
        <f>MIN(INT(C6397*5),4)</f>
      </c>
      <c r="F6397" s="5" t="str">
        <f>D6397*5+E6397</f>
      </c>
    </row>
    <row r="6398">
      <c r="A6398" s="6">
        <v>1350</v>
      </c>
      <c r="B6398" s="6" t="str">
        <f>'Lineal Mixto'!$C$1354</f>
      </c>
      <c r="C6398" s="6" t="str">
        <f>'Lineal Mixto'!$C$1355</f>
      </c>
      <c r="D6398" s="6" t="str">
        <f>MIN(INT(B6398*5),4)</f>
      </c>
      <c r="E6398" s="6" t="str">
        <f>MIN(INT(C6398*5),4)</f>
      </c>
      <c r="F6398" s="6" t="str">
        <f>D6398*5+E6398</f>
      </c>
    </row>
    <row r="6399">
      <c r="A6399" s="5">
        <v>1351</v>
      </c>
      <c r="B6399" s="5" t="str">
        <f>'Lineal Mixto'!$C$1355</f>
      </c>
      <c r="C6399" s="5" t="str">
        <f>'Lineal Mixto'!$C$1356</f>
      </c>
      <c r="D6399" s="5" t="str">
        <f>MIN(INT(B6399*5),4)</f>
      </c>
      <c r="E6399" s="5" t="str">
        <f>MIN(INT(C6399*5),4)</f>
      </c>
      <c r="F6399" s="5" t="str">
        <f>D6399*5+E6399</f>
      </c>
    </row>
    <row r="6400">
      <c r="A6400" s="6">
        <v>1352</v>
      </c>
      <c r="B6400" s="6" t="str">
        <f>'Lineal Mixto'!$C$1356</f>
      </c>
      <c r="C6400" s="6" t="str">
        <f>'Lineal Mixto'!$C$1357</f>
      </c>
      <c r="D6400" s="6" t="str">
        <f>MIN(INT(B6400*5),4)</f>
      </c>
      <c r="E6400" s="6" t="str">
        <f>MIN(INT(C6400*5),4)</f>
      </c>
      <c r="F6400" s="6" t="str">
        <f>D6400*5+E6400</f>
      </c>
    </row>
    <row r="6401">
      <c r="A6401" s="5">
        <v>1353</v>
      </c>
      <c r="B6401" s="5" t="str">
        <f>'Lineal Mixto'!$C$1357</f>
      </c>
      <c r="C6401" s="5" t="str">
        <f>'Lineal Mixto'!$C$1358</f>
      </c>
      <c r="D6401" s="5" t="str">
        <f>MIN(INT(B6401*5),4)</f>
      </c>
      <c r="E6401" s="5" t="str">
        <f>MIN(INT(C6401*5),4)</f>
      </c>
      <c r="F6401" s="5" t="str">
        <f>D6401*5+E6401</f>
      </c>
    </row>
    <row r="6402">
      <c r="A6402" s="6">
        <v>1354</v>
      </c>
      <c r="B6402" s="6" t="str">
        <f>'Lineal Mixto'!$C$1358</f>
      </c>
      <c r="C6402" s="6" t="str">
        <f>'Lineal Mixto'!$C$1359</f>
      </c>
      <c r="D6402" s="6" t="str">
        <f>MIN(INT(B6402*5),4)</f>
      </c>
      <c r="E6402" s="6" t="str">
        <f>MIN(INT(C6402*5),4)</f>
      </c>
      <c r="F6402" s="6" t="str">
        <f>D6402*5+E6402</f>
      </c>
    </row>
    <row r="6403">
      <c r="A6403" s="5">
        <v>1355</v>
      </c>
      <c r="B6403" s="5" t="str">
        <f>'Lineal Mixto'!$C$1359</f>
      </c>
      <c r="C6403" s="5" t="str">
        <f>'Lineal Mixto'!$C$1360</f>
      </c>
      <c r="D6403" s="5" t="str">
        <f>MIN(INT(B6403*5),4)</f>
      </c>
      <c r="E6403" s="5" t="str">
        <f>MIN(INT(C6403*5),4)</f>
      </c>
      <c r="F6403" s="5" t="str">
        <f>D6403*5+E6403</f>
      </c>
    </row>
    <row r="6404">
      <c r="A6404" s="6">
        <v>1356</v>
      </c>
      <c r="B6404" s="6" t="str">
        <f>'Lineal Mixto'!$C$1360</f>
      </c>
      <c r="C6404" s="6" t="str">
        <f>'Lineal Mixto'!$C$1361</f>
      </c>
      <c r="D6404" s="6" t="str">
        <f>MIN(INT(B6404*5),4)</f>
      </c>
      <c r="E6404" s="6" t="str">
        <f>MIN(INT(C6404*5),4)</f>
      </c>
      <c r="F6404" s="6" t="str">
        <f>D6404*5+E6404</f>
      </c>
    </row>
    <row r="6405">
      <c r="A6405" s="5">
        <v>1357</v>
      </c>
      <c r="B6405" s="5" t="str">
        <f>'Lineal Mixto'!$C$1361</f>
      </c>
      <c r="C6405" s="5" t="str">
        <f>'Lineal Mixto'!$C$1362</f>
      </c>
      <c r="D6405" s="5" t="str">
        <f>MIN(INT(B6405*5),4)</f>
      </c>
      <c r="E6405" s="5" t="str">
        <f>MIN(INT(C6405*5),4)</f>
      </c>
      <c r="F6405" s="5" t="str">
        <f>D6405*5+E6405</f>
      </c>
    </row>
    <row r="6406">
      <c r="A6406" s="6">
        <v>1358</v>
      </c>
      <c r="B6406" s="6" t="str">
        <f>'Lineal Mixto'!$C$1362</f>
      </c>
      <c r="C6406" s="6" t="str">
        <f>'Lineal Mixto'!$C$1363</f>
      </c>
      <c r="D6406" s="6" t="str">
        <f>MIN(INT(B6406*5),4)</f>
      </c>
      <c r="E6406" s="6" t="str">
        <f>MIN(INT(C6406*5),4)</f>
      </c>
      <c r="F6406" s="6" t="str">
        <f>D6406*5+E6406</f>
      </c>
    </row>
    <row r="6407">
      <c r="A6407" s="5">
        <v>1359</v>
      </c>
      <c r="B6407" s="5" t="str">
        <f>'Lineal Mixto'!$C$1363</f>
      </c>
      <c r="C6407" s="5" t="str">
        <f>'Lineal Mixto'!$C$1364</f>
      </c>
      <c r="D6407" s="5" t="str">
        <f>MIN(INT(B6407*5),4)</f>
      </c>
      <c r="E6407" s="5" t="str">
        <f>MIN(INT(C6407*5),4)</f>
      </c>
      <c r="F6407" s="5" t="str">
        <f>D6407*5+E6407</f>
      </c>
    </row>
    <row r="6408">
      <c r="A6408" s="6">
        <v>1360</v>
      </c>
      <c r="B6408" s="6" t="str">
        <f>'Lineal Mixto'!$C$1364</f>
      </c>
      <c r="C6408" s="6" t="str">
        <f>'Lineal Mixto'!$C$1365</f>
      </c>
      <c r="D6408" s="6" t="str">
        <f>MIN(INT(B6408*5),4)</f>
      </c>
      <c r="E6408" s="6" t="str">
        <f>MIN(INT(C6408*5),4)</f>
      </c>
      <c r="F6408" s="6" t="str">
        <f>D6408*5+E6408</f>
      </c>
    </row>
    <row r="6409">
      <c r="A6409" s="5">
        <v>1361</v>
      </c>
      <c r="B6409" s="5" t="str">
        <f>'Lineal Mixto'!$C$1365</f>
      </c>
      <c r="C6409" s="5" t="str">
        <f>'Lineal Mixto'!$C$1366</f>
      </c>
      <c r="D6409" s="5" t="str">
        <f>MIN(INT(B6409*5),4)</f>
      </c>
      <c r="E6409" s="5" t="str">
        <f>MIN(INT(C6409*5),4)</f>
      </c>
      <c r="F6409" s="5" t="str">
        <f>D6409*5+E6409</f>
      </c>
    </row>
    <row r="6410">
      <c r="A6410" s="6">
        <v>1362</v>
      </c>
      <c r="B6410" s="6" t="str">
        <f>'Lineal Mixto'!$C$1366</f>
      </c>
      <c r="C6410" s="6" t="str">
        <f>'Lineal Mixto'!$C$1367</f>
      </c>
      <c r="D6410" s="6" t="str">
        <f>MIN(INT(B6410*5),4)</f>
      </c>
      <c r="E6410" s="6" t="str">
        <f>MIN(INT(C6410*5),4)</f>
      </c>
      <c r="F6410" s="6" t="str">
        <f>D6410*5+E6410</f>
      </c>
    </row>
    <row r="6411">
      <c r="A6411" s="5">
        <v>1363</v>
      </c>
      <c r="B6411" s="5" t="str">
        <f>'Lineal Mixto'!$C$1367</f>
      </c>
      <c r="C6411" s="5" t="str">
        <f>'Lineal Mixto'!$C$1368</f>
      </c>
      <c r="D6411" s="5" t="str">
        <f>MIN(INT(B6411*5),4)</f>
      </c>
      <c r="E6411" s="5" t="str">
        <f>MIN(INT(C6411*5),4)</f>
      </c>
      <c r="F6411" s="5" t="str">
        <f>D6411*5+E6411</f>
      </c>
    </row>
    <row r="6412">
      <c r="A6412" s="6">
        <v>1364</v>
      </c>
      <c r="B6412" s="6" t="str">
        <f>'Lineal Mixto'!$C$1368</f>
      </c>
      <c r="C6412" s="6" t="str">
        <f>'Lineal Mixto'!$C$1369</f>
      </c>
      <c r="D6412" s="6" t="str">
        <f>MIN(INT(B6412*5),4)</f>
      </c>
      <c r="E6412" s="6" t="str">
        <f>MIN(INT(C6412*5),4)</f>
      </c>
      <c r="F6412" s="6" t="str">
        <f>D6412*5+E6412</f>
      </c>
    </row>
    <row r="6413">
      <c r="A6413" s="5">
        <v>1365</v>
      </c>
      <c r="B6413" s="5" t="str">
        <f>'Lineal Mixto'!$C$1369</f>
      </c>
      <c r="C6413" s="5" t="str">
        <f>'Lineal Mixto'!$C$1370</f>
      </c>
      <c r="D6413" s="5" t="str">
        <f>MIN(INT(B6413*5),4)</f>
      </c>
      <c r="E6413" s="5" t="str">
        <f>MIN(INT(C6413*5),4)</f>
      </c>
      <c r="F6413" s="5" t="str">
        <f>D6413*5+E6413</f>
      </c>
    </row>
    <row r="6414">
      <c r="A6414" s="6">
        <v>1366</v>
      </c>
      <c r="B6414" s="6" t="str">
        <f>'Lineal Mixto'!$C$1370</f>
      </c>
      <c r="C6414" s="6" t="str">
        <f>'Lineal Mixto'!$C$1371</f>
      </c>
      <c r="D6414" s="6" t="str">
        <f>MIN(INT(B6414*5),4)</f>
      </c>
      <c r="E6414" s="6" t="str">
        <f>MIN(INT(C6414*5),4)</f>
      </c>
      <c r="F6414" s="6" t="str">
        <f>D6414*5+E6414</f>
      </c>
    </row>
    <row r="6415">
      <c r="A6415" s="5">
        <v>1367</v>
      </c>
      <c r="B6415" s="5" t="str">
        <f>'Lineal Mixto'!$C$1371</f>
      </c>
      <c r="C6415" s="5" t="str">
        <f>'Lineal Mixto'!$C$1372</f>
      </c>
      <c r="D6415" s="5" t="str">
        <f>MIN(INT(B6415*5),4)</f>
      </c>
      <c r="E6415" s="5" t="str">
        <f>MIN(INT(C6415*5),4)</f>
      </c>
      <c r="F6415" s="5" t="str">
        <f>D6415*5+E6415</f>
      </c>
    </row>
    <row r="6416">
      <c r="A6416" s="6">
        <v>1368</v>
      </c>
      <c r="B6416" s="6" t="str">
        <f>'Lineal Mixto'!$C$1372</f>
      </c>
      <c r="C6416" s="6" t="str">
        <f>'Lineal Mixto'!$C$1373</f>
      </c>
      <c r="D6416" s="6" t="str">
        <f>MIN(INT(B6416*5),4)</f>
      </c>
      <c r="E6416" s="6" t="str">
        <f>MIN(INT(C6416*5),4)</f>
      </c>
      <c r="F6416" s="6" t="str">
        <f>D6416*5+E6416</f>
      </c>
    </row>
    <row r="6417">
      <c r="A6417" s="5">
        <v>1369</v>
      </c>
      <c r="B6417" s="5" t="str">
        <f>'Lineal Mixto'!$C$1373</f>
      </c>
      <c r="C6417" s="5" t="str">
        <f>'Lineal Mixto'!$C$1374</f>
      </c>
      <c r="D6417" s="5" t="str">
        <f>MIN(INT(B6417*5),4)</f>
      </c>
      <c r="E6417" s="5" t="str">
        <f>MIN(INT(C6417*5),4)</f>
      </c>
      <c r="F6417" s="5" t="str">
        <f>D6417*5+E6417</f>
      </c>
    </row>
    <row r="6418">
      <c r="A6418" s="6">
        <v>1370</v>
      </c>
      <c r="B6418" s="6" t="str">
        <f>'Lineal Mixto'!$C$1374</f>
      </c>
      <c r="C6418" s="6" t="str">
        <f>'Lineal Mixto'!$C$1375</f>
      </c>
      <c r="D6418" s="6" t="str">
        <f>MIN(INT(B6418*5),4)</f>
      </c>
      <c r="E6418" s="6" t="str">
        <f>MIN(INT(C6418*5),4)</f>
      </c>
      <c r="F6418" s="6" t="str">
        <f>D6418*5+E6418</f>
      </c>
    </row>
    <row r="6419">
      <c r="A6419" s="5">
        <v>1371</v>
      </c>
      <c r="B6419" s="5" t="str">
        <f>'Lineal Mixto'!$C$1375</f>
      </c>
      <c r="C6419" s="5" t="str">
        <f>'Lineal Mixto'!$C$1376</f>
      </c>
      <c r="D6419" s="5" t="str">
        <f>MIN(INT(B6419*5),4)</f>
      </c>
      <c r="E6419" s="5" t="str">
        <f>MIN(INT(C6419*5),4)</f>
      </c>
      <c r="F6419" s="5" t="str">
        <f>D6419*5+E6419</f>
      </c>
    </row>
    <row r="6420">
      <c r="A6420" s="6">
        <v>1372</v>
      </c>
      <c r="B6420" s="6" t="str">
        <f>'Lineal Mixto'!$C$1376</f>
      </c>
      <c r="C6420" s="6" t="str">
        <f>'Lineal Mixto'!$C$1377</f>
      </c>
      <c r="D6420" s="6" t="str">
        <f>MIN(INT(B6420*5),4)</f>
      </c>
      <c r="E6420" s="6" t="str">
        <f>MIN(INT(C6420*5),4)</f>
      </c>
      <c r="F6420" s="6" t="str">
        <f>D6420*5+E6420</f>
      </c>
    </row>
    <row r="6421">
      <c r="A6421" s="5">
        <v>1373</v>
      </c>
      <c r="B6421" s="5" t="str">
        <f>'Lineal Mixto'!$C$1377</f>
      </c>
      <c r="C6421" s="5" t="str">
        <f>'Lineal Mixto'!$C$1378</f>
      </c>
      <c r="D6421" s="5" t="str">
        <f>MIN(INT(B6421*5),4)</f>
      </c>
      <c r="E6421" s="5" t="str">
        <f>MIN(INT(C6421*5),4)</f>
      </c>
      <c r="F6421" s="5" t="str">
        <f>D6421*5+E6421</f>
      </c>
    </row>
    <row r="6422">
      <c r="A6422" s="6">
        <v>1374</v>
      </c>
      <c r="B6422" s="6" t="str">
        <f>'Lineal Mixto'!$C$1378</f>
      </c>
      <c r="C6422" s="6" t="str">
        <f>'Lineal Mixto'!$C$1379</f>
      </c>
      <c r="D6422" s="6" t="str">
        <f>MIN(INT(B6422*5),4)</f>
      </c>
      <c r="E6422" s="6" t="str">
        <f>MIN(INT(C6422*5),4)</f>
      </c>
      <c r="F6422" s="6" t="str">
        <f>D6422*5+E6422</f>
      </c>
    </row>
    <row r="6423">
      <c r="A6423" s="5">
        <v>1375</v>
      </c>
      <c r="B6423" s="5" t="str">
        <f>'Lineal Mixto'!$C$1379</f>
      </c>
      <c r="C6423" s="5" t="str">
        <f>'Lineal Mixto'!$C$1380</f>
      </c>
      <c r="D6423" s="5" t="str">
        <f>MIN(INT(B6423*5),4)</f>
      </c>
      <c r="E6423" s="5" t="str">
        <f>MIN(INT(C6423*5),4)</f>
      </c>
      <c r="F6423" s="5" t="str">
        <f>D6423*5+E6423</f>
      </c>
    </row>
    <row r="6424">
      <c r="A6424" s="6">
        <v>1376</v>
      </c>
      <c r="B6424" s="6" t="str">
        <f>'Lineal Mixto'!$C$1380</f>
      </c>
      <c r="C6424" s="6" t="str">
        <f>'Lineal Mixto'!$C$1381</f>
      </c>
      <c r="D6424" s="6" t="str">
        <f>MIN(INT(B6424*5),4)</f>
      </c>
      <c r="E6424" s="6" t="str">
        <f>MIN(INT(C6424*5),4)</f>
      </c>
      <c r="F6424" s="6" t="str">
        <f>D6424*5+E6424</f>
      </c>
    </row>
    <row r="6425">
      <c r="A6425" s="5">
        <v>1377</v>
      </c>
      <c r="B6425" s="5" t="str">
        <f>'Lineal Mixto'!$C$1381</f>
      </c>
      <c r="C6425" s="5" t="str">
        <f>'Lineal Mixto'!$C$1382</f>
      </c>
      <c r="D6425" s="5" t="str">
        <f>MIN(INT(B6425*5),4)</f>
      </c>
      <c r="E6425" s="5" t="str">
        <f>MIN(INT(C6425*5),4)</f>
      </c>
      <c r="F6425" s="5" t="str">
        <f>D6425*5+E6425</f>
      </c>
    </row>
    <row r="6426">
      <c r="A6426" s="6">
        <v>1378</v>
      </c>
      <c r="B6426" s="6" t="str">
        <f>'Lineal Mixto'!$C$1382</f>
      </c>
      <c r="C6426" s="6" t="str">
        <f>'Lineal Mixto'!$C$1383</f>
      </c>
      <c r="D6426" s="6" t="str">
        <f>MIN(INT(B6426*5),4)</f>
      </c>
      <c r="E6426" s="6" t="str">
        <f>MIN(INT(C6426*5),4)</f>
      </c>
      <c r="F6426" s="6" t="str">
        <f>D6426*5+E6426</f>
      </c>
    </row>
    <row r="6427">
      <c r="A6427" s="5">
        <v>1379</v>
      </c>
      <c r="B6427" s="5" t="str">
        <f>'Lineal Mixto'!$C$1383</f>
      </c>
      <c r="C6427" s="5" t="str">
        <f>'Lineal Mixto'!$C$1384</f>
      </c>
      <c r="D6427" s="5" t="str">
        <f>MIN(INT(B6427*5),4)</f>
      </c>
      <c r="E6427" s="5" t="str">
        <f>MIN(INT(C6427*5),4)</f>
      </c>
      <c r="F6427" s="5" t="str">
        <f>D6427*5+E6427</f>
      </c>
    </row>
    <row r="6428">
      <c r="A6428" s="6">
        <v>1380</v>
      </c>
      <c r="B6428" s="6" t="str">
        <f>'Lineal Mixto'!$C$1384</f>
      </c>
      <c r="C6428" s="6" t="str">
        <f>'Lineal Mixto'!$C$1385</f>
      </c>
      <c r="D6428" s="6" t="str">
        <f>MIN(INT(B6428*5),4)</f>
      </c>
      <c r="E6428" s="6" t="str">
        <f>MIN(INT(C6428*5),4)</f>
      </c>
      <c r="F6428" s="6" t="str">
        <f>D6428*5+E6428</f>
      </c>
    </row>
    <row r="6429">
      <c r="A6429" s="5">
        <v>1381</v>
      </c>
      <c r="B6429" s="5" t="str">
        <f>'Lineal Mixto'!$C$1385</f>
      </c>
      <c r="C6429" s="5" t="str">
        <f>'Lineal Mixto'!$C$1386</f>
      </c>
      <c r="D6429" s="5" t="str">
        <f>MIN(INT(B6429*5),4)</f>
      </c>
      <c r="E6429" s="5" t="str">
        <f>MIN(INT(C6429*5),4)</f>
      </c>
      <c r="F6429" s="5" t="str">
        <f>D6429*5+E6429</f>
      </c>
    </row>
    <row r="6430">
      <c r="A6430" s="6">
        <v>1382</v>
      </c>
      <c r="B6430" s="6" t="str">
        <f>'Lineal Mixto'!$C$1386</f>
      </c>
      <c r="C6430" s="6" t="str">
        <f>'Lineal Mixto'!$C$1387</f>
      </c>
      <c r="D6430" s="6" t="str">
        <f>MIN(INT(B6430*5),4)</f>
      </c>
      <c r="E6430" s="6" t="str">
        <f>MIN(INT(C6430*5),4)</f>
      </c>
      <c r="F6430" s="6" t="str">
        <f>D6430*5+E6430</f>
      </c>
    </row>
    <row r="6431">
      <c r="A6431" s="5">
        <v>1383</v>
      </c>
      <c r="B6431" s="5" t="str">
        <f>'Lineal Mixto'!$C$1387</f>
      </c>
      <c r="C6431" s="5" t="str">
        <f>'Lineal Mixto'!$C$1388</f>
      </c>
      <c r="D6431" s="5" t="str">
        <f>MIN(INT(B6431*5),4)</f>
      </c>
      <c r="E6431" s="5" t="str">
        <f>MIN(INT(C6431*5),4)</f>
      </c>
      <c r="F6431" s="5" t="str">
        <f>D6431*5+E6431</f>
      </c>
    </row>
    <row r="6432">
      <c r="A6432" s="6">
        <v>1384</v>
      </c>
      <c r="B6432" s="6" t="str">
        <f>'Lineal Mixto'!$C$1388</f>
      </c>
      <c r="C6432" s="6" t="str">
        <f>'Lineal Mixto'!$C$1389</f>
      </c>
      <c r="D6432" s="6" t="str">
        <f>MIN(INT(B6432*5),4)</f>
      </c>
      <c r="E6432" s="6" t="str">
        <f>MIN(INT(C6432*5),4)</f>
      </c>
      <c r="F6432" s="6" t="str">
        <f>D6432*5+E6432</f>
      </c>
    </row>
    <row r="6433">
      <c r="A6433" s="5">
        <v>1385</v>
      </c>
      <c r="B6433" s="5" t="str">
        <f>'Lineal Mixto'!$C$1389</f>
      </c>
      <c r="C6433" s="5" t="str">
        <f>'Lineal Mixto'!$C$1390</f>
      </c>
      <c r="D6433" s="5" t="str">
        <f>MIN(INT(B6433*5),4)</f>
      </c>
      <c r="E6433" s="5" t="str">
        <f>MIN(INT(C6433*5),4)</f>
      </c>
      <c r="F6433" s="5" t="str">
        <f>D6433*5+E6433</f>
      </c>
    </row>
    <row r="6434">
      <c r="A6434" s="6">
        <v>1386</v>
      </c>
      <c r="B6434" s="6" t="str">
        <f>'Lineal Mixto'!$C$1390</f>
      </c>
      <c r="C6434" s="6" t="str">
        <f>'Lineal Mixto'!$C$1391</f>
      </c>
      <c r="D6434" s="6" t="str">
        <f>MIN(INT(B6434*5),4)</f>
      </c>
      <c r="E6434" s="6" t="str">
        <f>MIN(INT(C6434*5),4)</f>
      </c>
      <c r="F6434" s="6" t="str">
        <f>D6434*5+E6434</f>
      </c>
    </row>
    <row r="6435">
      <c r="A6435" s="5">
        <v>1387</v>
      </c>
      <c r="B6435" s="5" t="str">
        <f>'Lineal Mixto'!$C$1391</f>
      </c>
      <c r="C6435" s="5" t="str">
        <f>'Lineal Mixto'!$C$1392</f>
      </c>
      <c r="D6435" s="5" t="str">
        <f>MIN(INT(B6435*5),4)</f>
      </c>
      <c r="E6435" s="5" t="str">
        <f>MIN(INT(C6435*5),4)</f>
      </c>
      <c r="F6435" s="5" t="str">
        <f>D6435*5+E6435</f>
      </c>
    </row>
    <row r="6436">
      <c r="A6436" s="6">
        <v>1388</v>
      </c>
      <c r="B6436" s="6" t="str">
        <f>'Lineal Mixto'!$C$1392</f>
      </c>
      <c r="C6436" s="6" t="str">
        <f>'Lineal Mixto'!$C$1393</f>
      </c>
      <c r="D6436" s="6" t="str">
        <f>MIN(INT(B6436*5),4)</f>
      </c>
      <c r="E6436" s="6" t="str">
        <f>MIN(INT(C6436*5),4)</f>
      </c>
      <c r="F6436" s="6" t="str">
        <f>D6436*5+E6436</f>
      </c>
    </row>
    <row r="6437">
      <c r="A6437" s="5">
        <v>1389</v>
      </c>
      <c r="B6437" s="5" t="str">
        <f>'Lineal Mixto'!$C$1393</f>
      </c>
      <c r="C6437" s="5" t="str">
        <f>'Lineal Mixto'!$C$1394</f>
      </c>
      <c r="D6437" s="5" t="str">
        <f>MIN(INT(B6437*5),4)</f>
      </c>
      <c r="E6437" s="5" t="str">
        <f>MIN(INT(C6437*5),4)</f>
      </c>
      <c r="F6437" s="5" t="str">
        <f>D6437*5+E6437</f>
      </c>
    </row>
    <row r="6438">
      <c r="A6438" s="6">
        <v>1390</v>
      </c>
      <c r="B6438" s="6" t="str">
        <f>'Lineal Mixto'!$C$1394</f>
      </c>
      <c r="C6438" s="6" t="str">
        <f>'Lineal Mixto'!$C$1395</f>
      </c>
      <c r="D6438" s="6" t="str">
        <f>MIN(INT(B6438*5),4)</f>
      </c>
      <c r="E6438" s="6" t="str">
        <f>MIN(INT(C6438*5),4)</f>
      </c>
      <c r="F6438" s="6" t="str">
        <f>D6438*5+E6438</f>
      </c>
    </row>
    <row r="6439">
      <c r="A6439" s="5">
        <v>1391</v>
      </c>
      <c r="B6439" s="5" t="str">
        <f>'Lineal Mixto'!$C$1395</f>
      </c>
      <c r="C6439" s="5" t="str">
        <f>'Lineal Mixto'!$C$1396</f>
      </c>
      <c r="D6439" s="5" t="str">
        <f>MIN(INT(B6439*5),4)</f>
      </c>
      <c r="E6439" s="5" t="str">
        <f>MIN(INT(C6439*5),4)</f>
      </c>
      <c r="F6439" s="5" t="str">
        <f>D6439*5+E6439</f>
      </c>
    </row>
    <row r="6440">
      <c r="A6440" s="6">
        <v>1392</v>
      </c>
      <c r="B6440" s="6" t="str">
        <f>'Lineal Mixto'!$C$1396</f>
      </c>
      <c r="C6440" s="6" t="str">
        <f>'Lineal Mixto'!$C$1397</f>
      </c>
      <c r="D6440" s="6" t="str">
        <f>MIN(INT(B6440*5),4)</f>
      </c>
      <c r="E6440" s="6" t="str">
        <f>MIN(INT(C6440*5),4)</f>
      </c>
      <c r="F6440" s="6" t="str">
        <f>D6440*5+E6440</f>
      </c>
    </row>
    <row r="6441">
      <c r="A6441" s="5">
        <v>1393</v>
      </c>
      <c r="B6441" s="5" t="str">
        <f>'Lineal Mixto'!$C$1397</f>
      </c>
      <c r="C6441" s="5" t="str">
        <f>'Lineal Mixto'!$C$1398</f>
      </c>
      <c r="D6441" s="5" t="str">
        <f>MIN(INT(B6441*5),4)</f>
      </c>
      <c r="E6441" s="5" t="str">
        <f>MIN(INT(C6441*5),4)</f>
      </c>
      <c r="F6441" s="5" t="str">
        <f>D6441*5+E6441</f>
      </c>
    </row>
    <row r="6442">
      <c r="A6442" s="6">
        <v>1394</v>
      </c>
      <c r="B6442" s="6" t="str">
        <f>'Lineal Mixto'!$C$1398</f>
      </c>
      <c r="C6442" s="6" t="str">
        <f>'Lineal Mixto'!$C$1399</f>
      </c>
      <c r="D6442" s="6" t="str">
        <f>MIN(INT(B6442*5),4)</f>
      </c>
      <c r="E6442" s="6" t="str">
        <f>MIN(INT(C6442*5),4)</f>
      </c>
      <c r="F6442" s="6" t="str">
        <f>D6442*5+E6442</f>
      </c>
    </row>
    <row r="6443">
      <c r="A6443" s="5">
        <v>1395</v>
      </c>
      <c r="B6443" s="5" t="str">
        <f>'Lineal Mixto'!$C$1399</f>
      </c>
      <c r="C6443" s="5" t="str">
        <f>'Lineal Mixto'!$C$1400</f>
      </c>
      <c r="D6443" s="5" t="str">
        <f>MIN(INT(B6443*5),4)</f>
      </c>
      <c r="E6443" s="5" t="str">
        <f>MIN(INT(C6443*5),4)</f>
      </c>
      <c r="F6443" s="5" t="str">
        <f>D6443*5+E6443</f>
      </c>
    </row>
    <row r="6444">
      <c r="A6444" s="6">
        <v>1396</v>
      </c>
      <c r="B6444" s="6" t="str">
        <f>'Lineal Mixto'!$C$1400</f>
      </c>
      <c r="C6444" s="6" t="str">
        <f>'Lineal Mixto'!$C$1401</f>
      </c>
      <c r="D6444" s="6" t="str">
        <f>MIN(INT(B6444*5),4)</f>
      </c>
      <c r="E6444" s="6" t="str">
        <f>MIN(INT(C6444*5),4)</f>
      </c>
      <c r="F6444" s="6" t="str">
        <f>D6444*5+E6444</f>
      </c>
    </row>
    <row r="6445">
      <c r="A6445" s="5">
        <v>1397</v>
      </c>
      <c r="B6445" s="5" t="str">
        <f>'Lineal Mixto'!$C$1401</f>
      </c>
      <c r="C6445" s="5" t="str">
        <f>'Lineal Mixto'!$C$1402</f>
      </c>
      <c r="D6445" s="5" t="str">
        <f>MIN(INT(B6445*5),4)</f>
      </c>
      <c r="E6445" s="5" t="str">
        <f>MIN(INT(C6445*5),4)</f>
      </c>
      <c r="F6445" s="5" t="str">
        <f>D6445*5+E6445</f>
      </c>
    </row>
    <row r="6446">
      <c r="A6446" s="6">
        <v>1398</v>
      </c>
      <c r="B6446" s="6" t="str">
        <f>'Lineal Mixto'!$C$1402</f>
      </c>
      <c r="C6446" s="6" t="str">
        <f>'Lineal Mixto'!$C$1403</f>
      </c>
      <c r="D6446" s="6" t="str">
        <f>MIN(INT(B6446*5),4)</f>
      </c>
      <c r="E6446" s="6" t="str">
        <f>MIN(INT(C6446*5),4)</f>
      </c>
      <c r="F6446" s="6" t="str">
        <f>D6446*5+E6446</f>
      </c>
    </row>
    <row r="6447">
      <c r="A6447" s="5">
        <v>1399</v>
      </c>
      <c r="B6447" s="5" t="str">
        <f>'Lineal Mixto'!$C$1403</f>
      </c>
      <c r="C6447" s="5" t="str">
        <f>'Lineal Mixto'!$C$1404</f>
      </c>
      <c r="D6447" s="5" t="str">
        <f>MIN(INT(B6447*5),4)</f>
      </c>
      <c r="E6447" s="5" t="str">
        <f>MIN(INT(C6447*5),4)</f>
      </c>
      <c r="F6447" s="5" t="str">
        <f>D6447*5+E6447</f>
      </c>
    </row>
    <row r="6448">
      <c r="A6448" s="6">
        <v>1400</v>
      </c>
      <c r="B6448" s="6" t="str">
        <f>'Lineal Mixto'!$C$1404</f>
      </c>
      <c r="C6448" s="6" t="str">
        <f>'Lineal Mixto'!$C$1405</f>
      </c>
      <c r="D6448" s="6" t="str">
        <f>MIN(INT(B6448*5),4)</f>
      </c>
      <c r="E6448" s="6" t="str">
        <f>MIN(INT(C6448*5),4)</f>
      </c>
      <c r="F6448" s="6" t="str">
        <f>D6448*5+E6448</f>
      </c>
    </row>
    <row r="6449">
      <c r="A6449" s="5">
        <v>1401</v>
      </c>
      <c r="B6449" s="5" t="str">
        <f>'Lineal Mixto'!$C$1405</f>
      </c>
      <c r="C6449" s="5" t="str">
        <f>'Lineal Mixto'!$C$1406</f>
      </c>
      <c r="D6449" s="5" t="str">
        <f>MIN(INT(B6449*5),4)</f>
      </c>
      <c r="E6449" s="5" t="str">
        <f>MIN(INT(C6449*5),4)</f>
      </c>
      <c r="F6449" s="5" t="str">
        <f>D6449*5+E6449</f>
      </c>
    </row>
    <row r="6450">
      <c r="A6450" s="6">
        <v>1402</v>
      </c>
      <c r="B6450" s="6" t="str">
        <f>'Lineal Mixto'!$C$1406</f>
      </c>
      <c r="C6450" s="6" t="str">
        <f>'Lineal Mixto'!$C$1407</f>
      </c>
      <c r="D6450" s="6" t="str">
        <f>MIN(INT(B6450*5),4)</f>
      </c>
      <c r="E6450" s="6" t="str">
        <f>MIN(INT(C6450*5),4)</f>
      </c>
      <c r="F6450" s="6" t="str">
        <f>D6450*5+E6450</f>
      </c>
    </row>
    <row r="6451">
      <c r="A6451" s="5">
        <v>1403</v>
      </c>
      <c r="B6451" s="5" t="str">
        <f>'Lineal Mixto'!$C$1407</f>
      </c>
      <c r="C6451" s="5" t="str">
        <f>'Lineal Mixto'!$C$1408</f>
      </c>
      <c r="D6451" s="5" t="str">
        <f>MIN(INT(B6451*5),4)</f>
      </c>
      <c r="E6451" s="5" t="str">
        <f>MIN(INT(C6451*5),4)</f>
      </c>
      <c r="F6451" s="5" t="str">
        <f>D6451*5+E6451</f>
      </c>
    </row>
    <row r="6452">
      <c r="A6452" s="6">
        <v>1404</v>
      </c>
      <c r="B6452" s="6" t="str">
        <f>'Lineal Mixto'!$C$1408</f>
      </c>
      <c r="C6452" s="6" t="str">
        <f>'Lineal Mixto'!$C$1409</f>
      </c>
      <c r="D6452" s="6" t="str">
        <f>MIN(INT(B6452*5),4)</f>
      </c>
      <c r="E6452" s="6" t="str">
        <f>MIN(INT(C6452*5),4)</f>
      </c>
      <c r="F6452" s="6" t="str">
        <f>D6452*5+E6452</f>
      </c>
    </row>
    <row r="6453">
      <c r="A6453" s="5">
        <v>1405</v>
      </c>
      <c r="B6453" s="5" t="str">
        <f>'Lineal Mixto'!$C$1409</f>
      </c>
      <c r="C6453" s="5" t="str">
        <f>'Lineal Mixto'!$C$1410</f>
      </c>
      <c r="D6453" s="5" t="str">
        <f>MIN(INT(B6453*5),4)</f>
      </c>
      <c r="E6453" s="5" t="str">
        <f>MIN(INT(C6453*5),4)</f>
      </c>
      <c r="F6453" s="5" t="str">
        <f>D6453*5+E6453</f>
      </c>
    </row>
    <row r="6454">
      <c r="A6454" s="6">
        <v>1406</v>
      </c>
      <c r="B6454" s="6" t="str">
        <f>'Lineal Mixto'!$C$1410</f>
      </c>
      <c r="C6454" s="6" t="str">
        <f>'Lineal Mixto'!$C$1411</f>
      </c>
      <c r="D6454" s="6" t="str">
        <f>MIN(INT(B6454*5),4)</f>
      </c>
      <c r="E6454" s="6" t="str">
        <f>MIN(INT(C6454*5),4)</f>
      </c>
      <c r="F6454" s="6" t="str">
        <f>D6454*5+E6454</f>
      </c>
    </row>
    <row r="6455">
      <c r="A6455" s="5">
        <v>1407</v>
      </c>
      <c r="B6455" s="5" t="str">
        <f>'Lineal Mixto'!$C$1411</f>
      </c>
      <c r="C6455" s="5" t="str">
        <f>'Lineal Mixto'!$C$1412</f>
      </c>
      <c r="D6455" s="5" t="str">
        <f>MIN(INT(B6455*5),4)</f>
      </c>
      <c r="E6455" s="5" t="str">
        <f>MIN(INT(C6455*5),4)</f>
      </c>
      <c r="F6455" s="5" t="str">
        <f>D6455*5+E6455</f>
      </c>
    </row>
    <row r="6456">
      <c r="A6456" s="6">
        <v>1408</v>
      </c>
      <c r="B6456" s="6" t="str">
        <f>'Lineal Mixto'!$C$1412</f>
      </c>
      <c r="C6456" s="6" t="str">
        <f>'Lineal Mixto'!$C$1413</f>
      </c>
      <c r="D6456" s="6" t="str">
        <f>MIN(INT(B6456*5),4)</f>
      </c>
      <c r="E6456" s="6" t="str">
        <f>MIN(INT(C6456*5),4)</f>
      </c>
      <c r="F6456" s="6" t="str">
        <f>D6456*5+E6456</f>
      </c>
    </row>
    <row r="6457">
      <c r="A6457" s="5">
        <v>1409</v>
      </c>
      <c r="B6457" s="5" t="str">
        <f>'Lineal Mixto'!$C$1413</f>
      </c>
      <c r="C6457" s="5" t="str">
        <f>'Lineal Mixto'!$C$1414</f>
      </c>
      <c r="D6457" s="5" t="str">
        <f>MIN(INT(B6457*5),4)</f>
      </c>
      <c r="E6457" s="5" t="str">
        <f>MIN(INT(C6457*5),4)</f>
      </c>
      <c r="F6457" s="5" t="str">
        <f>D6457*5+E6457</f>
      </c>
    </row>
    <row r="6458">
      <c r="A6458" s="6">
        <v>1410</v>
      </c>
      <c r="B6458" s="6" t="str">
        <f>'Lineal Mixto'!$C$1414</f>
      </c>
      <c r="C6458" s="6" t="str">
        <f>'Lineal Mixto'!$C$1415</f>
      </c>
      <c r="D6458" s="6" t="str">
        <f>MIN(INT(B6458*5),4)</f>
      </c>
      <c r="E6458" s="6" t="str">
        <f>MIN(INT(C6458*5),4)</f>
      </c>
      <c r="F6458" s="6" t="str">
        <f>D6458*5+E6458</f>
      </c>
    </row>
    <row r="6459">
      <c r="A6459" s="5">
        <v>1411</v>
      </c>
      <c r="B6459" s="5" t="str">
        <f>'Lineal Mixto'!$C$1415</f>
      </c>
      <c r="C6459" s="5" t="str">
        <f>'Lineal Mixto'!$C$1416</f>
      </c>
      <c r="D6459" s="5" t="str">
        <f>MIN(INT(B6459*5),4)</f>
      </c>
      <c r="E6459" s="5" t="str">
        <f>MIN(INT(C6459*5),4)</f>
      </c>
      <c r="F6459" s="5" t="str">
        <f>D6459*5+E6459</f>
      </c>
    </row>
    <row r="6460">
      <c r="A6460" s="6">
        <v>1412</v>
      </c>
      <c r="B6460" s="6" t="str">
        <f>'Lineal Mixto'!$C$1416</f>
      </c>
      <c r="C6460" s="6" t="str">
        <f>'Lineal Mixto'!$C$1417</f>
      </c>
      <c r="D6460" s="6" t="str">
        <f>MIN(INT(B6460*5),4)</f>
      </c>
      <c r="E6460" s="6" t="str">
        <f>MIN(INT(C6460*5),4)</f>
      </c>
      <c r="F6460" s="6" t="str">
        <f>D6460*5+E6460</f>
      </c>
    </row>
    <row r="6461">
      <c r="A6461" s="5">
        <v>1413</v>
      </c>
      <c r="B6461" s="5" t="str">
        <f>'Lineal Mixto'!$C$1417</f>
      </c>
      <c r="C6461" s="5" t="str">
        <f>'Lineal Mixto'!$C$1418</f>
      </c>
      <c r="D6461" s="5" t="str">
        <f>MIN(INT(B6461*5),4)</f>
      </c>
      <c r="E6461" s="5" t="str">
        <f>MIN(INT(C6461*5),4)</f>
      </c>
      <c r="F6461" s="5" t="str">
        <f>D6461*5+E6461</f>
      </c>
    </row>
    <row r="6462">
      <c r="A6462" s="6">
        <v>1414</v>
      </c>
      <c r="B6462" s="6" t="str">
        <f>'Lineal Mixto'!$C$1418</f>
      </c>
      <c r="C6462" s="6" t="str">
        <f>'Lineal Mixto'!$C$1419</f>
      </c>
      <c r="D6462" s="6" t="str">
        <f>MIN(INT(B6462*5),4)</f>
      </c>
      <c r="E6462" s="6" t="str">
        <f>MIN(INT(C6462*5),4)</f>
      </c>
      <c r="F6462" s="6" t="str">
        <f>D6462*5+E6462</f>
      </c>
    </row>
    <row r="6463">
      <c r="A6463" s="5">
        <v>1415</v>
      </c>
      <c r="B6463" s="5" t="str">
        <f>'Lineal Mixto'!$C$1419</f>
      </c>
      <c r="C6463" s="5" t="str">
        <f>'Lineal Mixto'!$C$1420</f>
      </c>
      <c r="D6463" s="5" t="str">
        <f>MIN(INT(B6463*5),4)</f>
      </c>
      <c r="E6463" s="5" t="str">
        <f>MIN(INT(C6463*5),4)</f>
      </c>
      <c r="F6463" s="5" t="str">
        <f>D6463*5+E6463</f>
      </c>
    </row>
    <row r="6464">
      <c r="A6464" s="6">
        <v>1416</v>
      </c>
      <c r="B6464" s="6" t="str">
        <f>'Lineal Mixto'!$C$1420</f>
      </c>
      <c r="C6464" s="6" t="str">
        <f>'Lineal Mixto'!$C$1421</f>
      </c>
      <c r="D6464" s="6" t="str">
        <f>MIN(INT(B6464*5),4)</f>
      </c>
      <c r="E6464" s="6" t="str">
        <f>MIN(INT(C6464*5),4)</f>
      </c>
      <c r="F6464" s="6" t="str">
        <f>D6464*5+E6464</f>
      </c>
    </row>
    <row r="6465">
      <c r="A6465" s="5">
        <v>1417</v>
      </c>
      <c r="B6465" s="5" t="str">
        <f>'Lineal Mixto'!$C$1421</f>
      </c>
      <c r="C6465" s="5" t="str">
        <f>'Lineal Mixto'!$C$1422</f>
      </c>
      <c r="D6465" s="5" t="str">
        <f>MIN(INT(B6465*5),4)</f>
      </c>
      <c r="E6465" s="5" t="str">
        <f>MIN(INT(C6465*5),4)</f>
      </c>
      <c r="F6465" s="5" t="str">
        <f>D6465*5+E6465</f>
      </c>
    </row>
    <row r="6466">
      <c r="A6466" s="6">
        <v>1418</v>
      </c>
      <c r="B6466" s="6" t="str">
        <f>'Lineal Mixto'!$C$1422</f>
      </c>
      <c r="C6466" s="6" t="str">
        <f>'Lineal Mixto'!$C$1423</f>
      </c>
      <c r="D6466" s="6" t="str">
        <f>MIN(INT(B6466*5),4)</f>
      </c>
      <c r="E6466" s="6" t="str">
        <f>MIN(INT(C6466*5),4)</f>
      </c>
      <c r="F6466" s="6" t="str">
        <f>D6466*5+E6466</f>
      </c>
    </row>
    <row r="6467">
      <c r="A6467" s="5">
        <v>1419</v>
      </c>
      <c r="B6467" s="5" t="str">
        <f>'Lineal Mixto'!$C$1423</f>
      </c>
      <c r="C6467" s="5" t="str">
        <f>'Lineal Mixto'!$C$1424</f>
      </c>
      <c r="D6467" s="5" t="str">
        <f>MIN(INT(B6467*5),4)</f>
      </c>
      <c r="E6467" s="5" t="str">
        <f>MIN(INT(C6467*5),4)</f>
      </c>
      <c r="F6467" s="5" t="str">
        <f>D6467*5+E6467</f>
      </c>
    </row>
    <row r="6468">
      <c r="A6468" s="6">
        <v>1420</v>
      </c>
      <c r="B6468" s="6" t="str">
        <f>'Lineal Mixto'!$C$1424</f>
      </c>
      <c r="C6468" s="6" t="str">
        <f>'Lineal Mixto'!$C$1425</f>
      </c>
      <c r="D6468" s="6" t="str">
        <f>MIN(INT(B6468*5),4)</f>
      </c>
      <c r="E6468" s="6" t="str">
        <f>MIN(INT(C6468*5),4)</f>
      </c>
      <c r="F6468" s="6" t="str">
        <f>D6468*5+E6468</f>
      </c>
    </row>
    <row r="6469">
      <c r="A6469" s="5">
        <v>1421</v>
      </c>
      <c r="B6469" s="5" t="str">
        <f>'Lineal Mixto'!$C$1425</f>
      </c>
      <c r="C6469" s="5" t="str">
        <f>'Lineal Mixto'!$C$1426</f>
      </c>
      <c r="D6469" s="5" t="str">
        <f>MIN(INT(B6469*5),4)</f>
      </c>
      <c r="E6469" s="5" t="str">
        <f>MIN(INT(C6469*5),4)</f>
      </c>
      <c r="F6469" s="5" t="str">
        <f>D6469*5+E6469</f>
      </c>
    </row>
    <row r="6470">
      <c r="A6470" s="6">
        <v>1422</v>
      </c>
      <c r="B6470" s="6" t="str">
        <f>'Lineal Mixto'!$C$1426</f>
      </c>
      <c r="C6470" s="6" t="str">
        <f>'Lineal Mixto'!$C$1427</f>
      </c>
      <c r="D6470" s="6" t="str">
        <f>MIN(INT(B6470*5),4)</f>
      </c>
      <c r="E6470" s="6" t="str">
        <f>MIN(INT(C6470*5),4)</f>
      </c>
      <c r="F6470" s="6" t="str">
        <f>D6470*5+E6470</f>
      </c>
    </row>
    <row r="6471">
      <c r="A6471" s="5">
        <v>1423</v>
      </c>
      <c r="B6471" s="5" t="str">
        <f>'Lineal Mixto'!$C$1427</f>
      </c>
      <c r="C6471" s="5" t="str">
        <f>'Lineal Mixto'!$C$1428</f>
      </c>
      <c r="D6471" s="5" t="str">
        <f>MIN(INT(B6471*5),4)</f>
      </c>
      <c r="E6471" s="5" t="str">
        <f>MIN(INT(C6471*5),4)</f>
      </c>
      <c r="F6471" s="5" t="str">
        <f>D6471*5+E6471</f>
      </c>
    </row>
    <row r="6472">
      <c r="A6472" s="6">
        <v>1424</v>
      </c>
      <c r="B6472" s="6" t="str">
        <f>'Lineal Mixto'!$C$1428</f>
      </c>
      <c r="C6472" s="6" t="str">
        <f>'Lineal Mixto'!$C$1429</f>
      </c>
      <c r="D6472" s="6" t="str">
        <f>MIN(INT(B6472*5),4)</f>
      </c>
      <c r="E6472" s="6" t="str">
        <f>MIN(INT(C6472*5),4)</f>
      </c>
      <c r="F6472" s="6" t="str">
        <f>D6472*5+E6472</f>
      </c>
    </row>
    <row r="6473">
      <c r="A6473" s="5">
        <v>1425</v>
      </c>
      <c r="B6473" s="5" t="str">
        <f>'Lineal Mixto'!$C$1429</f>
      </c>
      <c r="C6473" s="5" t="str">
        <f>'Lineal Mixto'!$C$1430</f>
      </c>
      <c r="D6473" s="5" t="str">
        <f>MIN(INT(B6473*5),4)</f>
      </c>
      <c r="E6473" s="5" t="str">
        <f>MIN(INT(C6473*5),4)</f>
      </c>
      <c r="F6473" s="5" t="str">
        <f>D6473*5+E6473</f>
      </c>
    </row>
    <row r="6474">
      <c r="A6474" s="6">
        <v>1426</v>
      </c>
      <c r="B6474" s="6" t="str">
        <f>'Lineal Mixto'!$C$1430</f>
      </c>
      <c r="C6474" s="6" t="str">
        <f>'Lineal Mixto'!$C$1431</f>
      </c>
      <c r="D6474" s="6" t="str">
        <f>MIN(INT(B6474*5),4)</f>
      </c>
      <c r="E6474" s="6" t="str">
        <f>MIN(INT(C6474*5),4)</f>
      </c>
      <c r="F6474" s="6" t="str">
        <f>D6474*5+E6474</f>
      </c>
    </row>
    <row r="6475">
      <c r="A6475" s="5">
        <v>1427</v>
      </c>
      <c r="B6475" s="5" t="str">
        <f>'Lineal Mixto'!$C$1431</f>
      </c>
      <c r="C6475" s="5" t="str">
        <f>'Lineal Mixto'!$C$1432</f>
      </c>
      <c r="D6475" s="5" t="str">
        <f>MIN(INT(B6475*5),4)</f>
      </c>
      <c r="E6475" s="5" t="str">
        <f>MIN(INT(C6475*5),4)</f>
      </c>
      <c r="F6475" s="5" t="str">
        <f>D6475*5+E6475</f>
      </c>
    </row>
    <row r="6476">
      <c r="A6476" s="6">
        <v>1428</v>
      </c>
      <c r="B6476" s="6" t="str">
        <f>'Lineal Mixto'!$C$1432</f>
      </c>
      <c r="C6476" s="6" t="str">
        <f>'Lineal Mixto'!$C$1433</f>
      </c>
      <c r="D6476" s="6" t="str">
        <f>MIN(INT(B6476*5),4)</f>
      </c>
      <c r="E6476" s="6" t="str">
        <f>MIN(INT(C6476*5),4)</f>
      </c>
      <c r="F6476" s="6" t="str">
        <f>D6476*5+E6476</f>
      </c>
    </row>
    <row r="6477">
      <c r="A6477" s="5">
        <v>1429</v>
      </c>
      <c r="B6477" s="5" t="str">
        <f>'Lineal Mixto'!$C$1433</f>
      </c>
      <c r="C6477" s="5" t="str">
        <f>'Lineal Mixto'!$C$1434</f>
      </c>
      <c r="D6477" s="5" t="str">
        <f>MIN(INT(B6477*5),4)</f>
      </c>
      <c r="E6477" s="5" t="str">
        <f>MIN(INT(C6477*5),4)</f>
      </c>
      <c r="F6477" s="5" t="str">
        <f>D6477*5+E6477</f>
      </c>
    </row>
    <row r="6478">
      <c r="A6478" s="6">
        <v>1430</v>
      </c>
      <c r="B6478" s="6" t="str">
        <f>'Lineal Mixto'!$C$1434</f>
      </c>
      <c r="C6478" s="6" t="str">
        <f>'Lineal Mixto'!$C$1435</f>
      </c>
      <c r="D6478" s="6" t="str">
        <f>MIN(INT(B6478*5),4)</f>
      </c>
      <c r="E6478" s="6" t="str">
        <f>MIN(INT(C6478*5),4)</f>
      </c>
      <c r="F6478" s="6" t="str">
        <f>D6478*5+E6478</f>
      </c>
    </row>
    <row r="6479">
      <c r="A6479" s="5">
        <v>1431</v>
      </c>
      <c r="B6479" s="5" t="str">
        <f>'Lineal Mixto'!$C$1435</f>
      </c>
      <c r="C6479" s="5" t="str">
        <f>'Lineal Mixto'!$C$1436</f>
      </c>
      <c r="D6479" s="5" t="str">
        <f>MIN(INT(B6479*5),4)</f>
      </c>
      <c r="E6479" s="5" t="str">
        <f>MIN(INT(C6479*5),4)</f>
      </c>
      <c r="F6479" s="5" t="str">
        <f>D6479*5+E6479</f>
      </c>
    </row>
    <row r="6480">
      <c r="A6480" s="6">
        <v>1432</v>
      </c>
      <c r="B6480" s="6" t="str">
        <f>'Lineal Mixto'!$C$1436</f>
      </c>
      <c r="C6480" s="6" t="str">
        <f>'Lineal Mixto'!$C$1437</f>
      </c>
      <c r="D6480" s="6" t="str">
        <f>MIN(INT(B6480*5),4)</f>
      </c>
      <c r="E6480" s="6" t="str">
        <f>MIN(INT(C6480*5),4)</f>
      </c>
      <c r="F6480" s="6" t="str">
        <f>D6480*5+E6480</f>
      </c>
    </row>
    <row r="6481">
      <c r="A6481" s="5">
        <v>1433</v>
      </c>
      <c r="B6481" s="5" t="str">
        <f>'Lineal Mixto'!$C$1437</f>
      </c>
      <c r="C6481" s="5" t="str">
        <f>'Lineal Mixto'!$C$1438</f>
      </c>
      <c r="D6481" s="5" t="str">
        <f>MIN(INT(B6481*5),4)</f>
      </c>
      <c r="E6481" s="5" t="str">
        <f>MIN(INT(C6481*5),4)</f>
      </c>
      <c r="F6481" s="5" t="str">
        <f>D6481*5+E6481</f>
      </c>
    </row>
    <row r="6482">
      <c r="A6482" s="6">
        <v>1434</v>
      </c>
      <c r="B6482" s="6" t="str">
        <f>'Lineal Mixto'!$C$1438</f>
      </c>
      <c r="C6482" s="6" t="str">
        <f>'Lineal Mixto'!$C$1439</f>
      </c>
      <c r="D6482" s="6" t="str">
        <f>MIN(INT(B6482*5),4)</f>
      </c>
      <c r="E6482" s="6" t="str">
        <f>MIN(INT(C6482*5),4)</f>
      </c>
      <c r="F6482" s="6" t="str">
        <f>D6482*5+E6482</f>
      </c>
    </row>
    <row r="6483">
      <c r="A6483" s="5">
        <v>1435</v>
      </c>
      <c r="B6483" s="5" t="str">
        <f>'Lineal Mixto'!$C$1439</f>
      </c>
      <c r="C6483" s="5" t="str">
        <f>'Lineal Mixto'!$C$1440</f>
      </c>
      <c r="D6483" s="5" t="str">
        <f>MIN(INT(B6483*5),4)</f>
      </c>
      <c r="E6483" s="5" t="str">
        <f>MIN(INT(C6483*5),4)</f>
      </c>
      <c r="F6483" s="5" t="str">
        <f>D6483*5+E6483</f>
      </c>
    </row>
    <row r="6484">
      <c r="A6484" s="6">
        <v>1436</v>
      </c>
      <c r="B6484" s="6" t="str">
        <f>'Lineal Mixto'!$C$1440</f>
      </c>
      <c r="C6484" s="6" t="str">
        <f>'Lineal Mixto'!$C$1441</f>
      </c>
      <c r="D6484" s="6" t="str">
        <f>MIN(INT(B6484*5),4)</f>
      </c>
      <c r="E6484" s="6" t="str">
        <f>MIN(INT(C6484*5),4)</f>
      </c>
      <c r="F6484" s="6" t="str">
        <f>D6484*5+E6484</f>
      </c>
    </row>
    <row r="6485">
      <c r="A6485" s="5">
        <v>1437</v>
      </c>
      <c r="B6485" s="5" t="str">
        <f>'Lineal Mixto'!$C$1441</f>
      </c>
      <c r="C6485" s="5" t="str">
        <f>'Lineal Mixto'!$C$1442</f>
      </c>
      <c r="D6485" s="5" t="str">
        <f>MIN(INT(B6485*5),4)</f>
      </c>
      <c r="E6485" s="5" t="str">
        <f>MIN(INT(C6485*5),4)</f>
      </c>
      <c r="F6485" s="5" t="str">
        <f>D6485*5+E6485</f>
      </c>
    </row>
    <row r="6486">
      <c r="A6486" s="6">
        <v>1438</v>
      </c>
      <c r="B6486" s="6" t="str">
        <f>'Lineal Mixto'!$C$1442</f>
      </c>
      <c r="C6486" s="6" t="str">
        <f>'Lineal Mixto'!$C$1443</f>
      </c>
      <c r="D6486" s="6" t="str">
        <f>MIN(INT(B6486*5),4)</f>
      </c>
      <c r="E6486" s="6" t="str">
        <f>MIN(INT(C6486*5),4)</f>
      </c>
      <c r="F6486" s="6" t="str">
        <f>D6486*5+E6486</f>
      </c>
    </row>
    <row r="6487">
      <c r="A6487" s="5">
        <v>1439</v>
      </c>
      <c r="B6487" s="5" t="str">
        <f>'Lineal Mixto'!$C$1443</f>
      </c>
      <c r="C6487" s="5" t="str">
        <f>'Lineal Mixto'!$C$1444</f>
      </c>
      <c r="D6487" s="5" t="str">
        <f>MIN(INT(B6487*5),4)</f>
      </c>
      <c r="E6487" s="5" t="str">
        <f>MIN(INT(C6487*5),4)</f>
      </c>
      <c r="F6487" s="5" t="str">
        <f>D6487*5+E6487</f>
      </c>
    </row>
    <row r="6488">
      <c r="A6488" s="6">
        <v>1440</v>
      </c>
      <c r="B6488" s="6" t="str">
        <f>'Lineal Mixto'!$C$1444</f>
      </c>
      <c r="C6488" s="6" t="str">
        <f>'Lineal Mixto'!$C$1445</f>
      </c>
      <c r="D6488" s="6" t="str">
        <f>MIN(INT(B6488*5),4)</f>
      </c>
      <c r="E6488" s="6" t="str">
        <f>MIN(INT(C6488*5),4)</f>
      </c>
      <c r="F6488" s="6" t="str">
        <f>D6488*5+E6488</f>
      </c>
    </row>
    <row r="6489">
      <c r="A6489" s="5">
        <v>1441</v>
      </c>
      <c r="B6489" s="5" t="str">
        <f>'Lineal Mixto'!$C$1445</f>
      </c>
      <c r="C6489" s="5" t="str">
        <f>'Lineal Mixto'!$C$1446</f>
      </c>
      <c r="D6489" s="5" t="str">
        <f>MIN(INT(B6489*5),4)</f>
      </c>
      <c r="E6489" s="5" t="str">
        <f>MIN(INT(C6489*5),4)</f>
      </c>
      <c r="F6489" s="5" t="str">
        <f>D6489*5+E6489</f>
      </c>
    </row>
    <row r="6490">
      <c r="A6490" s="6">
        <v>1442</v>
      </c>
      <c r="B6490" s="6" t="str">
        <f>'Lineal Mixto'!$C$1446</f>
      </c>
      <c r="C6490" s="6" t="str">
        <f>'Lineal Mixto'!$C$1447</f>
      </c>
      <c r="D6490" s="6" t="str">
        <f>MIN(INT(B6490*5),4)</f>
      </c>
      <c r="E6490" s="6" t="str">
        <f>MIN(INT(C6490*5),4)</f>
      </c>
      <c r="F6490" s="6" t="str">
        <f>D6490*5+E6490</f>
      </c>
    </row>
    <row r="6491">
      <c r="A6491" s="5">
        <v>1443</v>
      </c>
      <c r="B6491" s="5" t="str">
        <f>'Lineal Mixto'!$C$1447</f>
      </c>
      <c r="C6491" s="5" t="str">
        <f>'Lineal Mixto'!$C$1448</f>
      </c>
      <c r="D6491" s="5" t="str">
        <f>MIN(INT(B6491*5),4)</f>
      </c>
      <c r="E6491" s="5" t="str">
        <f>MIN(INT(C6491*5),4)</f>
      </c>
      <c r="F6491" s="5" t="str">
        <f>D6491*5+E6491</f>
      </c>
    </row>
    <row r="6492">
      <c r="A6492" s="6">
        <v>1444</v>
      </c>
      <c r="B6492" s="6" t="str">
        <f>'Lineal Mixto'!$C$1448</f>
      </c>
      <c r="C6492" s="6" t="str">
        <f>'Lineal Mixto'!$C$1449</f>
      </c>
      <c r="D6492" s="6" t="str">
        <f>MIN(INT(B6492*5),4)</f>
      </c>
      <c r="E6492" s="6" t="str">
        <f>MIN(INT(C6492*5),4)</f>
      </c>
      <c r="F6492" s="6" t="str">
        <f>D6492*5+E6492</f>
      </c>
    </row>
    <row r="6493">
      <c r="A6493" s="5">
        <v>1445</v>
      </c>
      <c r="B6493" s="5" t="str">
        <f>'Lineal Mixto'!$C$1449</f>
      </c>
      <c r="C6493" s="5" t="str">
        <f>'Lineal Mixto'!$C$1450</f>
      </c>
      <c r="D6493" s="5" t="str">
        <f>MIN(INT(B6493*5),4)</f>
      </c>
      <c r="E6493" s="5" t="str">
        <f>MIN(INT(C6493*5),4)</f>
      </c>
      <c r="F6493" s="5" t="str">
        <f>D6493*5+E6493</f>
      </c>
    </row>
    <row r="6494">
      <c r="A6494" s="6">
        <v>1446</v>
      </c>
      <c r="B6494" s="6" t="str">
        <f>'Lineal Mixto'!$C$1450</f>
      </c>
      <c r="C6494" s="6" t="str">
        <f>'Lineal Mixto'!$C$1451</f>
      </c>
      <c r="D6494" s="6" t="str">
        <f>MIN(INT(B6494*5),4)</f>
      </c>
      <c r="E6494" s="6" t="str">
        <f>MIN(INT(C6494*5),4)</f>
      </c>
      <c r="F6494" s="6" t="str">
        <f>D6494*5+E6494</f>
      </c>
    </row>
    <row r="6495">
      <c r="A6495" s="5">
        <v>1447</v>
      </c>
      <c r="B6495" s="5" t="str">
        <f>'Lineal Mixto'!$C$1451</f>
      </c>
      <c r="C6495" s="5" t="str">
        <f>'Lineal Mixto'!$C$1452</f>
      </c>
      <c r="D6495" s="5" t="str">
        <f>MIN(INT(B6495*5),4)</f>
      </c>
      <c r="E6495" s="5" t="str">
        <f>MIN(INT(C6495*5),4)</f>
      </c>
      <c r="F6495" s="5" t="str">
        <f>D6495*5+E6495</f>
      </c>
    </row>
    <row r="6496">
      <c r="A6496" s="6">
        <v>1448</v>
      </c>
      <c r="B6496" s="6" t="str">
        <f>'Lineal Mixto'!$C$1452</f>
      </c>
      <c r="C6496" s="6" t="str">
        <f>'Lineal Mixto'!$C$1453</f>
      </c>
      <c r="D6496" s="6" t="str">
        <f>MIN(INT(B6496*5),4)</f>
      </c>
      <c r="E6496" s="6" t="str">
        <f>MIN(INT(C6496*5),4)</f>
      </c>
      <c r="F6496" s="6" t="str">
        <f>D6496*5+E6496</f>
      </c>
    </row>
    <row r="6497">
      <c r="A6497" s="5">
        <v>1449</v>
      </c>
      <c r="B6497" s="5" t="str">
        <f>'Lineal Mixto'!$C$1453</f>
      </c>
      <c r="C6497" s="5" t="str">
        <f>'Lineal Mixto'!$C$1454</f>
      </c>
      <c r="D6497" s="5" t="str">
        <f>MIN(INT(B6497*5),4)</f>
      </c>
      <c r="E6497" s="5" t="str">
        <f>MIN(INT(C6497*5),4)</f>
      </c>
      <c r="F6497" s="5" t="str">
        <f>D6497*5+E6497</f>
      </c>
    </row>
    <row r="6498">
      <c r="A6498" s="6">
        <v>1450</v>
      </c>
      <c r="B6498" s="6" t="str">
        <f>'Lineal Mixto'!$C$1454</f>
      </c>
      <c r="C6498" s="6" t="str">
        <f>'Lineal Mixto'!$C$1455</f>
      </c>
      <c r="D6498" s="6" t="str">
        <f>MIN(INT(B6498*5),4)</f>
      </c>
      <c r="E6498" s="6" t="str">
        <f>MIN(INT(C6498*5),4)</f>
      </c>
      <c r="F6498" s="6" t="str">
        <f>D6498*5+E6498</f>
      </c>
    </row>
    <row r="6499">
      <c r="A6499" s="5">
        <v>1451</v>
      </c>
      <c r="B6499" s="5" t="str">
        <f>'Lineal Mixto'!$C$1455</f>
      </c>
      <c r="C6499" s="5" t="str">
        <f>'Lineal Mixto'!$C$1456</f>
      </c>
      <c r="D6499" s="5" t="str">
        <f>MIN(INT(B6499*5),4)</f>
      </c>
      <c r="E6499" s="5" t="str">
        <f>MIN(INT(C6499*5),4)</f>
      </c>
      <c r="F6499" s="5" t="str">
        <f>D6499*5+E6499</f>
      </c>
    </row>
    <row r="6500">
      <c r="A6500" s="6">
        <v>1452</v>
      </c>
      <c r="B6500" s="6" t="str">
        <f>'Lineal Mixto'!$C$1456</f>
      </c>
      <c r="C6500" s="6" t="str">
        <f>'Lineal Mixto'!$C$1457</f>
      </c>
      <c r="D6500" s="6" t="str">
        <f>MIN(INT(B6500*5),4)</f>
      </c>
      <c r="E6500" s="6" t="str">
        <f>MIN(INT(C6500*5),4)</f>
      </c>
      <c r="F6500" s="6" t="str">
        <f>D6500*5+E6500</f>
      </c>
    </row>
    <row r="6501">
      <c r="A6501" s="5">
        <v>1453</v>
      </c>
      <c r="B6501" s="5" t="str">
        <f>'Lineal Mixto'!$C$1457</f>
      </c>
      <c r="C6501" s="5" t="str">
        <f>'Lineal Mixto'!$C$1458</f>
      </c>
      <c r="D6501" s="5" t="str">
        <f>MIN(INT(B6501*5),4)</f>
      </c>
      <c r="E6501" s="5" t="str">
        <f>MIN(INT(C6501*5),4)</f>
      </c>
      <c r="F6501" s="5" t="str">
        <f>D6501*5+E6501</f>
      </c>
    </row>
    <row r="6502">
      <c r="A6502" s="6">
        <v>1454</v>
      </c>
      <c r="B6502" s="6" t="str">
        <f>'Lineal Mixto'!$C$1458</f>
      </c>
      <c r="C6502" s="6" t="str">
        <f>'Lineal Mixto'!$C$1459</f>
      </c>
      <c r="D6502" s="6" t="str">
        <f>MIN(INT(B6502*5),4)</f>
      </c>
      <c r="E6502" s="6" t="str">
        <f>MIN(INT(C6502*5),4)</f>
      </c>
      <c r="F6502" s="6" t="str">
        <f>D6502*5+E6502</f>
      </c>
    </row>
    <row r="6503">
      <c r="A6503" s="5">
        <v>1455</v>
      </c>
      <c r="B6503" s="5" t="str">
        <f>'Lineal Mixto'!$C$1459</f>
      </c>
      <c r="C6503" s="5" t="str">
        <f>'Lineal Mixto'!$C$1460</f>
      </c>
      <c r="D6503" s="5" t="str">
        <f>MIN(INT(B6503*5),4)</f>
      </c>
      <c r="E6503" s="5" t="str">
        <f>MIN(INT(C6503*5),4)</f>
      </c>
      <c r="F6503" s="5" t="str">
        <f>D6503*5+E6503</f>
      </c>
    </row>
    <row r="6504">
      <c r="A6504" s="6">
        <v>1456</v>
      </c>
      <c r="B6504" s="6" t="str">
        <f>'Lineal Mixto'!$C$1460</f>
      </c>
      <c r="C6504" s="6" t="str">
        <f>'Lineal Mixto'!$C$1461</f>
      </c>
      <c r="D6504" s="6" t="str">
        <f>MIN(INT(B6504*5),4)</f>
      </c>
      <c r="E6504" s="6" t="str">
        <f>MIN(INT(C6504*5),4)</f>
      </c>
      <c r="F6504" s="6" t="str">
        <f>D6504*5+E6504</f>
      </c>
    </row>
    <row r="6505">
      <c r="A6505" s="5">
        <v>1457</v>
      </c>
      <c r="B6505" s="5" t="str">
        <f>'Lineal Mixto'!$C$1461</f>
      </c>
      <c r="C6505" s="5" t="str">
        <f>'Lineal Mixto'!$C$1462</f>
      </c>
      <c r="D6505" s="5" t="str">
        <f>MIN(INT(B6505*5),4)</f>
      </c>
      <c r="E6505" s="5" t="str">
        <f>MIN(INT(C6505*5),4)</f>
      </c>
      <c r="F6505" s="5" t="str">
        <f>D6505*5+E6505</f>
      </c>
    </row>
    <row r="6506">
      <c r="A6506" s="6">
        <v>1458</v>
      </c>
      <c r="B6506" s="6" t="str">
        <f>'Lineal Mixto'!$C$1462</f>
      </c>
      <c r="C6506" s="6" t="str">
        <f>'Lineal Mixto'!$C$1463</f>
      </c>
      <c r="D6506" s="6" t="str">
        <f>MIN(INT(B6506*5),4)</f>
      </c>
      <c r="E6506" s="6" t="str">
        <f>MIN(INT(C6506*5),4)</f>
      </c>
      <c r="F6506" s="6" t="str">
        <f>D6506*5+E6506</f>
      </c>
    </row>
    <row r="6507">
      <c r="A6507" s="5">
        <v>1459</v>
      </c>
      <c r="B6507" s="5" t="str">
        <f>'Lineal Mixto'!$C$1463</f>
      </c>
      <c r="C6507" s="5" t="str">
        <f>'Lineal Mixto'!$C$1464</f>
      </c>
      <c r="D6507" s="5" t="str">
        <f>MIN(INT(B6507*5),4)</f>
      </c>
      <c r="E6507" s="5" t="str">
        <f>MIN(INT(C6507*5),4)</f>
      </c>
      <c r="F6507" s="5" t="str">
        <f>D6507*5+E6507</f>
      </c>
    </row>
    <row r="6508">
      <c r="A6508" s="6">
        <v>1460</v>
      </c>
      <c r="B6508" s="6" t="str">
        <f>'Lineal Mixto'!$C$1464</f>
      </c>
      <c r="C6508" s="6" t="str">
        <f>'Lineal Mixto'!$C$1465</f>
      </c>
      <c r="D6508" s="6" t="str">
        <f>MIN(INT(B6508*5),4)</f>
      </c>
      <c r="E6508" s="6" t="str">
        <f>MIN(INT(C6508*5),4)</f>
      </c>
      <c r="F6508" s="6" t="str">
        <f>D6508*5+E6508</f>
      </c>
    </row>
    <row r="6509">
      <c r="A6509" s="5">
        <v>1461</v>
      </c>
      <c r="B6509" s="5" t="str">
        <f>'Lineal Mixto'!$C$1465</f>
      </c>
      <c r="C6509" s="5" t="str">
        <f>'Lineal Mixto'!$C$1466</f>
      </c>
      <c r="D6509" s="5" t="str">
        <f>MIN(INT(B6509*5),4)</f>
      </c>
      <c r="E6509" s="5" t="str">
        <f>MIN(INT(C6509*5),4)</f>
      </c>
      <c r="F6509" s="5" t="str">
        <f>D6509*5+E6509</f>
      </c>
    </row>
    <row r="6510">
      <c r="A6510" s="6">
        <v>1462</v>
      </c>
      <c r="B6510" s="6" t="str">
        <f>'Lineal Mixto'!$C$1466</f>
      </c>
      <c r="C6510" s="6" t="str">
        <f>'Lineal Mixto'!$C$1467</f>
      </c>
      <c r="D6510" s="6" t="str">
        <f>MIN(INT(B6510*5),4)</f>
      </c>
      <c r="E6510" s="6" t="str">
        <f>MIN(INT(C6510*5),4)</f>
      </c>
      <c r="F6510" s="6" t="str">
        <f>D6510*5+E6510</f>
      </c>
    </row>
    <row r="6511">
      <c r="A6511" s="5">
        <v>1463</v>
      </c>
      <c r="B6511" s="5" t="str">
        <f>'Lineal Mixto'!$C$1467</f>
      </c>
      <c r="C6511" s="5" t="str">
        <f>'Lineal Mixto'!$C$1468</f>
      </c>
      <c r="D6511" s="5" t="str">
        <f>MIN(INT(B6511*5),4)</f>
      </c>
      <c r="E6511" s="5" t="str">
        <f>MIN(INT(C6511*5),4)</f>
      </c>
      <c r="F6511" s="5" t="str">
        <f>D6511*5+E6511</f>
      </c>
    </row>
    <row r="6512">
      <c r="A6512" s="6">
        <v>1464</v>
      </c>
      <c r="B6512" s="6" t="str">
        <f>'Lineal Mixto'!$C$1468</f>
      </c>
      <c r="C6512" s="6" t="str">
        <f>'Lineal Mixto'!$C$1469</f>
      </c>
      <c r="D6512" s="6" t="str">
        <f>MIN(INT(B6512*5),4)</f>
      </c>
      <c r="E6512" s="6" t="str">
        <f>MIN(INT(C6512*5),4)</f>
      </c>
      <c r="F6512" s="6" t="str">
        <f>D6512*5+E6512</f>
      </c>
    </row>
    <row r="6513">
      <c r="A6513" s="5">
        <v>1465</v>
      </c>
      <c r="B6513" s="5" t="str">
        <f>'Lineal Mixto'!$C$1469</f>
      </c>
      <c r="C6513" s="5" t="str">
        <f>'Lineal Mixto'!$C$1470</f>
      </c>
      <c r="D6513" s="5" t="str">
        <f>MIN(INT(B6513*5),4)</f>
      </c>
      <c r="E6513" s="5" t="str">
        <f>MIN(INT(C6513*5),4)</f>
      </c>
      <c r="F6513" s="5" t="str">
        <f>D6513*5+E6513</f>
      </c>
    </row>
    <row r="6514">
      <c r="A6514" s="6">
        <v>1466</v>
      </c>
      <c r="B6514" s="6" t="str">
        <f>'Lineal Mixto'!$C$1470</f>
      </c>
      <c r="C6514" s="6" t="str">
        <f>'Lineal Mixto'!$C$1471</f>
      </c>
      <c r="D6514" s="6" t="str">
        <f>MIN(INT(B6514*5),4)</f>
      </c>
      <c r="E6514" s="6" t="str">
        <f>MIN(INT(C6514*5),4)</f>
      </c>
      <c r="F6514" s="6" t="str">
        <f>D6514*5+E6514</f>
      </c>
    </row>
    <row r="6515">
      <c r="A6515" s="5">
        <v>1467</v>
      </c>
      <c r="B6515" s="5" t="str">
        <f>'Lineal Mixto'!$C$1471</f>
      </c>
      <c r="C6515" s="5" t="str">
        <f>'Lineal Mixto'!$C$1472</f>
      </c>
      <c r="D6515" s="5" t="str">
        <f>MIN(INT(B6515*5),4)</f>
      </c>
      <c r="E6515" s="5" t="str">
        <f>MIN(INT(C6515*5),4)</f>
      </c>
      <c r="F6515" s="5" t="str">
        <f>D6515*5+E6515</f>
      </c>
    </row>
    <row r="6516">
      <c r="A6516" s="6">
        <v>1468</v>
      </c>
      <c r="B6516" s="6" t="str">
        <f>'Lineal Mixto'!$C$1472</f>
      </c>
      <c r="C6516" s="6" t="str">
        <f>'Lineal Mixto'!$C$1473</f>
      </c>
      <c r="D6516" s="6" t="str">
        <f>MIN(INT(B6516*5),4)</f>
      </c>
      <c r="E6516" s="6" t="str">
        <f>MIN(INT(C6516*5),4)</f>
      </c>
      <c r="F6516" s="6" t="str">
        <f>D6516*5+E6516</f>
      </c>
    </row>
    <row r="6517">
      <c r="A6517" s="5">
        <v>1469</v>
      </c>
      <c r="B6517" s="5" t="str">
        <f>'Lineal Mixto'!$C$1473</f>
      </c>
      <c r="C6517" s="5" t="str">
        <f>'Lineal Mixto'!$C$1474</f>
      </c>
      <c r="D6517" s="5" t="str">
        <f>MIN(INT(B6517*5),4)</f>
      </c>
      <c r="E6517" s="5" t="str">
        <f>MIN(INT(C6517*5),4)</f>
      </c>
      <c r="F6517" s="5" t="str">
        <f>D6517*5+E6517</f>
      </c>
    </row>
    <row r="6518">
      <c r="A6518" s="6">
        <v>1470</v>
      </c>
      <c r="B6518" s="6" t="str">
        <f>'Lineal Mixto'!$C$1474</f>
      </c>
      <c r="C6518" s="6" t="str">
        <f>'Lineal Mixto'!$C$1475</f>
      </c>
      <c r="D6518" s="6" t="str">
        <f>MIN(INT(B6518*5),4)</f>
      </c>
      <c r="E6518" s="6" t="str">
        <f>MIN(INT(C6518*5),4)</f>
      </c>
      <c r="F6518" s="6" t="str">
        <f>D6518*5+E6518</f>
      </c>
    </row>
    <row r="6519">
      <c r="A6519" s="5">
        <v>1471</v>
      </c>
      <c r="B6519" s="5" t="str">
        <f>'Lineal Mixto'!$C$1475</f>
      </c>
      <c r="C6519" s="5" t="str">
        <f>'Lineal Mixto'!$C$1476</f>
      </c>
      <c r="D6519" s="5" t="str">
        <f>MIN(INT(B6519*5),4)</f>
      </c>
      <c r="E6519" s="5" t="str">
        <f>MIN(INT(C6519*5),4)</f>
      </c>
      <c r="F6519" s="5" t="str">
        <f>D6519*5+E6519</f>
      </c>
    </row>
    <row r="6520">
      <c r="A6520" s="6">
        <v>1472</v>
      </c>
      <c r="B6520" s="6" t="str">
        <f>'Lineal Mixto'!$C$1476</f>
      </c>
      <c r="C6520" s="6" t="str">
        <f>'Lineal Mixto'!$C$1477</f>
      </c>
      <c r="D6520" s="6" t="str">
        <f>MIN(INT(B6520*5),4)</f>
      </c>
      <c r="E6520" s="6" t="str">
        <f>MIN(INT(C6520*5),4)</f>
      </c>
      <c r="F6520" s="6" t="str">
        <f>D6520*5+E6520</f>
      </c>
    </row>
    <row r="6521">
      <c r="A6521" s="5">
        <v>1473</v>
      </c>
      <c r="B6521" s="5" t="str">
        <f>'Lineal Mixto'!$C$1477</f>
      </c>
      <c r="C6521" s="5" t="str">
        <f>'Lineal Mixto'!$C$1478</f>
      </c>
      <c r="D6521" s="5" t="str">
        <f>MIN(INT(B6521*5),4)</f>
      </c>
      <c r="E6521" s="5" t="str">
        <f>MIN(INT(C6521*5),4)</f>
      </c>
      <c r="F6521" s="5" t="str">
        <f>D6521*5+E6521</f>
      </c>
    </row>
    <row r="6522">
      <c r="A6522" s="6">
        <v>1474</v>
      </c>
      <c r="B6522" s="6" t="str">
        <f>'Lineal Mixto'!$C$1478</f>
      </c>
      <c r="C6522" s="6" t="str">
        <f>'Lineal Mixto'!$C$1479</f>
      </c>
      <c r="D6522" s="6" t="str">
        <f>MIN(INT(B6522*5),4)</f>
      </c>
      <c r="E6522" s="6" t="str">
        <f>MIN(INT(C6522*5),4)</f>
      </c>
      <c r="F6522" s="6" t="str">
        <f>D6522*5+E6522</f>
      </c>
    </row>
    <row r="6523">
      <c r="A6523" s="5">
        <v>1475</v>
      </c>
      <c r="B6523" s="5" t="str">
        <f>'Lineal Mixto'!$C$1479</f>
      </c>
      <c r="C6523" s="5" t="str">
        <f>'Lineal Mixto'!$C$1480</f>
      </c>
      <c r="D6523" s="5" t="str">
        <f>MIN(INT(B6523*5),4)</f>
      </c>
      <c r="E6523" s="5" t="str">
        <f>MIN(INT(C6523*5),4)</f>
      </c>
      <c r="F6523" s="5" t="str">
        <f>D6523*5+E6523</f>
      </c>
    </row>
    <row r="6524">
      <c r="A6524" s="6">
        <v>1476</v>
      </c>
      <c r="B6524" s="6" t="str">
        <f>'Lineal Mixto'!$C$1480</f>
      </c>
      <c r="C6524" s="6" t="str">
        <f>'Lineal Mixto'!$C$1481</f>
      </c>
      <c r="D6524" s="6" t="str">
        <f>MIN(INT(B6524*5),4)</f>
      </c>
      <c r="E6524" s="6" t="str">
        <f>MIN(INT(C6524*5),4)</f>
      </c>
      <c r="F6524" s="6" t="str">
        <f>D6524*5+E6524</f>
      </c>
    </row>
    <row r="6525">
      <c r="A6525" s="5">
        <v>1477</v>
      </c>
      <c r="B6525" s="5" t="str">
        <f>'Lineal Mixto'!$C$1481</f>
      </c>
      <c r="C6525" s="5" t="str">
        <f>'Lineal Mixto'!$C$1482</f>
      </c>
      <c r="D6525" s="5" t="str">
        <f>MIN(INT(B6525*5),4)</f>
      </c>
      <c r="E6525" s="5" t="str">
        <f>MIN(INT(C6525*5),4)</f>
      </c>
      <c r="F6525" s="5" t="str">
        <f>D6525*5+E6525</f>
      </c>
    </row>
    <row r="6526">
      <c r="A6526" s="6">
        <v>1478</v>
      </c>
      <c r="B6526" s="6" t="str">
        <f>'Lineal Mixto'!$C$1482</f>
      </c>
      <c r="C6526" s="6" t="str">
        <f>'Lineal Mixto'!$C$1483</f>
      </c>
      <c r="D6526" s="6" t="str">
        <f>MIN(INT(B6526*5),4)</f>
      </c>
      <c r="E6526" s="6" t="str">
        <f>MIN(INT(C6526*5),4)</f>
      </c>
      <c r="F6526" s="6" t="str">
        <f>D6526*5+E6526</f>
      </c>
    </row>
    <row r="6527">
      <c r="A6527" s="5">
        <v>1479</v>
      </c>
      <c r="B6527" s="5" t="str">
        <f>'Lineal Mixto'!$C$1483</f>
      </c>
      <c r="C6527" s="5" t="str">
        <f>'Lineal Mixto'!$C$1484</f>
      </c>
      <c r="D6527" s="5" t="str">
        <f>MIN(INT(B6527*5),4)</f>
      </c>
      <c r="E6527" s="5" t="str">
        <f>MIN(INT(C6527*5),4)</f>
      </c>
      <c r="F6527" s="5" t="str">
        <f>D6527*5+E6527</f>
      </c>
    </row>
    <row r="6528">
      <c r="A6528" s="6">
        <v>1480</v>
      </c>
      <c r="B6528" s="6" t="str">
        <f>'Lineal Mixto'!$C$1484</f>
      </c>
      <c r="C6528" s="6" t="str">
        <f>'Lineal Mixto'!$C$1485</f>
      </c>
      <c r="D6528" s="6" t="str">
        <f>MIN(INT(B6528*5),4)</f>
      </c>
      <c r="E6528" s="6" t="str">
        <f>MIN(INT(C6528*5),4)</f>
      </c>
      <c r="F6528" s="6" t="str">
        <f>D6528*5+E6528</f>
      </c>
    </row>
    <row r="6529">
      <c r="A6529" s="5">
        <v>1481</v>
      </c>
      <c r="B6529" s="5" t="str">
        <f>'Lineal Mixto'!$C$1485</f>
      </c>
      <c r="C6529" s="5" t="str">
        <f>'Lineal Mixto'!$C$1486</f>
      </c>
      <c r="D6529" s="5" t="str">
        <f>MIN(INT(B6529*5),4)</f>
      </c>
      <c r="E6529" s="5" t="str">
        <f>MIN(INT(C6529*5),4)</f>
      </c>
      <c r="F6529" s="5" t="str">
        <f>D6529*5+E6529</f>
      </c>
    </row>
    <row r="6530">
      <c r="A6530" s="6">
        <v>1482</v>
      </c>
      <c r="B6530" s="6" t="str">
        <f>'Lineal Mixto'!$C$1486</f>
      </c>
      <c r="C6530" s="6" t="str">
        <f>'Lineal Mixto'!$C$1487</f>
      </c>
      <c r="D6530" s="6" t="str">
        <f>MIN(INT(B6530*5),4)</f>
      </c>
      <c r="E6530" s="6" t="str">
        <f>MIN(INT(C6530*5),4)</f>
      </c>
      <c r="F6530" s="6" t="str">
        <f>D6530*5+E6530</f>
      </c>
    </row>
    <row r="6531">
      <c r="A6531" s="5">
        <v>1483</v>
      </c>
      <c r="B6531" s="5" t="str">
        <f>'Lineal Mixto'!$C$1487</f>
      </c>
      <c r="C6531" s="5" t="str">
        <f>'Lineal Mixto'!$C$1488</f>
      </c>
      <c r="D6531" s="5" t="str">
        <f>MIN(INT(B6531*5),4)</f>
      </c>
      <c r="E6531" s="5" t="str">
        <f>MIN(INT(C6531*5),4)</f>
      </c>
      <c r="F6531" s="5" t="str">
        <f>D6531*5+E6531</f>
      </c>
    </row>
    <row r="6532">
      <c r="A6532" s="6">
        <v>1484</v>
      </c>
      <c r="B6532" s="6" t="str">
        <f>'Lineal Mixto'!$C$1488</f>
      </c>
      <c r="C6532" s="6" t="str">
        <f>'Lineal Mixto'!$C$1489</f>
      </c>
      <c r="D6532" s="6" t="str">
        <f>MIN(INT(B6532*5),4)</f>
      </c>
      <c r="E6532" s="6" t="str">
        <f>MIN(INT(C6532*5),4)</f>
      </c>
      <c r="F6532" s="6" t="str">
        <f>D6532*5+E6532</f>
      </c>
    </row>
    <row r="6533">
      <c r="A6533" s="5">
        <v>1485</v>
      </c>
      <c r="B6533" s="5" t="str">
        <f>'Lineal Mixto'!$C$1489</f>
      </c>
      <c r="C6533" s="5" t="str">
        <f>'Lineal Mixto'!$C$1490</f>
      </c>
      <c r="D6533" s="5" t="str">
        <f>MIN(INT(B6533*5),4)</f>
      </c>
      <c r="E6533" s="5" t="str">
        <f>MIN(INT(C6533*5),4)</f>
      </c>
      <c r="F6533" s="5" t="str">
        <f>D6533*5+E6533</f>
      </c>
    </row>
    <row r="6534">
      <c r="A6534" s="6">
        <v>1486</v>
      </c>
      <c r="B6534" s="6" t="str">
        <f>'Lineal Mixto'!$C$1490</f>
      </c>
      <c r="C6534" s="6" t="str">
        <f>'Lineal Mixto'!$C$1491</f>
      </c>
      <c r="D6534" s="6" t="str">
        <f>MIN(INT(B6534*5),4)</f>
      </c>
      <c r="E6534" s="6" t="str">
        <f>MIN(INT(C6534*5),4)</f>
      </c>
      <c r="F6534" s="6" t="str">
        <f>D6534*5+E6534</f>
      </c>
    </row>
    <row r="6535">
      <c r="A6535" s="5">
        <v>1487</v>
      </c>
      <c r="B6535" s="5" t="str">
        <f>'Lineal Mixto'!$C$1491</f>
      </c>
      <c r="C6535" s="5" t="str">
        <f>'Lineal Mixto'!$C$1492</f>
      </c>
      <c r="D6535" s="5" t="str">
        <f>MIN(INT(B6535*5),4)</f>
      </c>
      <c r="E6535" s="5" t="str">
        <f>MIN(INT(C6535*5),4)</f>
      </c>
      <c r="F6535" s="5" t="str">
        <f>D6535*5+E6535</f>
      </c>
    </row>
    <row r="6536">
      <c r="A6536" s="6">
        <v>1488</v>
      </c>
      <c r="B6536" s="6" t="str">
        <f>'Lineal Mixto'!$C$1492</f>
      </c>
      <c r="C6536" s="6" t="str">
        <f>'Lineal Mixto'!$C$1493</f>
      </c>
      <c r="D6536" s="6" t="str">
        <f>MIN(INT(B6536*5),4)</f>
      </c>
      <c r="E6536" s="6" t="str">
        <f>MIN(INT(C6536*5),4)</f>
      </c>
      <c r="F6536" s="6" t="str">
        <f>D6536*5+E6536</f>
      </c>
    </row>
    <row r="6537">
      <c r="A6537" s="5">
        <v>1489</v>
      </c>
      <c r="B6537" s="5" t="str">
        <f>'Lineal Mixto'!$C$1493</f>
      </c>
      <c r="C6537" s="5" t="str">
        <f>'Lineal Mixto'!$C$1494</f>
      </c>
      <c r="D6537" s="5" t="str">
        <f>MIN(INT(B6537*5),4)</f>
      </c>
      <c r="E6537" s="5" t="str">
        <f>MIN(INT(C6537*5),4)</f>
      </c>
      <c r="F6537" s="5" t="str">
        <f>D6537*5+E6537</f>
      </c>
    </row>
    <row r="6538">
      <c r="A6538" s="6">
        <v>1490</v>
      </c>
      <c r="B6538" s="6" t="str">
        <f>'Lineal Mixto'!$C$1494</f>
      </c>
      <c r="C6538" s="6" t="str">
        <f>'Lineal Mixto'!$C$1495</f>
      </c>
      <c r="D6538" s="6" t="str">
        <f>MIN(INT(B6538*5),4)</f>
      </c>
      <c r="E6538" s="6" t="str">
        <f>MIN(INT(C6538*5),4)</f>
      </c>
      <c r="F6538" s="6" t="str">
        <f>D6538*5+E6538</f>
      </c>
    </row>
    <row r="6539">
      <c r="A6539" s="5">
        <v>1491</v>
      </c>
      <c r="B6539" s="5" t="str">
        <f>'Lineal Mixto'!$C$1495</f>
      </c>
      <c r="C6539" s="5" t="str">
        <f>'Lineal Mixto'!$C$1496</f>
      </c>
      <c r="D6539" s="5" t="str">
        <f>MIN(INT(B6539*5),4)</f>
      </c>
      <c r="E6539" s="5" t="str">
        <f>MIN(INT(C6539*5),4)</f>
      </c>
      <c r="F6539" s="5" t="str">
        <f>D6539*5+E6539</f>
      </c>
    </row>
    <row r="6540">
      <c r="A6540" s="6">
        <v>1492</v>
      </c>
      <c r="B6540" s="6" t="str">
        <f>'Lineal Mixto'!$C$1496</f>
      </c>
      <c r="C6540" s="6" t="str">
        <f>'Lineal Mixto'!$C$1497</f>
      </c>
      <c r="D6540" s="6" t="str">
        <f>MIN(INT(B6540*5),4)</f>
      </c>
      <c r="E6540" s="6" t="str">
        <f>MIN(INT(C6540*5),4)</f>
      </c>
      <c r="F6540" s="6" t="str">
        <f>D6540*5+E6540</f>
      </c>
    </row>
    <row r="6541">
      <c r="A6541" s="5">
        <v>1493</v>
      </c>
      <c r="B6541" s="5" t="str">
        <f>'Lineal Mixto'!$C$1497</f>
      </c>
      <c r="C6541" s="5" t="str">
        <f>'Lineal Mixto'!$C$1498</f>
      </c>
      <c r="D6541" s="5" t="str">
        <f>MIN(INT(B6541*5),4)</f>
      </c>
      <c r="E6541" s="5" t="str">
        <f>MIN(INT(C6541*5),4)</f>
      </c>
      <c r="F6541" s="5" t="str">
        <f>D6541*5+E6541</f>
      </c>
    </row>
    <row r="6542">
      <c r="A6542" s="6">
        <v>1494</v>
      </c>
      <c r="B6542" s="6" t="str">
        <f>'Lineal Mixto'!$C$1498</f>
      </c>
      <c r="C6542" s="6" t="str">
        <f>'Lineal Mixto'!$C$1499</f>
      </c>
      <c r="D6542" s="6" t="str">
        <f>MIN(INT(B6542*5),4)</f>
      </c>
      <c r="E6542" s="6" t="str">
        <f>MIN(INT(C6542*5),4)</f>
      </c>
      <c r="F6542" s="6" t="str">
        <f>D6542*5+E6542</f>
      </c>
    </row>
    <row r="6543">
      <c r="A6543" s="5">
        <v>1495</v>
      </c>
      <c r="B6543" s="5" t="str">
        <f>'Lineal Mixto'!$C$1499</f>
      </c>
      <c r="C6543" s="5" t="str">
        <f>'Lineal Mixto'!$C$1500</f>
      </c>
      <c r="D6543" s="5" t="str">
        <f>MIN(INT(B6543*5),4)</f>
      </c>
      <c r="E6543" s="5" t="str">
        <f>MIN(INT(C6543*5),4)</f>
      </c>
      <c r="F6543" s="5" t="str">
        <f>D6543*5+E6543</f>
      </c>
    </row>
    <row r="6544">
      <c r="A6544" s="6">
        <v>1496</v>
      </c>
      <c r="B6544" s="6" t="str">
        <f>'Lineal Mixto'!$C$1500</f>
      </c>
      <c r="C6544" s="6" t="str">
        <f>'Lineal Mixto'!$C$1501</f>
      </c>
      <c r="D6544" s="6" t="str">
        <f>MIN(INT(B6544*5),4)</f>
      </c>
      <c r="E6544" s="6" t="str">
        <f>MIN(INT(C6544*5),4)</f>
      </c>
      <c r="F6544" s="6" t="str">
        <f>D6544*5+E6544</f>
      </c>
    </row>
    <row r="6545">
      <c r="A6545" s="5">
        <v>1497</v>
      </c>
      <c r="B6545" s="5" t="str">
        <f>'Lineal Mixto'!$C$1501</f>
      </c>
      <c r="C6545" s="5" t="str">
        <f>'Lineal Mixto'!$C$1502</f>
      </c>
      <c r="D6545" s="5" t="str">
        <f>MIN(INT(B6545*5),4)</f>
      </c>
      <c r="E6545" s="5" t="str">
        <f>MIN(INT(C6545*5),4)</f>
      </c>
      <c r="F6545" s="5" t="str">
        <f>D6545*5+E6545</f>
      </c>
    </row>
    <row r="6546">
      <c r="A6546" s="6">
        <v>1498</v>
      </c>
      <c r="B6546" s="6" t="str">
        <f>'Lineal Mixto'!$C$1502</f>
      </c>
      <c r="C6546" s="6" t="str">
        <f>'Lineal Mixto'!$C$1503</f>
      </c>
      <c r="D6546" s="6" t="str">
        <f>MIN(INT(B6546*5),4)</f>
      </c>
      <c r="E6546" s="6" t="str">
        <f>MIN(INT(C6546*5),4)</f>
      </c>
      <c r="F6546" s="6" t="str">
        <f>D6546*5+E6546</f>
      </c>
    </row>
    <row r="6547">
      <c r="A6547" s="5">
        <v>1499</v>
      </c>
      <c r="B6547" s="5" t="str">
        <f>'Lineal Mixto'!$C$1503</f>
      </c>
      <c r="C6547" s="5" t="str">
        <f>'Lineal Mixto'!$C$1504</f>
      </c>
      <c r="D6547" s="5" t="str">
        <f>MIN(INT(B6547*5),4)</f>
      </c>
      <c r="E6547" s="5" t="str">
        <f>MIN(INT(C6547*5),4)</f>
      </c>
      <c r="F6547" s="5" t="str">
        <f>D6547*5+E6547</f>
      </c>
    </row>
    <row r="6548">
      <c r="A6548" s="6">
        <v>1500</v>
      </c>
      <c r="B6548" s="6" t="str">
        <f>'Lineal Mixto'!$C$1504</f>
      </c>
      <c r="C6548" s="6" t="str">
        <f>'Lineal Mixto'!$C$1505</f>
      </c>
      <c r="D6548" s="6" t="str">
        <f>MIN(INT(B6548*5),4)</f>
      </c>
      <c r="E6548" s="6" t="str">
        <f>MIN(INT(C6548*5),4)</f>
      </c>
      <c r="F6548" s="6" t="str">
        <f>D6548*5+E6548</f>
      </c>
    </row>
    <row r="6549">
      <c r="A6549" s="5">
        <v>1501</v>
      </c>
      <c r="B6549" s="5" t="str">
        <f>'Lineal Mixto'!$C$1505</f>
      </c>
      <c r="C6549" s="5" t="str">
        <f>'Lineal Mixto'!$C$1506</f>
      </c>
      <c r="D6549" s="5" t="str">
        <f>MIN(INT(B6549*5),4)</f>
      </c>
      <c r="E6549" s="5" t="str">
        <f>MIN(INT(C6549*5),4)</f>
      </c>
      <c r="F6549" s="5" t="str">
        <f>D6549*5+E6549</f>
      </c>
    </row>
    <row r="6550">
      <c r="A6550" s="6">
        <v>1502</v>
      </c>
      <c r="B6550" s="6" t="str">
        <f>'Lineal Mixto'!$C$1506</f>
      </c>
      <c r="C6550" s="6" t="str">
        <f>'Lineal Mixto'!$C$1507</f>
      </c>
      <c r="D6550" s="6" t="str">
        <f>MIN(INT(B6550*5),4)</f>
      </c>
      <c r="E6550" s="6" t="str">
        <f>MIN(INT(C6550*5),4)</f>
      </c>
      <c r="F6550" s="6" t="str">
        <f>D6550*5+E6550</f>
      </c>
    </row>
    <row r="6551">
      <c r="A6551" s="5">
        <v>1503</v>
      </c>
      <c r="B6551" s="5" t="str">
        <f>'Lineal Mixto'!$C$1507</f>
      </c>
      <c r="C6551" s="5" t="str">
        <f>'Lineal Mixto'!$C$1508</f>
      </c>
      <c r="D6551" s="5" t="str">
        <f>MIN(INT(B6551*5),4)</f>
      </c>
      <c r="E6551" s="5" t="str">
        <f>MIN(INT(C6551*5),4)</f>
      </c>
      <c r="F6551" s="5" t="str">
        <f>D6551*5+E6551</f>
      </c>
    </row>
    <row r="6552">
      <c r="A6552" s="6">
        <v>1504</v>
      </c>
      <c r="B6552" s="6" t="str">
        <f>'Lineal Mixto'!$C$1508</f>
      </c>
      <c r="C6552" s="6" t="str">
        <f>'Lineal Mixto'!$C$1509</f>
      </c>
      <c r="D6552" s="6" t="str">
        <f>MIN(INT(B6552*5),4)</f>
      </c>
      <c r="E6552" s="6" t="str">
        <f>MIN(INT(C6552*5),4)</f>
      </c>
      <c r="F6552" s="6" t="str">
        <f>D6552*5+E6552</f>
      </c>
    </row>
    <row r="6553">
      <c r="A6553" s="5">
        <v>1505</v>
      </c>
      <c r="B6553" s="5" t="str">
        <f>'Lineal Mixto'!$C$1509</f>
      </c>
      <c r="C6553" s="5" t="str">
        <f>'Lineal Mixto'!$C$1510</f>
      </c>
      <c r="D6553" s="5" t="str">
        <f>MIN(INT(B6553*5),4)</f>
      </c>
      <c r="E6553" s="5" t="str">
        <f>MIN(INT(C6553*5),4)</f>
      </c>
      <c r="F6553" s="5" t="str">
        <f>D6553*5+E6553</f>
      </c>
    </row>
    <row r="6554">
      <c r="A6554" s="6">
        <v>1506</v>
      </c>
      <c r="B6554" s="6" t="str">
        <f>'Lineal Mixto'!$C$1510</f>
      </c>
      <c r="C6554" s="6" t="str">
        <f>'Lineal Mixto'!$C$1511</f>
      </c>
      <c r="D6554" s="6" t="str">
        <f>MIN(INT(B6554*5),4)</f>
      </c>
      <c r="E6554" s="6" t="str">
        <f>MIN(INT(C6554*5),4)</f>
      </c>
      <c r="F6554" s="6" t="str">
        <f>D6554*5+E6554</f>
      </c>
    </row>
    <row r="6555">
      <c r="A6555" s="5">
        <v>1507</v>
      </c>
      <c r="B6555" s="5" t="str">
        <f>'Lineal Mixto'!$C$1511</f>
      </c>
      <c r="C6555" s="5" t="str">
        <f>'Lineal Mixto'!$C$1512</f>
      </c>
      <c r="D6555" s="5" t="str">
        <f>MIN(INT(B6555*5),4)</f>
      </c>
      <c r="E6555" s="5" t="str">
        <f>MIN(INT(C6555*5),4)</f>
      </c>
      <c r="F6555" s="5" t="str">
        <f>D6555*5+E6555</f>
      </c>
    </row>
    <row r="6556">
      <c r="A6556" s="6">
        <v>1508</v>
      </c>
      <c r="B6556" s="6" t="str">
        <f>'Lineal Mixto'!$C$1512</f>
      </c>
      <c r="C6556" s="6" t="str">
        <f>'Lineal Mixto'!$C$1513</f>
      </c>
      <c r="D6556" s="6" t="str">
        <f>MIN(INT(B6556*5),4)</f>
      </c>
      <c r="E6556" s="6" t="str">
        <f>MIN(INT(C6556*5),4)</f>
      </c>
      <c r="F6556" s="6" t="str">
        <f>D6556*5+E6556</f>
      </c>
    </row>
    <row r="6557">
      <c r="A6557" s="5">
        <v>1509</v>
      </c>
      <c r="B6557" s="5" t="str">
        <f>'Lineal Mixto'!$C$1513</f>
      </c>
      <c r="C6557" s="5" t="str">
        <f>'Lineal Mixto'!$C$1514</f>
      </c>
      <c r="D6557" s="5" t="str">
        <f>MIN(INT(B6557*5),4)</f>
      </c>
      <c r="E6557" s="5" t="str">
        <f>MIN(INT(C6557*5),4)</f>
      </c>
      <c r="F6557" s="5" t="str">
        <f>D6557*5+E6557</f>
      </c>
    </row>
    <row r="6558">
      <c r="A6558" s="6">
        <v>1510</v>
      </c>
      <c r="B6558" s="6" t="str">
        <f>'Lineal Mixto'!$C$1514</f>
      </c>
      <c r="C6558" s="6" t="str">
        <f>'Lineal Mixto'!$C$1515</f>
      </c>
      <c r="D6558" s="6" t="str">
        <f>MIN(INT(B6558*5),4)</f>
      </c>
      <c r="E6558" s="6" t="str">
        <f>MIN(INT(C6558*5),4)</f>
      </c>
      <c r="F6558" s="6" t="str">
        <f>D6558*5+E6558</f>
      </c>
    </row>
    <row r="6559">
      <c r="A6559" s="5">
        <v>1511</v>
      </c>
      <c r="B6559" s="5" t="str">
        <f>'Lineal Mixto'!$C$1515</f>
      </c>
      <c r="C6559" s="5" t="str">
        <f>'Lineal Mixto'!$C$1516</f>
      </c>
      <c r="D6559" s="5" t="str">
        <f>MIN(INT(B6559*5),4)</f>
      </c>
      <c r="E6559" s="5" t="str">
        <f>MIN(INT(C6559*5),4)</f>
      </c>
      <c r="F6559" s="5" t="str">
        <f>D6559*5+E6559</f>
      </c>
    </row>
    <row r="6560">
      <c r="A6560" s="6">
        <v>1512</v>
      </c>
      <c r="B6560" s="6" t="str">
        <f>'Lineal Mixto'!$C$1516</f>
      </c>
      <c r="C6560" s="6" t="str">
        <f>'Lineal Mixto'!$C$1517</f>
      </c>
      <c r="D6560" s="6" t="str">
        <f>MIN(INT(B6560*5),4)</f>
      </c>
      <c r="E6560" s="6" t="str">
        <f>MIN(INT(C6560*5),4)</f>
      </c>
      <c r="F6560" s="6" t="str">
        <f>D6560*5+E6560</f>
      </c>
    </row>
    <row r="6561">
      <c r="A6561" s="5">
        <v>1513</v>
      </c>
      <c r="B6561" s="5" t="str">
        <f>'Lineal Mixto'!$C$1517</f>
      </c>
      <c r="C6561" s="5" t="str">
        <f>'Lineal Mixto'!$C$1518</f>
      </c>
      <c r="D6561" s="5" t="str">
        <f>MIN(INT(B6561*5),4)</f>
      </c>
      <c r="E6561" s="5" t="str">
        <f>MIN(INT(C6561*5),4)</f>
      </c>
      <c r="F6561" s="5" t="str">
        <f>D6561*5+E6561</f>
      </c>
    </row>
    <row r="6562">
      <c r="A6562" s="6">
        <v>1514</v>
      </c>
      <c r="B6562" s="6" t="str">
        <f>'Lineal Mixto'!$C$1518</f>
      </c>
      <c r="C6562" s="6" t="str">
        <f>'Lineal Mixto'!$C$1519</f>
      </c>
      <c r="D6562" s="6" t="str">
        <f>MIN(INT(B6562*5),4)</f>
      </c>
      <c r="E6562" s="6" t="str">
        <f>MIN(INT(C6562*5),4)</f>
      </c>
      <c r="F6562" s="6" t="str">
        <f>D6562*5+E6562</f>
      </c>
    </row>
    <row r="6563">
      <c r="A6563" s="5">
        <v>1515</v>
      </c>
      <c r="B6563" s="5" t="str">
        <f>'Lineal Mixto'!$C$1519</f>
      </c>
      <c r="C6563" s="5" t="str">
        <f>'Lineal Mixto'!$C$1520</f>
      </c>
      <c r="D6563" s="5" t="str">
        <f>MIN(INT(B6563*5),4)</f>
      </c>
      <c r="E6563" s="5" t="str">
        <f>MIN(INT(C6563*5),4)</f>
      </c>
      <c r="F6563" s="5" t="str">
        <f>D6563*5+E6563</f>
      </c>
    </row>
    <row r="6564">
      <c r="A6564" s="6">
        <v>1516</v>
      </c>
      <c r="B6564" s="6" t="str">
        <f>'Lineal Mixto'!$C$1520</f>
      </c>
      <c r="C6564" s="6" t="str">
        <f>'Lineal Mixto'!$C$1521</f>
      </c>
      <c r="D6564" s="6" t="str">
        <f>MIN(INT(B6564*5),4)</f>
      </c>
      <c r="E6564" s="6" t="str">
        <f>MIN(INT(C6564*5),4)</f>
      </c>
      <c r="F6564" s="6" t="str">
        <f>D6564*5+E6564</f>
      </c>
    </row>
    <row r="6565">
      <c r="A6565" s="5">
        <v>1517</v>
      </c>
      <c r="B6565" s="5" t="str">
        <f>'Lineal Mixto'!$C$1521</f>
      </c>
      <c r="C6565" s="5" t="str">
        <f>'Lineal Mixto'!$C$1522</f>
      </c>
      <c r="D6565" s="5" t="str">
        <f>MIN(INT(B6565*5),4)</f>
      </c>
      <c r="E6565" s="5" t="str">
        <f>MIN(INT(C6565*5),4)</f>
      </c>
      <c r="F6565" s="5" t="str">
        <f>D6565*5+E6565</f>
      </c>
    </row>
    <row r="6566">
      <c r="A6566" s="6">
        <v>1518</v>
      </c>
      <c r="B6566" s="6" t="str">
        <f>'Lineal Mixto'!$C$1522</f>
      </c>
      <c r="C6566" s="6" t="str">
        <f>'Lineal Mixto'!$C$1523</f>
      </c>
      <c r="D6566" s="6" t="str">
        <f>MIN(INT(B6566*5),4)</f>
      </c>
      <c r="E6566" s="6" t="str">
        <f>MIN(INT(C6566*5),4)</f>
      </c>
      <c r="F6566" s="6" t="str">
        <f>D6566*5+E6566</f>
      </c>
    </row>
    <row r="6567">
      <c r="A6567" s="5">
        <v>1519</v>
      </c>
      <c r="B6567" s="5" t="str">
        <f>'Lineal Mixto'!$C$1523</f>
      </c>
      <c r="C6567" s="5" t="str">
        <f>'Lineal Mixto'!$C$1524</f>
      </c>
      <c r="D6567" s="5" t="str">
        <f>MIN(INT(B6567*5),4)</f>
      </c>
      <c r="E6567" s="5" t="str">
        <f>MIN(INT(C6567*5),4)</f>
      </c>
      <c r="F6567" s="5" t="str">
        <f>D6567*5+E6567</f>
      </c>
    </row>
    <row r="6568">
      <c r="A6568" s="6">
        <v>1520</v>
      </c>
      <c r="B6568" s="6" t="str">
        <f>'Lineal Mixto'!$C$1524</f>
      </c>
      <c r="C6568" s="6" t="str">
        <f>'Lineal Mixto'!$C$1525</f>
      </c>
      <c r="D6568" s="6" t="str">
        <f>MIN(INT(B6568*5),4)</f>
      </c>
      <c r="E6568" s="6" t="str">
        <f>MIN(INT(C6568*5),4)</f>
      </c>
      <c r="F6568" s="6" t="str">
        <f>D6568*5+E6568</f>
      </c>
    </row>
    <row r="6569">
      <c r="A6569" s="5">
        <v>1521</v>
      </c>
      <c r="B6569" s="5" t="str">
        <f>'Lineal Mixto'!$C$1525</f>
      </c>
      <c r="C6569" s="5" t="str">
        <f>'Lineal Mixto'!$C$1526</f>
      </c>
      <c r="D6569" s="5" t="str">
        <f>MIN(INT(B6569*5),4)</f>
      </c>
      <c r="E6569" s="5" t="str">
        <f>MIN(INT(C6569*5),4)</f>
      </c>
      <c r="F6569" s="5" t="str">
        <f>D6569*5+E6569</f>
      </c>
    </row>
    <row r="6570">
      <c r="A6570" s="6">
        <v>1522</v>
      </c>
      <c r="B6570" s="6" t="str">
        <f>'Lineal Mixto'!$C$1526</f>
      </c>
      <c r="C6570" s="6" t="str">
        <f>'Lineal Mixto'!$C$1527</f>
      </c>
      <c r="D6570" s="6" t="str">
        <f>MIN(INT(B6570*5),4)</f>
      </c>
      <c r="E6570" s="6" t="str">
        <f>MIN(INT(C6570*5),4)</f>
      </c>
      <c r="F6570" s="6" t="str">
        <f>D6570*5+E6570</f>
      </c>
    </row>
    <row r="6571">
      <c r="A6571" s="5">
        <v>1523</v>
      </c>
      <c r="B6571" s="5" t="str">
        <f>'Lineal Mixto'!$C$1527</f>
      </c>
      <c r="C6571" s="5" t="str">
        <f>'Lineal Mixto'!$C$1528</f>
      </c>
      <c r="D6571" s="5" t="str">
        <f>MIN(INT(B6571*5),4)</f>
      </c>
      <c r="E6571" s="5" t="str">
        <f>MIN(INT(C6571*5),4)</f>
      </c>
      <c r="F6571" s="5" t="str">
        <f>D6571*5+E6571</f>
      </c>
    </row>
    <row r="6572">
      <c r="A6572" s="6">
        <v>1524</v>
      </c>
      <c r="B6572" s="6" t="str">
        <f>'Lineal Mixto'!$C$1528</f>
      </c>
      <c r="C6572" s="6" t="str">
        <f>'Lineal Mixto'!$C$1529</f>
      </c>
      <c r="D6572" s="6" t="str">
        <f>MIN(INT(B6572*5),4)</f>
      </c>
      <c r="E6572" s="6" t="str">
        <f>MIN(INT(C6572*5),4)</f>
      </c>
      <c r="F6572" s="6" t="str">
        <f>D6572*5+E6572</f>
      </c>
    </row>
    <row r="6573">
      <c r="A6573" s="5">
        <v>1525</v>
      </c>
      <c r="B6573" s="5" t="str">
        <f>'Lineal Mixto'!$C$1529</f>
      </c>
      <c r="C6573" s="5" t="str">
        <f>'Lineal Mixto'!$C$1530</f>
      </c>
      <c r="D6573" s="5" t="str">
        <f>MIN(INT(B6573*5),4)</f>
      </c>
      <c r="E6573" s="5" t="str">
        <f>MIN(INT(C6573*5),4)</f>
      </c>
      <c r="F6573" s="5" t="str">
        <f>D6573*5+E6573</f>
      </c>
    </row>
    <row r="6574">
      <c r="A6574" s="6">
        <v>1526</v>
      </c>
      <c r="B6574" s="6" t="str">
        <f>'Lineal Mixto'!$C$1530</f>
      </c>
      <c r="C6574" s="6" t="str">
        <f>'Lineal Mixto'!$C$1531</f>
      </c>
      <c r="D6574" s="6" t="str">
        <f>MIN(INT(B6574*5),4)</f>
      </c>
      <c r="E6574" s="6" t="str">
        <f>MIN(INT(C6574*5),4)</f>
      </c>
      <c r="F6574" s="6" t="str">
        <f>D6574*5+E6574</f>
      </c>
    </row>
    <row r="6575">
      <c r="A6575" s="5">
        <v>1527</v>
      </c>
      <c r="B6575" s="5" t="str">
        <f>'Lineal Mixto'!$C$1531</f>
      </c>
      <c r="C6575" s="5" t="str">
        <f>'Lineal Mixto'!$C$1532</f>
      </c>
      <c r="D6575" s="5" t="str">
        <f>MIN(INT(B6575*5),4)</f>
      </c>
      <c r="E6575" s="5" t="str">
        <f>MIN(INT(C6575*5),4)</f>
      </c>
      <c r="F6575" s="5" t="str">
        <f>D6575*5+E6575</f>
      </c>
    </row>
    <row r="6576">
      <c r="A6576" s="6">
        <v>1528</v>
      </c>
      <c r="B6576" s="6" t="str">
        <f>'Lineal Mixto'!$C$1532</f>
      </c>
      <c r="C6576" s="6" t="str">
        <f>'Lineal Mixto'!$C$1533</f>
      </c>
      <c r="D6576" s="6" t="str">
        <f>MIN(INT(B6576*5),4)</f>
      </c>
      <c r="E6576" s="6" t="str">
        <f>MIN(INT(C6576*5),4)</f>
      </c>
      <c r="F6576" s="6" t="str">
        <f>D6576*5+E6576</f>
      </c>
    </row>
    <row r="6577">
      <c r="A6577" s="5">
        <v>1529</v>
      </c>
      <c r="B6577" s="5" t="str">
        <f>'Lineal Mixto'!$C$1533</f>
      </c>
      <c r="C6577" s="5" t="str">
        <f>'Lineal Mixto'!$C$1534</f>
      </c>
      <c r="D6577" s="5" t="str">
        <f>MIN(INT(B6577*5),4)</f>
      </c>
      <c r="E6577" s="5" t="str">
        <f>MIN(INT(C6577*5),4)</f>
      </c>
      <c r="F6577" s="5" t="str">
        <f>D6577*5+E6577</f>
      </c>
    </row>
    <row r="6578">
      <c r="A6578" s="6">
        <v>1530</v>
      </c>
      <c r="B6578" s="6" t="str">
        <f>'Lineal Mixto'!$C$1534</f>
      </c>
      <c r="C6578" s="6" t="str">
        <f>'Lineal Mixto'!$C$1535</f>
      </c>
      <c r="D6578" s="6" t="str">
        <f>MIN(INT(B6578*5),4)</f>
      </c>
      <c r="E6578" s="6" t="str">
        <f>MIN(INT(C6578*5),4)</f>
      </c>
      <c r="F6578" s="6" t="str">
        <f>D6578*5+E6578</f>
      </c>
    </row>
    <row r="6579">
      <c r="A6579" s="5">
        <v>1531</v>
      </c>
      <c r="B6579" s="5" t="str">
        <f>'Lineal Mixto'!$C$1535</f>
      </c>
      <c r="C6579" s="5" t="str">
        <f>'Lineal Mixto'!$C$1536</f>
      </c>
      <c r="D6579" s="5" t="str">
        <f>MIN(INT(B6579*5),4)</f>
      </c>
      <c r="E6579" s="5" t="str">
        <f>MIN(INT(C6579*5),4)</f>
      </c>
      <c r="F6579" s="5" t="str">
        <f>D6579*5+E6579</f>
      </c>
    </row>
    <row r="6580">
      <c r="A6580" s="6">
        <v>1532</v>
      </c>
      <c r="B6580" s="6" t="str">
        <f>'Lineal Mixto'!$C$1536</f>
      </c>
      <c r="C6580" s="6" t="str">
        <f>'Lineal Mixto'!$C$1537</f>
      </c>
      <c r="D6580" s="6" t="str">
        <f>MIN(INT(B6580*5),4)</f>
      </c>
      <c r="E6580" s="6" t="str">
        <f>MIN(INT(C6580*5),4)</f>
      </c>
      <c r="F6580" s="6" t="str">
        <f>D6580*5+E6580</f>
      </c>
    </row>
    <row r="6581">
      <c r="A6581" s="5">
        <v>1533</v>
      </c>
      <c r="B6581" s="5" t="str">
        <f>'Lineal Mixto'!$C$1537</f>
      </c>
      <c r="C6581" s="5" t="str">
        <f>'Lineal Mixto'!$C$1538</f>
      </c>
      <c r="D6581" s="5" t="str">
        <f>MIN(INT(B6581*5),4)</f>
      </c>
      <c r="E6581" s="5" t="str">
        <f>MIN(INT(C6581*5),4)</f>
      </c>
      <c r="F6581" s="5" t="str">
        <f>D6581*5+E6581</f>
      </c>
    </row>
    <row r="6582">
      <c r="A6582" s="6">
        <v>1534</v>
      </c>
      <c r="B6582" s="6" t="str">
        <f>'Lineal Mixto'!$C$1538</f>
      </c>
      <c r="C6582" s="6" t="str">
        <f>'Lineal Mixto'!$C$1539</f>
      </c>
      <c r="D6582" s="6" t="str">
        <f>MIN(INT(B6582*5),4)</f>
      </c>
      <c r="E6582" s="6" t="str">
        <f>MIN(INT(C6582*5),4)</f>
      </c>
      <c r="F6582" s="6" t="str">
        <f>D6582*5+E6582</f>
      </c>
    </row>
    <row r="6583">
      <c r="A6583" s="5">
        <v>1535</v>
      </c>
      <c r="B6583" s="5" t="str">
        <f>'Lineal Mixto'!$C$1539</f>
      </c>
      <c r="C6583" s="5" t="str">
        <f>'Lineal Mixto'!$C$1540</f>
      </c>
      <c r="D6583" s="5" t="str">
        <f>MIN(INT(B6583*5),4)</f>
      </c>
      <c r="E6583" s="5" t="str">
        <f>MIN(INT(C6583*5),4)</f>
      </c>
      <c r="F6583" s="5" t="str">
        <f>D6583*5+E6583</f>
      </c>
    </row>
    <row r="6584">
      <c r="A6584" s="6">
        <v>1536</v>
      </c>
      <c r="B6584" s="6" t="str">
        <f>'Lineal Mixto'!$C$1540</f>
      </c>
      <c r="C6584" s="6" t="str">
        <f>'Lineal Mixto'!$C$1541</f>
      </c>
      <c r="D6584" s="6" t="str">
        <f>MIN(INT(B6584*5),4)</f>
      </c>
      <c r="E6584" s="6" t="str">
        <f>MIN(INT(C6584*5),4)</f>
      </c>
      <c r="F6584" s="6" t="str">
        <f>D6584*5+E6584</f>
      </c>
    </row>
    <row r="6585">
      <c r="A6585" s="5">
        <v>1537</v>
      </c>
      <c r="B6585" s="5" t="str">
        <f>'Lineal Mixto'!$C$1541</f>
      </c>
      <c r="C6585" s="5" t="str">
        <f>'Lineal Mixto'!$C$1542</f>
      </c>
      <c r="D6585" s="5" t="str">
        <f>MIN(INT(B6585*5),4)</f>
      </c>
      <c r="E6585" s="5" t="str">
        <f>MIN(INT(C6585*5),4)</f>
      </c>
      <c r="F6585" s="5" t="str">
        <f>D6585*5+E6585</f>
      </c>
    </row>
    <row r="6586">
      <c r="A6586" s="6">
        <v>1538</v>
      </c>
      <c r="B6586" s="6" t="str">
        <f>'Lineal Mixto'!$C$1542</f>
      </c>
      <c r="C6586" s="6" t="str">
        <f>'Lineal Mixto'!$C$1543</f>
      </c>
      <c r="D6586" s="6" t="str">
        <f>MIN(INT(B6586*5),4)</f>
      </c>
      <c r="E6586" s="6" t="str">
        <f>MIN(INT(C6586*5),4)</f>
      </c>
      <c r="F6586" s="6" t="str">
        <f>D6586*5+E6586</f>
      </c>
    </row>
    <row r="6587">
      <c r="A6587" s="5">
        <v>1539</v>
      </c>
      <c r="B6587" s="5" t="str">
        <f>'Lineal Mixto'!$C$1543</f>
      </c>
      <c r="C6587" s="5" t="str">
        <f>'Lineal Mixto'!$C$1544</f>
      </c>
      <c r="D6587" s="5" t="str">
        <f>MIN(INT(B6587*5),4)</f>
      </c>
      <c r="E6587" s="5" t="str">
        <f>MIN(INT(C6587*5),4)</f>
      </c>
      <c r="F6587" s="5" t="str">
        <f>D6587*5+E6587</f>
      </c>
    </row>
    <row r="6588">
      <c r="A6588" s="6">
        <v>1540</v>
      </c>
      <c r="B6588" s="6" t="str">
        <f>'Lineal Mixto'!$C$1544</f>
      </c>
      <c r="C6588" s="6" t="str">
        <f>'Lineal Mixto'!$C$1545</f>
      </c>
      <c r="D6588" s="6" t="str">
        <f>MIN(INT(B6588*5),4)</f>
      </c>
      <c r="E6588" s="6" t="str">
        <f>MIN(INT(C6588*5),4)</f>
      </c>
      <c r="F6588" s="6" t="str">
        <f>D6588*5+E6588</f>
      </c>
    </row>
    <row r="6589">
      <c r="A6589" s="5">
        <v>1541</v>
      </c>
      <c r="B6589" s="5" t="str">
        <f>'Lineal Mixto'!$C$1545</f>
      </c>
      <c r="C6589" s="5" t="str">
        <f>'Lineal Mixto'!$C$1546</f>
      </c>
      <c r="D6589" s="5" t="str">
        <f>MIN(INT(B6589*5),4)</f>
      </c>
      <c r="E6589" s="5" t="str">
        <f>MIN(INT(C6589*5),4)</f>
      </c>
      <c r="F6589" s="5" t="str">
        <f>D6589*5+E6589</f>
      </c>
    </row>
    <row r="6590">
      <c r="A6590" s="6">
        <v>1542</v>
      </c>
      <c r="B6590" s="6" t="str">
        <f>'Lineal Mixto'!$C$1546</f>
      </c>
      <c r="C6590" s="6" t="str">
        <f>'Lineal Mixto'!$C$1547</f>
      </c>
      <c r="D6590" s="6" t="str">
        <f>MIN(INT(B6590*5),4)</f>
      </c>
      <c r="E6590" s="6" t="str">
        <f>MIN(INT(C6590*5),4)</f>
      </c>
      <c r="F6590" s="6" t="str">
        <f>D6590*5+E6590</f>
      </c>
    </row>
    <row r="6591">
      <c r="A6591" s="5">
        <v>1543</v>
      </c>
      <c r="B6591" s="5" t="str">
        <f>'Lineal Mixto'!$C$1547</f>
      </c>
      <c r="C6591" s="5" t="str">
        <f>'Lineal Mixto'!$C$1548</f>
      </c>
      <c r="D6591" s="5" t="str">
        <f>MIN(INT(B6591*5),4)</f>
      </c>
      <c r="E6591" s="5" t="str">
        <f>MIN(INT(C6591*5),4)</f>
      </c>
      <c r="F6591" s="5" t="str">
        <f>D6591*5+E6591</f>
      </c>
    </row>
    <row r="6592">
      <c r="A6592" s="6">
        <v>1544</v>
      </c>
      <c r="B6592" s="6" t="str">
        <f>'Lineal Mixto'!$C$1548</f>
      </c>
      <c r="C6592" s="6" t="str">
        <f>'Lineal Mixto'!$C$1549</f>
      </c>
      <c r="D6592" s="6" t="str">
        <f>MIN(INT(B6592*5),4)</f>
      </c>
      <c r="E6592" s="6" t="str">
        <f>MIN(INT(C6592*5),4)</f>
      </c>
      <c r="F6592" s="6" t="str">
        <f>D6592*5+E6592</f>
      </c>
    </row>
    <row r="6593">
      <c r="A6593" s="5">
        <v>1545</v>
      </c>
      <c r="B6593" s="5" t="str">
        <f>'Lineal Mixto'!$C$1549</f>
      </c>
      <c r="C6593" s="5" t="str">
        <f>'Lineal Mixto'!$C$1550</f>
      </c>
      <c r="D6593" s="5" t="str">
        <f>MIN(INT(B6593*5),4)</f>
      </c>
      <c r="E6593" s="5" t="str">
        <f>MIN(INT(C6593*5),4)</f>
      </c>
      <c r="F6593" s="5" t="str">
        <f>D6593*5+E6593</f>
      </c>
    </row>
    <row r="6594">
      <c r="A6594" s="6">
        <v>1546</v>
      </c>
      <c r="B6594" s="6" t="str">
        <f>'Lineal Mixto'!$C$1550</f>
      </c>
      <c r="C6594" s="6" t="str">
        <f>'Lineal Mixto'!$C$1551</f>
      </c>
      <c r="D6594" s="6" t="str">
        <f>MIN(INT(B6594*5),4)</f>
      </c>
      <c r="E6594" s="6" t="str">
        <f>MIN(INT(C6594*5),4)</f>
      </c>
      <c r="F6594" s="6" t="str">
        <f>D6594*5+E6594</f>
      </c>
    </row>
    <row r="6595">
      <c r="A6595" s="5">
        <v>1547</v>
      </c>
      <c r="B6595" s="5" t="str">
        <f>'Lineal Mixto'!$C$1551</f>
      </c>
      <c r="C6595" s="5" t="str">
        <f>'Lineal Mixto'!$C$1552</f>
      </c>
      <c r="D6595" s="5" t="str">
        <f>MIN(INT(B6595*5),4)</f>
      </c>
      <c r="E6595" s="5" t="str">
        <f>MIN(INT(C6595*5),4)</f>
      </c>
      <c r="F6595" s="5" t="str">
        <f>D6595*5+E6595</f>
      </c>
    </row>
    <row r="6596">
      <c r="A6596" s="6">
        <v>1548</v>
      </c>
      <c r="B6596" s="6" t="str">
        <f>'Lineal Mixto'!$C$1552</f>
      </c>
      <c r="C6596" s="6" t="str">
        <f>'Lineal Mixto'!$C$1553</f>
      </c>
      <c r="D6596" s="6" t="str">
        <f>MIN(INT(B6596*5),4)</f>
      </c>
      <c r="E6596" s="6" t="str">
        <f>MIN(INT(C6596*5),4)</f>
      </c>
      <c r="F6596" s="6" t="str">
        <f>D6596*5+E6596</f>
      </c>
    </row>
    <row r="6597">
      <c r="A6597" s="5">
        <v>1549</v>
      </c>
      <c r="B6597" s="5" t="str">
        <f>'Lineal Mixto'!$C$1553</f>
      </c>
      <c r="C6597" s="5" t="str">
        <f>'Lineal Mixto'!$C$1554</f>
      </c>
      <c r="D6597" s="5" t="str">
        <f>MIN(INT(B6597*5),4)</f>
      </c>
      <c r="E6597" s="5" t="str">
        <f>MIN(INT(C6597*5),4)</f>
      </c>
      <c r="F6597" s="5" t="str">
        <f>D6597*5+E6597</f>
      </c>
    </row>
    <row r="6598">
      <c r="A6598" s="6">
        <v>1550</v>
      </c>
      <c r="B6598" s="6" t="str">
        <f>'Lineal Mixto'!$C$1554</f>
      </c>
      <c r="C6598" s="6" t="str">
        <f>'Lineal Mixto'!$C$1555</f>
      </c>
      <c r="D6598" s="6" t="str">
        <f>MIN(INT(B6598*5),4)</f>
      </c>
      <c r="E6598" s="6" t="str">
        <f>MIN(INT(C6598*5),4)</f>
      </c>
      <c r="F6598" s="6" t="str">
        <f>D6598*5+E6598</f>
      </c>
    </row>
    <row r="6599">
      <c r="A6599" s="5">
        <v>1551</v>
      </c>
      <c r="B6599" s="5" t="str">
        <f>'Lineal Mixto'!$C$1555</f>
      </c>
      <c r="C6599" s="5" t="str">
        <f>'Lineal Mixto'!$C$1556</f>
      </c>
      <c r="D6599" s="5" t="str">
        <f>MIN(INT(B6599*5),4)</f>
      </c>
      <c r="E6599" s="5" t="str">
        <f>MIN(INT(C6599*5),4)</f>
      </c>
      <c r="F6599" s="5" t="str">
        <f>D6599*5+E6599</f>
      </c>
    </row>
    <row r="6600">
      <c r="A6600" s="6">
        <v>1552</v>
      </c>
      <c r="B6600" s="6" t="str">
        <f>'Lineal Mixto'!$C$1556</f>
      </c>
      <c r="C6600" s="6" t="str">
        <f>'Lineal Mixto'!$C$1557</f>
      </c>
      <c r="D6600" s="6" t="str">
        <f>MIN(INT(B6600*5),4)</f>
      </c>
      <c r="E6600" s="6" t="str">
        <f>MIN(INT(C6600*5),4)</f>
      </c>
      <c r="F6600" s="6" t="str">
        <f>D6600*5+E6600</f>
      </c>
    </row>
    <row r="6601">
      <c r="A6601" s="5">
        <v>1553</v>
      </c>
      <c r="B6601" s="5" t="str">
        <f>'Lineal Mixto'!$C$1557</f>
      </c>
      <c r="C6601" s="5" t="str">
        <f>'Lineal Mixto'!$C$1558</f>
      </c>
      <c r="D6601" s="5" t="str">
        <f>MIN(INT(B6601*5),4)</f>
      </c>
      <c r="E6601" s="5" t="str">
        <f>MIN(INT(C6601*5),4)</f>
      </c>
      <c r="F6601" s="5" t="str">
        <f>D6601*5+E6601</f>
      </c>
    </row>
    <row r="6602">
      <c r="A6602" s="6">
        <v>1554</v>
      </c>
      <c r="B6602" s="6" t="str">
        <f>'Lineal Mixto'!$C$1558</f>
      </c>
      <c r="C6602" s="6" t="str">
        <f>'Lineal Mixto'!$C$1559</f>
      </c>
      <c r="D6602" s="6" t="str">
        <f>MIN(INT(B6602*5),4)</f>
      </c>
      <c r="E6602" s="6" t="str">
        <f>MIN(INT(C6602*5),4)</f>
      </c>
      <c r="F6602" s="6" t="str">
        <f>D6602*5+E6602</f>
      </c>
    </row>
    <row r="6603">
      <c r="A6603" s="5">
        <v>1555</v>
      </c>
      <c r="B6603" s="5" t="str">
        <f>'Lineal Mixto'!$C$1559</f>
      </c>
      <c r="C6603" s="5" t="str">
        <f>'Lineal Mixto'!$C$1560</f>
      </c>
      <c r="D6603" s="5" t="str">
        <f>MIN(INT(B6603*5),4)</f>
      </c>
      <c r="E6603" s="5" t="str">
        <f>MIN(INT(C6603*5),4)</f>
      </c>
      <c r="F6603" s="5" t="str">
        <f>D6603*5+E6603</f>
      </c>
    </row>
    <row r="6604">
      <c r="A6604" s="6">
        <v>1556</v>
      </c>
      <c r="B6604" s="6" t="str">
        <f>'Lineal Mixto'!$C$1560</f>
      </c>
      <c r="C6604" s="6" t="str">
        <f>'Lineal Mixto'!$C$1561</f>
      </c>
      <c r="D6604" s="6" t="str">
        <f>MIN(INT(B6604*5),4)</f>
      </c>
      <c r="E6604" s="6" t="str">
        <f>MIN(INT(C6604*5),4)</f>
      </c>
      <c r="F6604" s="6" t="str">
        <f>D6604*5+E6604</f>
      </c>
    </row>
    <row r="6605">
      <c r="A6605" s="5">
        <v>1557</v>
      </c>
      <c r="B6605" s="5" t="str">
        <f>'Lineal Mixto'!$C$1561</f>
      </c>
      <c r="C6605" s="5" t="str">
        <f>'Lineal Mixto'!$C$1562</f>
      </c>
      <c r="D6605" s="5" t="str">
        <f>MIN(INT(B6605*5),4)</f>
      </c>
      <c r="E6605" s="5" t="str">
        <f>MIN(INT(C6605*5),4)</f>
      </c>
      <c r="F6605" s="5" t="str">
        <f>D6605*5+E6605</f>
      </c>
    </row>
    <row r="6606">
      <c r="A6606" s="6">
        <v>1558</v>
      </c>
      <c r="B6606" s="6" t="str">
        <f>'Lineal Mixto'!$C$1562</f>
      </c>
      <c r="C6606" s="6" t="str">
        <f>'Lineal Mixto'!$C$1563</f>
      </c>
      <c r="D6606" s="6" t="str">
        <f>MIN(INT(B6606*5),4)</f>
      </c>
      <c r="E6606" s="6" t="str">
        <f>MIN(INT(C6606*5),4)</f>
      </c>
      <c r="F6606" s="6" t="str">
        <f>D6606*5+E6606</f>
      </c>
    </row>
    <row r="6607">
      <c r="A6607" s="5">
        <v>1559</v>
      </c>
      <c r="B6607" s="5" t="str">
        <f>'Lineal Mixto'!$C$1563</f>
      </c>
      <c r="C6607" s="5" t="str">
        <f>'Lineal Mixto'!$C$1564</f>
      </c>
      <c r="D6607" s="5" t="str">
        <f>MIN(INT(B6607*5),4)</f>
      </c>
      <c r="E6607" s="5" t="str">
        <f>MIN(INT(C6607*5),4)</f>
      </c>
      <c r="F6607" s="5" t="str">
        <f>D6607*5+E6607</f>
      </c>
    </row>
    <row r="6608">
      <c r="A6608" s="6">
        <v>1560</v>
      </c>
      <c r="B6608" s="6" t="str">
        <f>'Lineal Mixto'!$C$1564</f>
      </c>
      <c r="C6608" s="6" t="str">
        <f>'Lineal Mixto'!$C$1565</f>
      </c>
      <c r="D6608" s="6" t="str">
        <f>MIN(INT(B6608*5),4)</f>
      </c>
      <c r="E6608" s="6" t="str">
        <f>MIN(INT(C6608*5),4)</f>
      </c>
      <c r="F6608" s="6" t="str">
        <f>D6608*5+E6608</f>
      </c>
    </row>
    <row r="6609">
      <c r="A6609" s="5">
        <v>1561</v>
      </c>
      <c r="B6609" s="5" t="str">
        <f>'Lineal Mixto'!$C$1565</f>
      </c>
      <c r="C6609" s="5" t="str">
        <f>'Lineal Mixto'!$C$1566</f>
      </c>
      <c r="D6609" s="5" t="str">
        <f>MIN(INT(B6609*5),4)</f>
      </c>
      <c r="E6609" s="5" t="str">
        <f>MIN(INT(C6609*5),4)</f>
      </c>
      <c r="F6609" s="5" t="str">
        <f>D6609*5+E6609</f>
      </c>
    </row>
    <row r="6610">
      <c r="A6610" s="6">
        <v>1562</v>
      </c>
      <c r="B6610" s="6" t="str">
        <f>'Lineal Mixto'!$C$1566</f>
      </c>
      <c r="C6610" s="6" t="str">
        <f>'Lineal Mixto'!$C$1567</f>
      </c>
      <c r="D6610" s="6" t="str">
        <f>MIN(INT(B6610*5),4)</f>
      </c>
      <c r="E6610" s="6" t="str">
        <f>MIN(INT(C6610*5),4)</f>
      </c>
      <c r="F6610" s="6" t="str">
        <f>D6610*5+E6610</f>
      </c>
    </row>
    <row r="6611">
      <c r="A6611" s="5">
        <v>1563</v>
      </c>
      <c r="B6611" s="5" t="str">
        <f>'Lineal Mixto'!$C$1567</f>
      </c>
      <c r="C6611" s="5" t="str">
        <f>'Lineal Mixto'!$C$1568</f>
      </c>
      <c r="D6611" s="5" t="str">
        <f>MIN(INT(B6611*5),4)</f>
      </c>
      <c r="E6611" s="5" t="str">
        <f>MIN(INT(C6611*5),4)</f>
      </c>
      <c r="F6611" s="5" t="str">
        <f>D6611*5+E6611</f>
      </c>
    </row>
    <row r="6612">
      <c r="A6612" s="6">
        <v>1564</v>
      </c>
      <c r="B6612" s="6" t="str">
        <f>'Lineal Mixto'!$C$1568</f>
      </c>
      <c r="C6612" s="6" t="str">
        <f>'Lineal Mixto'!$C$1569</f>
      </c>
      <c r="D6612" s="6" t="str">
        <f>MIN(INT(B6612*5),4)</f>
      </c>
      <c r="E6612" s="6" t="str">
        <f>MIN(INT(C6612*5),4)</f>
      </c>
      <c r="F6612" s="6" t="str">
        <f>D6612*5+E6612</f>
      </c>
    </row>
    <row r="6613">
      <c r="A6613" s="5">
        <v>1565</v>
      </c>
      <c r="B6613" s="5" t="str">
        <f>'Lineal Mixto'!$C$1569</f>
      </c>
      <c r="C6613" s="5" t="str">
        <f>'Lineal Mixto'!$C$1570</f>
      </c>
      <c r="D6613" s="5" t="str">
        <f>MIN(INT(B6613*5),4)</f>
      </c>
      <c r="E6613" s="5" t="str">
        <f>MIN(INT(C6613*5),4)</f>
      </c>
      <c r="F6613" s="5" t="str">
        <f>D6613*5+E6613</f>
      </c>
    </row>
    <row r="6614">
      <c r="A6614" s="6">
        <v>1566</v>
      </c>
      <c r="B6614" s="6" t="str">
        <f>'Lineal Mixto'!$C$1570</f>
      </c>
      <c r="C6614" s="6" t="str">
        <f>'Lineal Mixto'!$C$1571</f>
      </c>
      <c r="D6614" s="6" t="str">
        <f>MIN(INT(B6614*5),4)</f>
      </c>
      <c r="E6614" s="6" t="str">
        <f>MIN(INT(C6614*5),4)</f>
      </c>
      <c r="F6614" s="6" t="str">
        <f>D6614*5+E6614</f>
      </c>
    </row>
    <row r="6615">
      <c r="A6615" s="5">
        <v>1567</v>
      </c>
      <c r="B6615" s="5" t="str">
        <f>'Lineal Mixto'!$C$1571</f>
      </c>
      <c r="C6615" s="5" t="str">
        <f>'Lineal Mixto'!$C$1572</f>
      </c>
      <c r="D6615" s="5" t="str">
        <f>MIN(INT(B6615*5),4)</f>
      </c>
      <c r="E6615" s="5" t="str">
        <f>MIN(INT(C6615*5),4)</f>
      </c>
      <c r="F6615" s="5" t="str">
        <f>D6615*5+E6615</f>
      </c>
    </row>
    <row r="6616">
      <c r="A6616" s="6">
        <v>1568</v>
      </c>
      <c r="B6616" s="6" t="str">
        <f>'Lineal Mixto'!$C$1572</f>
      </c>
      <c r="C6616" s="6" t="str">
        <f>'Lineal Mixto'!$C$1573</f>
      </c>
      <c r="D6616" s="6" t="str">
        <f>MIN(INT(B6616*5),4)</f>
      </c>
      <c r="E6616" s="6" t="str">
        <f>MIN(INT(C6616*5),4)</f>
      </c>
      <c r="F6616" s="6" t="str">
        <f>D6616*5+E6616</f>
      </c>
    </row>
    <row r="6617">
      <c r="A6617" s="5">
        <v>1569</v>
      </c>
      <c r="B6617" s="5" t="str">
        <f>'Lineal Mixto'!$C$1573</f>
      </c>
      <c r="C6617" s="5" t="str">
        <f>'Lineal Mixto'!$C$1574</f>
      </c>
      <c r="D6617" s="5" t="str">
        <f>MIN(INT(B6617*5),4)</f>
      </c>
      <c r="E6617" s="5" t="str">
        <f>MIN(INT(C6617*5),4)</f>
      </c>
      <c r="F6617" s="5" t="str">
        <f>D6617*5+E6617</f>
      </c>
    </row>
    <row r="6618">
      <c r="A6618" s="6">
        <v>1570</v>
      </c>
      <c r="B6618" s="6" t="str">
        <f>'Lineal Mixto'!$C$1574</f>
      </c>
      <c r="C6618" s="6" t="str">
        <f>'Lineal Mixto'!$C$1575</f>
      </c>
      <c r="D6618" s="6" t="str">
        <f>MIN(INT(B6618*5),4)</f>
      </c>
      <c r="E6618" s="6" t="str">
        <f>MIN(INT(C6618*5),4)</f>
      </c>
      <c r="F6618" s="6" t="str">
        <f>D6618*5+E6618</f>
      </c>
    </row>
    <row r="6619">
      <c r="A6619" s="5">
        <v>1571</v>
      </c>
      <c r="B6619" s="5" t="str">
        <f>'Lineal Mixto'!$C$1575</f>
      </c>
      <c r="C6619" s="5" t="str">
        <f>'Lineal Mixto'!$C$1576</f>
      </c>
      <c r="D6619" s="5" t="str">
        <f>MIN(INT(B6619*5),4)</f>
      </c>
      <c r="E6619" s="5" t="str">
        <f>MIN(INT(C6619*5),4)</f>
      </c>
      <c r="F6619" s="5" t="str">
        <f>D6619*5+E6619</f>
      </c>
    </row>
    <row r="6620">
      <c r="A6620" s="6">
        <v>1572</v>
      </c>
      <c r="B6620" s="6" t="str">
        <f>'Lineal Mixto'!$C$1576</f>
      </c>
      <c r="C6620" s="6" t="str">
        <f>'Lineal Mixto'!$C$1577</f>
      </c>
      <c r="D6620" s="6" t="str">
        <f>MIN(INT(B6620*5),4)</f>
      </c>
      <c r="E6620" s="6" t="str">
        <f>MIN(INT(C6620*5),4)</f>
      </c>
      <c r="F6620" s="6" t="str">
        <f>D6620*5+E6620</f>
      </c>
    </row>
    <row r="6621">
      <c r="A6621" s="5">
        <v>1573</v>
      </c>
      <c r="B6621" s="5" t="str">
        <f>'Lineal Mixto'!$C$1577</f>
      </c>
      <c r="C6621" s="5" t="str">
        <f>'Lineal Mixto'!$C$1578</f>
      </c>
      <c r="D6621" s="5" t="str">
        <f>MIN(INT(B6621*5),4)</f>
      </c>
      <c r="E6621" s="5" t="str">
        <f>MIN(INT(C6621*5),4)</f>
      </c>
      <c r="F6621" s="5" t="str">
        <f>D6621*5+E6621</f>
      </c>
    </row>
    <row r="6622">
      <c r="A6622" s="6">
        <v>1574</v>
      </c>
      <c r="B6622" s="6" t="str">
        <f>'Lineal Mixto'!$C$1578</f>
      </c>
      <c r="C6622" s="6" t="str">
        <f>'Lineal Mixto'!$C$1579</f>
      </c>
      <c r="D6622" s="6" t="str">
        <f>MIN(INT(B6622*5),4)</f>
      </c>
      <c r="E6622" s="6" t="str">
        <f>MIN(INT(C6622*5),4)</f>
      </c>
      <c r="F6622" s="6" t="str">
        <f>D6622*5+E6622</f>
      </c>
    </row>
    <row r="6623">
      <c r="A6623" s="5">
        <v>1575</v>
      </c>
      <c r="B6623" s="5" t="str">
        <f>'Lineal Mixto'!$C$1579</f>
      </c>
      <c r="C6623" s="5" t="str">
        <f>'Lineal Mixto'!$C$1580</f>
      </c>
      <c r="D6623" s="5" t="str">
        <f>MIN(INT(B6623*5),4)</f>
      </c>
      <c r="E6623" s="5" t="str">
        <f>MIN(INT(C6623*5),4)</f>
      </c>
      <c r="F6623" s="5" t="str">
        <f>D6623*5+E6623</f>
      </c>
    </row>
    <row r="6624">
      <c r="A6624" s="6">
        <v>1576</v>
      </c>
      <c r="B6624" s="6" t="str">
        <f>'Lineal Mixto'!$C$1580</f>
      </c>
      <c r="C6624" s="6" t="str">
        <f>'Lineal Mixto'!$C$1581</f>
      </c>
      <c r="D6624" s="6" t="str">
        <f>MIN(INT(B6624*5),4)</f>
      </c>
      <c r="E6624" s="6" t="str">
        <f>MIN(INT(C6624*5),4)</f>
      </c>
      <c r="F6624" s="6" t="str">
        <f>D6624*5+E6624</f>
      </c>
    </row>
    <row r="6625">
      <c r="A6625" s="5">
        <v>1577</v>
      </c>
      <c r="B6625" s="5" t="str">
        <f>'Lineal Mixto'!$C$1581</f>
      </c>
      <c r="C6625" s="5" t="str">
        <f>'Lineal Mixto'!$C$1582</f>
      </c>
      <c r="D6625" s="5" t="str">
        <f>MIN(INT(B6625*5),4)</f>
      </c>
      <c r="E6625" s="5" t="str">
        <f>MIN(INT(C6625*5),4)</f>
      </c>
      <c r="F6625" s="5" t="str">
        <f>D6625*5+E6625</f>
      </c>
    </row>
    <row r="6626">
      <c r="A6626" s="6">
        <v>1578</v>
      </c>
      <c r="B6626" s="6" t="str">
        <f>'Lineal Mixto'!$C$1582</f>
      </c>
      <c r="C6626" s="6" t="str">
        <f>'Lineal Mixto'!$C$1583</f>
      </c>
      <c r="D6626" s="6" t="str">
        <f>MIN(INT(B6626*5),4)</f>
      </c>
      <c r="E6626" s="6" t="str">
        <f>MIN(INT(C6626*5),4)</f>
      </c>
      <c r="F6626" s="6" t="str">
        <f>D6626*5+E6626</f>
      </c>
    </row>
    <row r="6627">
      <c r="A6627" s="5">
        <v>1579</v>
      </c>
      <c r="B6627" s="5" t="str">
        <f>'Lineal Mixto'!$C$1583</f>
      </c>
      <c r="C6627" s="5" t="str">
        <f>'Lineal Mixto'!$C$1584</f>
      </c>
      <c r="D6627" s="5" t="str">
        <f>MIN(INT(B6627*5),4)</f>
      </c>
      <c r="E6627" s="5" t="str">
        <f>MIN(INT(C6627*5),4)</f>
      </c>
      <c r="F6627" s="5" t="str">
        <f>D6627*5+E6627</f>
      </c>
    </row>
    <row r="6628">
      <c r="A6628" s="6">
        <v>1580</v>
      </c>
      <c r="B6628" s="6" t="str">
        <f>'Lineal Mixto'!$C$1584</f>
      </c>
      <c r="C6628" s="6" t="str">
        <f>'Lineal Mixto'!$C$1585</f>
      </c>
      <c r="D6628" s="6" t="str">
        <f>MIN(INT(B6628*5),4)</f>
      </c>
      <c r="E6628" s="6" t="str">
        <f>MIN(INT(C6628*5),4)</f>
      </c>
      <c r="F6628" s="6" t="str">
        <f>D6628*5+E6628</f>
      </c>
    </row>
    <row r="6629">
      <c r="A6629" s="5">
        <v>1581</v>
      </c>
      <c r="B6629" s="5" t="str">
        <f>'Lineal Mixto'!$C$1585</f>
      </c>
      <c r="C6629" s="5" t="str">
        <f>'Lineal Mixto'!$C$1586</f>
      </c>
      <c r="D6629" s="5" t="str">
        <f>MIN(INT(B6629*5),4)</f>
      </c>
      <c r="E6629" s="5" t="str">
        <f>MIN(INT(C6629*5),4)</f>
      </c>
      <c r="F6629" s="5" t="str">
        <f>D6629*5+E6629</f>
      </c>
    </row>
    <row r="6630">
      <c r="A6630" s="6">
        <v>1582</v>
      </c>
      <c r="B6630" s="6" t="str">
        <f>'Lineal Mixto'!$C$1586</f>
      </c>
      <c r="C6630" s="6" t="str">
        <f>'Lineal Mixto'!$C$1587</f>
      </c>
      <c r="D6630" s="6" t="str">
        <f>MIN(INT(B6630*5),4)</f>
      </c>
      <c r="E6630" s="6" t="str">
        <f>MIN(INT(C6630*5),4)</f>
      </c>
      <c r="F6630" s="6" t="str">
        <f>D6630*5+E6630</f>
      </c>
    </row>
    <row r="6631">
      <c r="A6631" s="5">
        <v>1583</v>
      </c>
      <c r="B6631" s="5" t="str">
        <f>'Lineal Mixto'!$C$1587</f>
      </c>
      <c r="C6631" s="5" t="str">
        <f>'Lineal Mixto'!$C$1588</f>
      </c>
      <c r="D6631" s="5" t="str">
        <f>MIN(INT(B6631*5),4)</f>
      </c>
      <c r="E6631" s="5" t="str">
        <f>MIN(INT(C6631*5),4)</f>
      </c>
      <c r="F6631" s="5" t="str">
        <f>D6631*5+E6631</f>
      </c>
    </row>
    <row r="6632">
      <c r="A6632" s="6">
        <v>1584</v>
      </c>
      <c r="B6632" s="6" t="str">
        <f>'Lineal Mixto'!$C$1588</f>
      </c>
      <c r="C6632" s="6" t="str">
        <f>'Lineal Mixto'!$C$1589</f>
      </c>
      <c r="D6632" s="6" t="str">
        <f>MIN(INT(B6632*5),4)</f>
      </c>
      <c r="E6632" s="6" t="str">
        <f>MIN(INT(C6632*5),4)</f>
      </c>
      <c r="F6632" s="6" t="str">
        <f>D6632*5+E6632</f>
      </c>
    </row>
    <row r="6633">
      <c r="A6633" s="5">
        <v>1585</v>
      </c>
      <c r="B6633" s="5" t="str">
        <f>'Lineal Mixto'!$C$1589</f>
      </c>
      <c r="C6633" s="5" t="str">
        <f>'Lineal Mixto'!$C$1590</f>
      </c>
      <c r="D6633" s="5" t="str">
        <f>MIN(INT(B6633*5),4)</f>
      </c>
      <c r="E6633" s="5" t="str">
        <f>MIN(INT(C6633*5),4)</f>
      </c>
      <c r="F6633" s="5" t="str">
        <f>D6633*5+E6633</f>
      </c>
    </row>
    <row r="6634">
      <c r="A6634" s="6">
        <v>1586</v>
      </c>
      <c r="B6634" s="6" t="str">
        <f>'Lineal Mixto'!$C$1590</f>
      </c>
      <c r="C6634" s="6" t="str">
        <f>'Lineal Mixto'!$C$1591</f>
      </c>
      <c r="D6634" s="6" t="str">
        <f>MIN(INT(B6634*5),4)</f>
      </c>
      <c r="E6634" s="6" t="str">
        <f>MIN(INT(C6634*5),4)</f>
      </c>
      <c r="F6634" s="6" t="str">
        <f>D6634*5+E6634</f>
      </c>
    </row>
    <row r="6635">
      <c r="A6635" s="5">
        <v>1587</v>
      </c>
      <c r="B6635" s="5" t="str">
        <f>'Lineal Mixto'!$C$1591</f>
      </c>
      <c r="C6635" s="5" t="str">
        <f>'Lineal Mixto'!$C$1592</f>
      </c>
      <c r="D6635" s="5" t="str">
        <f>MIN(INT(B6635*5),4)</f>
      </c>
      <c r="E6635" s="5" t="str">
        <f>MIN(INT(C6635*5),4)</f>
      </c>
      <c r="F6635" s="5" t="str">
        <f>D6635*5+E6635</f>
      </c>
    </row>
    <row r="6636">
      <c r="A6636" s="6">
        <v>1588</v>
      </c>
      <c r="B6636" s="6" t="str">
        <f>'Lineal Mixto'!$C$1592</f>
      </c>
      <c r="C6636" s="6" t="str">
        <f>'Lineal Mixto'!$C$1593</f>
      </c>
      <c r="D6636" s="6" t="str">
        <f>MIN(INT(B6636*5),4)</f>
      </c>
      <c r="E6636" s="6" t="str">
        <f>MIN(INT(C6636*5),4)</f>
      </c>
      <c r="F6636" s="6" t="str">
        <f>D6636*5+E6636</f>
      </c>
    </row>
    <row r="6637">
      <c r="A6637" s="5">
        <v>1589</v>
      </c>
      <c r="B6637" s="5" t="str">
        <f>'Lineal Mixto'!$C$1593</f>
      </c>
      <c r="C6637" s="5" t="str">
        <f>'Lineal Mixto'!$C$1594</f>
      </c>
      <c r="D6637" s="5" t="str">
        <f>MIN(INT(B6637*5),4)</f>
      </c>
      <c r="E6637" s="5" t="str">
        <f>MIN(INT(C6637*5),4)</f>
      </c>
      <c r="F6637" s="5" t="str">
        <f>D6637*5+E6637</f>
      </c>
    </row>
    <row r="6638">
      <c r="A6638" s="6">
        <v>1590</v>
      </c>
      <c r="B6638" s="6" t="str">
        <f>'Lineal Mixto'!$C$1594</f>
      </c>
      <c r="C6638" s="6" t="str">
        <f>'Lineal Mixto'!$C$1595</f>
      </c>
      <c r="D6638" s="6" t="str">
        <f>MIN(INT(B6638*5),4)</f>
      </c>
      <c r="E6638" s="6" t="str">
        <f>MIN(INT(C6638*5),4)</f>
      </c>
      <c r="F6638" s="6" t="str">
        <f>D6638*5+E6638</f>
      </c>
    </row>
    <row r="6639">
      <c r="A6639" s="5">
        <v>1591</v>
      </c>
      <c r="B6639" s="5" t="str">
        <f>'Lineal Mixto'!$C$1595</f>
      </c>
      <c r="C6639" s="5" t="str">
        <f>'Lineal Mixto'!$C$1596</f>
      </c>
      <c r="D6639" s="5" t="str">
        <f>MIN(INT(B6639*5),4)</f>
      </c>
      <c r="E6639" s="5" t="str">
        <f>MIN(INT(C6639*5),4)</f>
      </c>
      <c r="F6639" s="5" t="str">
        <f>D6639*5+E6639</f>
      </c>
    </row>
    <row r="6640">
      <c r="A6640" s="6">
        <v>1592</v>
      </c>
      <c r="B6640" s="6" t="str">
        <f>'Lineal Mixto'!$C$1596</f>
      </c>
      <c r="C6640" s="6" t="str">
        <f>'Lineal Mixto'!$C$1597</f>
      </c>
      <c r="D6640" s="6" t="str">
        <f>MIN(INT(B6640*5),4)</f>
      </c>
      <c r="E6640" s="6" t="str">
        <f>MIN(INT(C6640*5),4)</f>
      </c>
      <c r="F6640" s="6" t="str">
        <f>D6640*5+E6640</f>
      </c>
    </row>
    <row r="6641">
      <c r="A6641" s="5">
        <v>1593</v>
      </c>
      <c r="B6641" s="5" t="str">
        <f>'Lineal Mixto'!$C$1597</f>
      </c>
      <c r="C6641" s="5" t="str">
        <f>'Lineal Mixto'!$C$1598</f>
      </c>
      <c r="D6641" s="5" t="str">
        <f>MIN(INT(B6641*5),4)</f>
      </c>
      <c r="E6641" s="5" t="str">
        <f>MIN(INT(C6641*5),4)</f>
      </c>
      <c r="F6641" s="5" t="str">
        <f>D6641*5+E6641</f>
      </c>
    </row>
    <row r="6642">
      <c r="A6642" s="6">
        <v>1594</v>
      </c>
      <c r="B6642" s="6" t="str">
        <f>'Lineal Mixto'!$C$1598</f>
      </c>
      <c r="C6642" s="6" t="str">
        <f>'Lineal Mixto'!$C$1599</f>
      </c>
      <c r="D6642" s="6" t="str">
        <f>MIN(INT(B6642*5),4)</f>
      </c>
      <c r="E6642" s="6" t="str">
        <f>MIN(INT(C6642*5),4)</f>
      </c>
      <c r="F6642" s="6" t="str">
        <f>D6642*5+E6642</f>
      </c>
    </row>
    <row r="6643">
      <c r="A6643" s="5">
        <v>1595</v>
      </c>
      <c r="B6643" s="5" t="str">
        <f>'Lineal Mixto'!$C$1599</f>
      </c>
      <c r="C6643" s="5" t="str">
        <f>'Lineal Mixto'!$C$1600</f>
      </c>
      <c r="D6643" s="5" t="str">
        <f>MIN(INT(B6643*5),4)</f>
      </c>
      <c r="E6643" s="5" t="str">
        <f>MIN(INT(C6643*5),4)</f>
      </c>
      <c r="F6643" s="5" t="str">
        <f>D6643*5+E6643</f>
      </c>
    </row>
    <row r="6644">
      <c r="A6644" s="6">
        <v>1596</v>
      </c>
      <c r="B6644" s="6" t="str">
        <f>'Lineal Mixto'!$C$1600</f>
      </c>
      <c r="C6644" s="6" t="str">
        <f>'Lineal Mixto'!$C$1601</f>
      </c>
      <c r="D6644" s="6" t="str">
        <f>MIN(INT(B6644*5),4)</f>
      </c>
      <c r="E6644" s="6" t="str">
        <f>MIN(INT(C6644*5),4)</f>
      </c>
      <c r="F6644" s="6" t="str">
        <f>D6644*5+E6644</f>
      </c>
    </row>
    <row r="6645">
      <c r="A6645" s="5">
        <v>1597</v>
      </c>
      <c r="B6645" s="5" t="str">
        <f>'Lineal Mixto'!$C$1601</f>
      </c>
      <c r="C6645" s="5" t="str">
        <f>'Lineal Mixto'!$C$1602</f>
      </c>
      <c r="D6645" s="5" t="str">
        <f>MIN(INT(B6645*5),4)</f>
      </c>
      <c r="E6645" s="5" t="str">
        <f>MIN(INT(C6645*5),4)</f>
      </c>
      <c r="F6645" s="5" t="str">
        <f>D6645*5+E6645</f>
      </c>
    </row>
    <row r="6646">
      <c r="A6646" s="6">
        <v>1598</v>
      </c>
      <c r="B6646" s="6" t="str">
        <f>'Lineal Mixto'!$C$1602</f>
      </c>
      <c r="C6646" s="6" t="str">
        <f>'Lineal Mixto'!$C$1603</f>
      </c>
      <c r="D6646" s="6" t="str">
        <f>MIN(INT(B6646*5),4)</f>
      </c>
      <c r="E6646" s="6" t="str">
        <f>MIN(INT(C6646*5),4)</f>
      </c>
      <c r="F6646" s="6" t="str">
        <f>D6646*5+E6646</f>
      </c>
    </row>
    <row r="6647">
      <c r="A6647" s="5">
        <v>1599</v>
      </c>
      <c r="B6647" s="5" t="str">
        <f>'Lineal Mixto'!$C$1603</f>
      </c>
      <c r="C6647" s="5" t="str">
        <f>'Lineal Mixto'!$C$1604</f>
      </c>
      <c r="D6647" s="5" t="str">
        <f>MIN(INT(B6647*5),4)</f>
      </c>
      <c r="E6647" s="5" t="str">
        <f>MIN(INT(C6647*5),4)</f>
      </c>
      <c r="F6647" s="5" t="str">
        <f>D6647*5+E6647</f>
      </c>
    </row>
    <row r="6648">
      <c r="A6648" s="6">
        <v>1600</v>
      </c>
      <c r="B6648" s="6" t="str">
        <f>'Lineal Mixto'!$C$1604</f>
      </c>
      <c r="C6648" s="6" t="str">
        <f>'Lineal Mixto'!$C$1605</f>
      </c>
      <c r="D6648" s="6" t="str">
        <f>MIN(INT(B6648*5),4)</f>
      </c>
      <c r="E6648" s="6" t="str">
        <f>MIN(INT(C6648*5),4)</f>
      </c>
      <c r="F6648" s="6" t="str">
        <f>D6648*5+E6648</f>
      </c>
    </row>
    <row r="6649">
      <c r="A6649" s="5">
        <v>1601</v>
      </c>
      <c r="B6649" s="5" t="str">
        <f>'Lineal Mixto'!$C$1605</f>
      </c>
      <c r="C6649" s="5" t="str">
        <f>'Lineal Mixto'!$C$1606</f>
      </c>
      <c r="D6649" s="5" t="str">
        <f>MIN(INT(B6649*5),4)</f>
      </c>
      <c r="E6649" s="5" t="str">
        <f>MIN(INT(C6649*5),4)</f>
      </c>
      <c r="F6649" s="5" t="str">
        <f>D6649*5+E6649</f>
      </c>
    </row>
    <row r="6650">
      <c r="A6650" s="6">
        <v>1602</v>
      </c>
      <c r="B6650" s="6" t="str">
        <f>'Lineal Mixto'!$C$1606</f>
      </c>
      <c r="C6650" s="6" t="str">
        <f>'Lineal Mixto'!$C$1607</f>
      </c>
      <c r="D6650" s="6" t="str">
        <f>MIN(INT(B6650*5),4)</f>
      </c>
      <c r="E6650" s="6" t="str">
        <f>MIN(INT(C6650*5),4)</f>
      </c>
      <c r="F6650" s="6" t="str">
        <f>D6650*5+E6650</f>
      </c>
    </row>
    <row r="6651">
      <c r="A6651" s="5">
        <v>1603</v>
      </c>
      <c r="B6651" s="5" t="str">
        <f>'Lineal Mixto'!$C$1607</f>
      </c>
      <c r="C6651" s="5" t="str">
        <f>'Lineal Mixto'!$C$1608</f>
      </c>
      <c r="D6651" s="5" t="str">
        <f>MIN(INT(B6651*5),4)</f>
      </c>
      <c r="E6651" s="5" t="str">
        <f>MIN(INT(C6651*5),4)</f>
      </c>
      <c r="F6651" s="5" t="str">
        <f>D6651*5+E6651</f>
      </c>
    </row>
    <row r="6652">
      <c r="A6652" s="6">
        <v>1604</v>
      </c>
      <c r="B6652" s="6" t="str">
        <f>'Lineal Mixto'!$C$1608</f>
      </c>
      <c r="C6652" s="6" t="str">
        <f>'Lineal Mixto'!$C$1609</f>
      </c>
      <c r="D6652" s="6" t="str">
        <f>MIN(INT(B6652*5),4)</f>
      </c>
      <c r="E6652" s="6" t="str">
        <f>MIN(INT(C6652*5),4)</f>
      </c>
      <c r="F6652" s="6" t="str">
        <f>D6652*5+E6652</f>
      </c>
    </row>
    <row r="6653">
      <c r="A6653" s="5">
        <v>1605</v>
      </c>
      <c r="B6653" s="5" t="str">
        <f>'Lineal Mixto'!$C$1609</f>
      </c>
      <c r="C6653" s="5" t="str">
        <f>'Lineal Mixto'!$C$1610</f>
      </c>
      <c r="D6653" s="5" t="str">
        <f>MIN(INT(B6653*5),4)</f>
      </c>
      <c r="E6653" s="5" t="str">
        <f>MIN(INT(C6653*5),4)</f>
      </c>
      <c r="F6653" s="5" t="str">
        <f>D6653*5+E6653</f>
      </c>
    </row>
    <row r="6654">
      <c r="A6654" s="6">
        <v>1606</v>
      </c>
      <c r="B6654" s="6" t="str">
        <f>'Lineal Mixto'!$C$1610</f>
      </c>
      <c r="C6654" s="6" t="str">
        <f>'Lineal Mixto'!$C$1611</f>
      </c>
      <c r="D6654" s="6" t="str">
        <f>MIN(INT(B6654*5),4)</f>
      </c>
      <c r="E6654" s="6" t="str">
        <f>MIN(INT(C6654*5),4)</f>
      </c>
      <c r="F6654" s="6" t="str">
        <f>D6654*5+E6654</f>
      </c>
    </row>
    <row r="6655">
      <c r="A6655" s="5">
        <v>1607</v>
      </c>
      <c r="B6655" s="5" t="str">
        <f>'Lineal Mixto'!$C$1611</f>
      </c>
      <c r="C6655" s="5" t="str">
        <f>'Lineal Mixto'!$C$1612</f>
      </c>
      <c r="D6655" s="5" t="str">
        <f>MIN(INT(B6655*5),4)</f>
      </c>
      <c r="E6655" s="5" t="str">
        <f>MIN(INT(C6655*5),4)</f>
      </c>
      <c r="F6655" s="5" t="str">
        <f>D6655*5+E6655</f>
      </c>
    </row>
    <row r="6656">
      <c r="A6656" s="6">
        <v>1608</v>
      </c>
      <c r="B6656" s="6" t="str">
        <f>'Lineal Mixto'!$C$1612</f>
      </c>
      <c r="C6656" s="6" t="str">
        <f>'Lineal Mixto'!$C$1613</f>
      </c>
      <c r="D6656" s="6" t="str">
        <f>MIN(INT(B6656*5),4)</f>
      </c>
      <c r="E6656" s="6" t="str">
        <f>MIN(INT(C6656*5),4)</f>
      </c>
      <c r="F6656" s="6" t="str">
        <f>D6656*5+E6656</f>
      </c>
    </row>
    <row r="6657">
      <c r="A6657" s="5">
        <v>1609</v>
      </c>
      <c r="B6657" s="5" t="str">
        <f>'Lineal Mixto'!$C$1613</f>
      </c>
      <c r="C6657" s="5" t="str">
        <f>'Lineal Mixto'!$C$1614</f>
      </c>
      <c r="D6657" s="5" t="str">
        <f>MIN(INT(B6657*5),4)</f>
      </c>
      <c r="E6657" s="5" t="str">
        <f>MIN(INT(C6657*5),4)</f>
      </c>
      <c r="F6657" s="5" t="str">
        <f>D6657*5+E6657</f>
      </c>
    </row>
    <row r="6658">
      <c r="A6658" s="6">
        <v>1610</v>
      </c>
      <c r="B6658" s="6" t="str">
        <f>'Lineal Mixto'!$C$1614</f>
      </c>
      <c r="C6658" s="6" t="str">
        <f>'Lineal Mixto'!$C$1615</f>
      </c>
      <c r="D6658" s="6" t="str">
        <f>MIN(INT(B6658*5),4)</f>
      </c>
      <c r="E6658" s="6" t="str">
        <f>MIN(INT(C6658*5),4)</f>
      </c>
      <c r="F6658" s="6" t="str">
        <f>D6658*5+E6658</f>
      </c>
    </row>
    <row r="6659">
      <c r="A6659" s="5">
        <v>1611</v>
      </c>
      <c r="B6659" s="5" t="str">
        <f>'Lineal Mixto'!$C$1615</f>
      </c>
      <c r="C6659" s="5" t="str">
        <f>'Lineal Mixto'!$C$1616</f>
      </c>
      <c r="D6659" s="5" t="str">
        <f>MIN(INT(B6659*5),4)</f>
      </c>
      <c r="E6659" s="5" t="str">
        <f>MIN(INT(C6659*5),4)</f>
      </c>
      <c r="F6659" s="5" t="str">
        <f>D6659*5+E6659</f>
      </c>
    </row>
    <row r="6660">
      <c r="A6660" s="6">
        <v>1612</v>
      </c>
      <c r="B6660" s="6" t="str">
        <f>'Lineal Mixto'!$C$1616</f>
      </c>
      <c r="C6660" s="6" t="str">
        <f>'Lineal Mixto'!$C$1617</f>
      </c>
      <c r="D6660" s="6" t="str">
        <f>MIN(INT(B6660*5),4)</f>
      </c>
      <c r="E6660" s="6" t="str">
        <f>MIN(INT(C6660*5),4)</f>
      </c>
      <c r="F6660" s="6" t="str">
        <f>D6660*5+E6660</f>
      </c>
    </row>
    <row r="6661">
      <c r="A6661" s="5">
        <v>1613</v>
      </c>
      <c r="B6661" s="5" t="str">
        <f>'Lineal Mixto'!$C$1617</f>
      </c>
      <c r="C6661" s="5" t="str">
        <f>'Lineal Mixto'!$C$1618</f>
      </c>
      <c r="D6661" s="5" t="str">
        <f>MIN(INT(B6661*5),4)</f>
      </c>
      <c r="E6661" s="5" t="str">
        <f>MIN(INT(C6661*5),4)</f>
      </c>
      <c r="F6661" s="5" t="str">
        <f>D6661*5+E6661</f>
      </c>
    </row>
    <row r="6662">
      <c r="A6662" s="6">
        <v>1614</v>
      </c>
      <c r="B6662" s="6" t="str">
        <f>'Lineal Mixto'!$C$1618</f>
      </c>
      <c r="C6662" s="6" t="str">
        <f>'Lineal Mixto'!$C$1619</f>
      </c>
      <c r="D6662" s="6" t="str">
        <f>MIN(INT(B6662*5),4)</f>
      </c>
      <c r="E6662" s="6" t="str">
        <f>MIN(INT(C6662*5),4)</f>
      </c>
      <c r="F6662" s="6" t="str">
        <f>D6662*5+E6662</f>
      </c>
    </row>
    <row r="6663">
      <c r="A6663" s="5">
        <v>1615</v>
      </c>
      <c r="B6663" s="5" t="str">
        <f>'Lineal Mixto'!$C$1619</f>
      </c>
      <c r="C6663" s="5" t="str">
        <f>'Lineal Mixto'!$C$1620</f>
      </c>
      <c r="D6663" s="5" t="str">
        <f>MIN(INT(B6663*5),4)</f>
      </c>
      <c r="E6663" s="5" t="str">
        <f>MIN(INT(C6663*5),4)</f>
      </c>
      <c r="F6663" s="5" t="str">
        <f>D6663*5+E6663</f>
      </c>
    </row>
    <row r="6664">
      <c r="A6664" s="6">
        <v>1616</v>
      </c>
      <c r="B6664" s="6" t="str">
        <f>'Lineal Mixto'!$C$1620</f>
      </c>
      <c r="C6664" s="6" t="str">
        <f>'Lineal Mixto'!$C$1621</f>
      </c>
      <c r="D6664" s="6" t="str">
        <f>MIN(INT(B6664*5),4)</f>
      </c>
      <c r="E6664" s="6" t="str">
        <f>MIN(INT(C6664*5),4)</f>
      </c>
      <c r="F6664" s="6" t="str">
        <f>D6664*5+E6664</f>
      </c>
    </row>
    <row r="6665">
      <c r="A6665" s="5">
        <v>1617</v>
      </c>
      <c r="B6665" s="5" t="str">
        <f>'Lineal Mixto'!$C$1621</f>
      </c>
      <c r="C6665" s="5" t="str">
        <f>'Lineal Mixto'!$C$1622</f>
      </c>
      <c r="D6665" s="5" t="str">
        <f>MIN(INT(B6665*5),4)</f>
      </c>
      <c r="E6665" s="5" t="str">
        <f>MIN(INT(C6665*5),4)</f>
      </c>
      <c r="F6665" s="5" t="str">
        <f>D6665*5+E6665</f>
      </c>
    </row>
    <row r="6666">
      <c r="A6666" s="6">
        <v>1618</v>
      </c>
      <c r="B6666" s="6" t="str">
        <f>'Lineal Mixto'!$C$1622</f>
      </c>
      <c r="C6666" s="6" t="str">
        <f>'Lineal Mixto'!$C$1623</f>
      </c>
      <c r="D6666" s="6" t="str">
        <f>MIN(INT(B6666*5),4)</f>
      </c>
      <c r="E6666" s="6" t="str">
        <f>MIN(INT(C6666*5),4)</f>
      </c>
      <c r="F6666" s="6" t="str">
        <f>D6666*5+E6666</f>
      </c>
    </row>
    <row r="6667">
      <c r="A6667" s="5">
        <v>1619</v>
      </c>
      <c r="B6667" s="5" t="str">
        <f>'Lineal Mixto'!$C$1623</f>
      </c>
      <c r="C6667" s="5" t="str">
        <f>'Lineal Mixto'!$C$1624</f>
      </c>
      <c r="D6667" s="5" t="str">
        <f>MIN(INT(B6667*5),4)</f>
      </c>
      <c r="E6667" s="5" t="str">
        <f>MIN(INT(C6667*5),4)</f>
      </c>
      <c r="F6667" s="5" t="str">
        <f>D6667*5+E6667</f>
      </c>
    </row>
    <row r="6668">
      <c r="A6668" s="6">
        <v>1620</v>
      </c>
      <c r="B6668" s="6" t="str">
        <f>'Lineal Mixto'!$C$1624</f>
      </c>
      <c r="C6668" s="6" t="str">
        <f>'Lineal Mixto'!$C$1625</f>
      </c>
      <c r="D6668" s="6" t="str">
        <f>MIN(INT(B6668*5),4)</f>
      </c>
      <c r="E6668" s="6" t="str">
        <f>MIN(INT(C6668*5),4)</f>
      </c>
      <c r="F6668" s="6" t="str">
        <f>D6668*5+E6668</f>
      </c>
    </row>
    <row r="6669">
      <c r="A6669" s="5">
        <v>1621</v>
      </c>
      <c r="B6669" s="5" t="str">
        <f>'Lineal Mixto'!$C$1625</f>
      </c>
      <c r="C6669" s="5" t="str">
        <f>'Lineal Mixto'!$C$1626</f>
      </c>
      <c r="D6669" s="5" t="str">
        <f>MIN(INT(B6669*5),4)</f>
      </c>
      <c r="E6669" s="5" t="str">
        <f>MIN(INT(C6669*5),4)</f>
      </c>
      <c r="F6669" s="5" t="str">
        <f>D6669*5+E6669</f>
      </c>
    </row>
    <row r="6670">
      <c r="A6670" s="6">
        <v>1622</v>
      </c>
      <c r="B6670" s="6" t="str">
        <f>'Lineal Mixto'!$C$1626</f>
      </c>
      <c r="C6670" s="6" t="str">
        <f>'Lineal Mixto'!$C$1627</f>
      </c>
      <c r="D6670" s="6" t="str">
        <f>MIN(INT(B6670*5),4)</f>
      </c>
      <c r="E6670" s="6" t="str">
        <f>MIN(INT(C6670*5),4)</f>
      </c>
      <c r="F6670" s="6" t="str">
        <f>D6670*5+E6670</f>
      </c>
    </row>
    <row r="6671">
      <c r="A6671" s="5">
        <v>1623</v>
      </c>
      <c r="B6671" s="5" t="str">
        <f>'Lineal Mixto'!$C$1627</f>
      </c>
      <c r="C6671" s="5" t="str">
        <f>'Lineal Mixto'!$C$1628</f>
      </c>
      <c r="D6671" s="5" t="str">
        <f>MIN(INT(B6671*5),4)</f>
      </c>
      <c r="E6671" s="5" t="str">
        <f>MIN(INT(C6671*5),4)</f>
      </c>
      <c r="F6671" s="5" t="str">
        <f>D6671*5+E6671</f>
      </c>
    </row>
    <row r="6672">
      <c r="A6672" s="6">
        <v>1624</v>
      </c>
      <c r="B6672" s="6" t="str">
        <f>'Lineal Mixto'!$C$1628</f>
      </c>
      <c r="C6672" s="6" t="str">
        <f>'Lineal Mixto'!$C$1629</f>
      </c>
      <c r="D6672" s="6" t="str">
        <f>MIN(INT(B6672*5),4)</f>
      </c>
      <c r="E6672" s="6" t="str">
        <f>MIN(INT(C6672*5),4)</f>
      </c>
      <c r="F6672" s="6" t="str">
        <f>D6672*5+E6672</f>
      </c>
    </row>
    <row r="6673">
      <c r="A6673" s="5">
        <v>1625</v>
      </c>
      <c r="B6673" s="5" t="str">
        <f>'Lineal Mixto'!$C$1629</f>
      </c>
      <c r="C6673" s="5" t="str">
        <f>'Lineal Mixto'!$C$1630</f>
      </c>
      <c r="D6673" s="5" t="str">
        <f>MIN(INT(B6673*5),4)</f>
      </c>
      <c r="E6673" s="5" t="str">
        <f>MIN(INT(C6673*5),4)</f>
      </c>
      <c r="F6673" s="5" t="str">
        <f>D6673*5+E6673</f>
      </c>
    </row>
    <row r="6674">
      <c r="A6674" s="6">
        <v>1626</v>
      </c>
      <c r="B6674" s="6" t="str">
        <f>'Lineal Mixto'!$C$1630</f>
      </c>
      <c r="C6674" s="6" t="str">
        <f>'Lineal Mixto'!$C$1631</f>
      </c>
      <c r="D6674" s="6" t="str">
        <f>MIN(INT(B6674*5),4)</f>
      </c>
      <c r="E6674" s="6" t="str">
        <f>MIN(INT(C6674*5),4)</f>
      </c>
      <c r="F6674" s="6" t="str">
        <f>D6674*5+E6674</f>
      </c>
    </row>
    <row r="6675">
      <c r="A6675" s="5">
        <v>1627</v>
      </c>
      <c r="B6675" s="5" t="str">
        <f>'Lineal Mixto'!$C$1631</f>
      </c>
      <c r="C6675" s="5" t="str">
        <f>'Lineal Mixto'!$C$1632</f>
      </c>
      <c r="D6675" s="5" t="str">
        <f>MIN(INT(B6675*5),4)</f>
      </c>
      <c r="E6675" s="5" t="str">
        <f>MIN(INT(C6675*5),4)</f>
      </c>
      <c r="F6675" s="5" t="str">
        <f>D6675*5+E6675</f>
      </c>
    </row>
    <row r="6676">
      <c r="A6676" s="6">
        <v>1628</v>
      </c>
      <c r="B6676" s="6" t="str">
        <f>'Lineal Mixto'!$C$1632</f>
      </c>
      <c r="C6676" s="6" t="str">
        <f>'Lineal Mixto'!$C$1633</f>
      </c>
      <c r="D6676" s="6" t="str">
        <f>MIN(INT(B6676*5),4)</f>
      </c>
      <c r="E6676" s="6" t="str">
        <f>MIN(INT(C6676*5),4)</f>
      </c>
      <c r="F6676" s="6" t="str">
        <f>D6676*5+E6676</f>
      </c>
    </row>
    <row r="6677">
      <c r="A6677" s="5">
        <v>1629</v>
      </c>
      <c r="B6677" s="5" t="str">
        <f>'Lineal Mixto'!$C$1633</f>
      </c>
      <c r="C6677" s="5" t="str">
        <f>'Lineal Mixto'!$C$1634</f>
      </c>
      <c r="D6677" s="5" t="str">
        <f>MIN(INT(B6677*5),4)</f>
      </c>
      <c r="E6677" s="5" t="str">
        <f>MIN(INT(C6677*5),4)</f>
      </c>
      <c r="F6677" s="5" t="str">
        <f>D6677*5+E6677</f>
      </c>
    </row>
    <row r="6678">
      <c r="A6678" s="6">
        <v>1630</v>
      </c>
      <c r="B6678" s="6" t="str">
        <f>'Lineal Mixto'!$C$1634</f>
      </c>
      <c r="C6678" s="6" t="str">
        <f>'Lineal Mixto'!$C$1635</f>
      </c>
      <c r="D6678" s="6" t="str">
        <f>MIN(INT(B6678*5),4)</f>
      </c>
      <c r="E6678" s="6" t="str">
        <f>MIN(INT(C6678*5),4)</f>
      </c>
      <c r="F6678" s="6" t="str">
        <f>D6678*5+E6678</f>
      </c>
    </row>
    <row r="6679">
      <c r="A6679" s="5">
        <v>1631</v>
      </c>
      <c r="B6679" s="5" t="str">
        <f>'Lineal Mixto'!$C$1635</f>
      </c>
      <c r="C6679" s="5" t="str">
        <f>'Lineal Mixto'!$C$1636</f>
      </c>
      <c r="D6679" s="5" t="str">
        <f>MIN(INT(B6679*5),4)</f>
      </c>
      <c r="E6679" s="5" t="str">
        <f>MIN(INT(C6679*5),4)</f>
      </c>
      <c r="F6679" s="5" t="str">
        <f>D6679*5+E6679</f>
      </c>
    </row>
    <row r="6680">
      <c r="A6680" s="6">
        <v>1632</v>
      </c>
      <c r="B6680" s="6" t="str">
        <f>'Lineal Mixto'!$C$1636</f>
      </c>
      <c r="C6680" s="6" t="str">
        <f>'Lineal Mixto'!$C$1637</f>
      </c>
      <c r="D6680" s="6" t="str">
        <f>MIN(INT(B6680*5),4)</f>
      </c>
      <c r="E6680" s="6" t="str">
        <f>MIN(INT(C6680*5),4)</f>
      </c>
      <c r="F6680" s="6" t="str">
        <f>D6680*5+E6680</f>
      </c>
    </row>
    <row r="6681">
      <c r="A6681" s="5">
        <v>1633</v>
      </c>
      <c r="B6681" s="5" t="str">
        <f>'Lineal Mixto'!$C$1637</f>
      </c>
      <c r="C6681" s="5" t="str">
        <f>'Lineal Mixto'!$C$1638</f>
      </c>
      <c r="D6681" s="5" t="str">
        <f>MIN(INT(B6681*5),4)</f>
      </c>
      <c r="E6681" s="5" t="str">
        <f>MIN(INT(C6681*5),4)</f>
      </c>
      <c r="F6681" s="5" t="str">
        <f>D6681*5+E6681</f>
      </c>
    </row>
    <row r="6682">
      <c r="A6682" s="6">
        <v>1634</v>
      </c>
      <c r="B6682" s="6" t="str">
        <f>'Lineal Mixto'!$C$1638</f>
      </c>
      <c r="C6682" s="6" t="str">
        <f>'Lineal Mixto'!$C$1639</f>
      </c>
      <c r="D6682" s="6" t="str">
        <f>MIN(INT(B6682*5),4)</f>
      </c>
      <c r="E6682" s="6" t="str">
        <f>MIN(INT(C6682*5),4)</f>
      </c>
      <c r="F6682" s="6" t="str">
        <f>D6682*5+E6682</f>
      </c>
    </row>
    <row r="6683">
      <c r="A6683" s="5">
        <v>1635</v>
      </c>
      <c r="B6683" s="5" t="str">
        <f>'Lineal Mixto'!$C$1639</f>
      </c>
      <c r="C6683" s="5" t="str">
        <f>'Lineal Mixto'!$C$1640</f>
      </c>
      <c r="D6683" s="5" t="str">
        <f>MIN(INT(B6683*5),4)</f>
      </c>
      <c r="E6683" s="5" t="str">
        <f>MIN(INT(C6683*5),4)</f>
      </c>
      <c r="F6683" s="5" t="str">
        <f>D6683*5+E6683</f>
      </c>
    </row>
    <row r="6684">
      <c r="A6684" s="6">
        <v>1636</v>
      </c>
      <c r="B6684" s="6" t="str">
        <f>'Lineal Mixto'!$C$1640</f>
      </c>
      <c r="C6684" s="6" t="str">
        <f>'Lineal Mixto'!$C$1641</f>
      </c>
      <c r="D6684" s="6" t="str">
        <f>MIN(INT(B6684*5),4)</f>
      </c>
      <c r="E6684" s="6" t="str">
        <f>MIN(INT(C6684*5),4)</f>
      </c>
      <c r="F6684" s="6" t="str">
        <f>D6684*5+E6684</f>
      </c>
    </row>
    <row r="6685">
      <c r="A6685" s="5">
        <v>1637</v>
      </c>
      <c r="B6685" s="5" t="str">
        <f>'Lineal Mixto'!$C$1641</f>
      </c>
      <c r="C6685" s="5" t="str">
        <f>'Lineal Mixto'!$C$1642</f>
      </c>
      <c r="D6685" s="5" t="str">
        <f>MIN(INT(B6685*5),4)</f>
      </c>
      <c r="E6685" s="5" t="str">
        <f>MIN(INT(C6685*5),4)</f>
      </c>
      <c r="F6685" s="5" t="str">
        <f>D6685*5+E6685</f>
      </c>
    </row>
    <row r="6686">
      <c r="A6686" s="6">
        <v>1638</v>
      </c>
      <c r="B6686" s="6" t="str">
        <f>'Lineal Mixto'!$C$1642</f>
      </c>
      <c r="C6686" s="6" t="str">
        <f>'Lineal Mixto'!$C$1643</f>
      </c>
      <c r="D6686" s="6" t="str">
        <f>MIN(INT(B6686*5),4)</f>
      </c>
      <c r="E6686" s="6" t="str">
        <f>MIN(INT(C6686*5),4)</f>
      </c>
      <c r="F6686" s="6" t="str">
        <f>D6686*5+E6686</f>
      </c>
    </row>
    <row r="6687">
      <c r="A6687" s="5">
        <v>1639</v>
      </c>
      <c r="B6687" s="5" t="str">
        <f>'Lineal Mixto'!$C$1643</f>
      </c>
      <c r="C6687" s="5" t="str">
        <f>'Lineal Mixto'!$C$1644</f>
      </c>
      <c r="D6687" s="5" t="str">
        <f>MIN(INT(B6687*5),4)</f>
      </c>
      <c r="E6687" s="5" t="str">
        <f>MIN(INT(C6687*5),4)</f>
      </c>
      <c r="F6687" s="5" t="str">
        <f>D6687*5+E6687</f>
      </c>
    </row>
    <row r="6688">
      <c r="A6688" s="6">
        <v>1640</v>
      </c>
      <c r="B6688" s="6" t="str">
        <f>'Lineal Mixto'!$C$1644</f>
      </c>
      <c r="C6688" s="6" t="str">
        <f>'Lineal Mixto'!$C$1645</f>
      </c>
      <c r="D6688" s="6" t="str">
        <f>MIN(INT(B6688*5),4)</f>
      </c>
      <c r="E6688" s="6" t="str">
        <f>MIN(INT(C6688*5),4)</f>
      </c>
      <c r="F6688" s="6" t="str">
        <f>D6688*5+E6688</f>
      </c>
    </row>
    <row r="6689">
      <c r="A6689" s="5">
        <v>1641</v>
      </c>
      <c r="B6689" s="5" t="str">
        <f>'Lineal Mixto'!$C$1645</f>
      </c>
      <c r="C6689" s="5" t="str">
        <f>'Lineal Mixto'!$C$1646</f>
      </c>
      <c r="D6689" s="5" t="str">
        <f>MIN(INT(B6689*5),4)</f>
      </c>
      <c r="E6689" s="5" t="str">
        <f>MIN(INT(C6689*5),4)</f>
      </c>
      <c r="F6689" s="5" t="str">
        <f>D6689*5+E6689</f>
      </c>
    </row>
    <row r="6690">
      <c r="A6690" s="6">
        <v>1642</v>
      </c>
      <c r="B6690" s="6" t="str">
        <f>'Lineal Mixto'!$C$1646</f>
      </c>
      <c r="C6690" s="6" t="str">
        <f>'Lineal Mixto'!$C$1647</f>
      </c>
      <c r="D6690" s="6" t="str">
        <f>MIN(INT(B6690*5),4)</f>
      </c>
      <c r="E6690" s="6" t="str">
        <f>MIN(INT(C6690*5),4)</f>
      </c>
      <c r="F6690" s="6" t="str">
        <f>D6690*5+E6690</f>
      </c>
    </row>
    <row r="6691">
      <c r="A6691" s="5">
        <v>1643</v>
      </c>
      <c r="B6691" s="5" t="str">
        <f>'Lineal Mixto'!$C$1647</f>
      </c>
      <c r="C6691" s="5" t="str">
        <f>'Lineal Mixto'!$C$1648</f>
      </c>
      <c r="D6691" s="5" t="str">
        <f>MIN(INT(B6691*5),4)</f>
      </c>
      <c r="E6691" s="5" t="str">
        <f>MIN(INT(C6691*5),4)</f>
      </c>
      <c r="F6691" s="5" t="str">
        <f>D6691*5+E6691</f>
      </c>
    </row>
    <row r="6692">
      <c r="A6692" s="6">
        <v>1644</v>
      </c>
      <c r="B6692" s="6" t="str">
        <f>'Lineal Mixto'!$C$1648</f>
      </c>
      <c r="C6692" s="6" t="str">
        <f>'Lineal Mixto'!$C$1649</f>
      </c>
      <c r="D6692" s="6" t="str">
        <f>MIN(INT(B6692*5),4)</f>
      </c>
      <c r="E6692" s="6" t="str">
        <f>MIN(INT(C6692*5),4)</f>
      </c>
      <c r="F6692" s="6" t="str">
        <f>D6692*5+E6692</f>
      </c>
    </row>
    <row r="6693">
      <c r="A6693" s="5">
        <v>1645</v>
      </c>
      <c r="B6693" s="5" t="str">
        <f>'Lineal Mixto'!$C$1649</f>
      </c>
      <c r="C6693" s="5" t="str">
        <f>'Lineal Mixto'!$C$1650</f>
      </c>
      <c r="D6693" s="5" t="str">
        <f>MIN(INT(B6693*5),4)</f>
      </c>
      <c r="E6693" s="5" t="str">
        <f>MIN(INT(C6693*5),4)</f>
      </c>
      <c r="F6693" s="5" t="str">
        <f>D6693*5+E6693</f>
      </c>
    </row>
    <row r="6694">
      <c r="A6694" s="6">
        <v>1646</v>
      </c>
      <c r="B6694" s="6" t="str">
        <f>'Lineal Mixto'!$C$1650</f>
      </c>
      <c r="C6694" s="6" t="str">
        <f>'Lineal Mixto'!$C$1651</f>
      </c>
      <c r="D6694" s="6" t="str">
        <f>MIN(INT(B6694*5),4)</f>
      </c>
      <c r="E6694" s="6" t="str">
        <f>MIN(INT(C6694*5),4)</f>
      </c>
      <c r="F6694" s="6" t="str">
        <f>D6694*5+E6694</f>
      </c>
    </row>
    <row r="6695">
      <c r="A6695" s="5">
        <v>1647</v>
      </c>
      <c r="B6695" s="5" t="str">
        <f>'Lineal Mixto'!$C$1651</f>
      </c>
      <c r="C6695" s="5" t="str">
        <f>'Lineal Mixto'!$C$1652</f>
      </c>
      <c r="D6695" s="5" t="str">
        <f>MIN(INT(B6695*5),4)</f>
      </c>
      <c r="E6695" s="5" t="str">
        <f>MIN(INT(C6695*5),4)</f>
      </c>
      <c r="F6695" s="5" t="str">
        <f>D6695*5+E6695</f>
      </c>
    </row>
    <row r="6696">
      <c r="A6696" s="6">
        <v>1648</v>
      </c>
      <c r="B6696" s="6" t="str">
        <f>'Lineal Mixto'!$C$1652</f>
      </c>
      <c r="C6696" s="6" t="str">
        <f>'Lineal Mixto'!$C$1653</f>
      </c>
      <c r="D6696" s="6" t="str">
        <f>MIN(INT(B6696*5),4)</f>
      </c>
      <c r="E6696" s="6" t="str">
        <f>MIN(INT(C6696*5),4)</f>
      </c>
      <c r="F6696" s="6" t="str">
        <f>D6696*5+E6696</f>
      </c>
    </row>
    <row r="6697">
      <c r="A6697" s="5">
        <v>1649</v>
      </c>
      <c r="B6697" s="5" t="str">
        <f>'Lineal Mixto'!$C$1653</f>
      </c>
      <c r="C6697" s="5" t="str">
        <f>'Lineal Mixto'!$C$1654</f>
      </c>
      <c r="D6697" s="5" t="str">
        <f>MIN(INT(B6697*5),4)</f>
      </c>
      <c r="E6697" s="5" t="str">
        <f>MIN(INT(C6697*5),4)</f>
      </c>
      <c r="F6697" s="5" t="str">
        <f>D6697*5+E6697</f>
      </c>
    </row>
    <row r="6698">
      <c r="A6698" s="6">
        <v>1650</v>
      </c>
      <c r="B6698" s="6" t="str">
        <f>'Lineal Mixto'!$C$1654</f>
      </c>
      <c r="C6698" s="6" t="str">
        <f>'Lineal Mixto'!$C$1655</f>
      </c>
      <c r="D6698" s="6" t="str">
        <f>MIN(INT(B6698*5),4)</f>
      </c>
      <c r="E6698" s="6" t="str">
        <f>MIN(INT(C6698*5),4)</f>
      </c>
      <c r="F6698" s="6" t="str">
        <f>D6698*5+E6698</f>
      </c>
    </row>
    <row r="6699">
      <c r="A6699" s="5">
        <v>1651</v>
      </c>
      <c r="B6699" s="5" t="str">
        <f>'Lineal Mixto'!$C$1655</f>
      </c>
      <c r="C6699" s="5" t="str">
        <f>'Lineal Mixto'!$C$1656</f>
      </c>
      <c r="D6699" s="5" t="str">
        <f>MIN(INT(B6699*5),4)</f>
      </c>
      <c r="E6699" s="5" t="str">
        <f>MIN(INT(C6699*5),4)</f>
      </c>
      <c r="F6699" s="5" t="str">
        <f>D6699*5+E6699</f>
      </c>
    </row>
    <row r="6700">
      <c r="A6700" s="6">
        <v>1652</v>
      </c>
      <c r="B6700" s="6" t="str">
        <f>'Lineal Mixto'!$C$1656</f>
      </c>
      <c r="C6700" s="6" t="str">
        <f>'Lineal Mixto'!$C$1657</f>
      </c>
      <c r="D6700" s="6" t="str">
        <f>MIN(INT(B6700*5),4)</f>
      </c>
      <c r="E6700" s="6" t="str">
        <f>MIN(INT(C6700*5),4)</f>
      </c>
      <c r="F6700" s="6" t="str">
        <f>D6700*5+E6700</f>
      </c>
    </row>
    <row r="6701">
      <c r="A6701" s="5">
        <v>1653</v>
      </c>
      <c r="B6701" s="5" t="str">
        <f>'Lineal Mixto'!$C$1657</f>
      </c>
      <c r="C6701" s="5" t="str">
        <f>'Lineal Mixto'!$C$1658</f>
      </c>
      <c r="D6701" s="5" t="str">
        <f>MIN(INT(B6701*5),4)</f>
      </c>
      <c r="E6701" s="5" t="str">
        <f>MIN(INT(C6701*5),4)</f>
      </c>
      <c r="F6701" s="5" t="str">
        <f>D6701*5+E6701</f>
      </c>
    </row>
    <row r="6702">
      <c r="A6702" s="6">
        <v>1654</v>
      </c>
      <c r="B6702" s="6" t="str">
        <f>'Lineal Mixto'!$C$1658</f>
      </c>
      <c r="C6702" s="6" t="str">
        <f>'Lineal Mixto'!$C$1659</f>
      </c>
      <c r="D6702" s="6" t="str">
        <f>MIN(INT(B6702*5),4)</f>
      </c>
      <c r="E6702" s="6" t="str">
        <f>MIN(INT(C6702*5),4)</f>
      </c>
      <c r="F6702" s="6" t="str">
        <f>D6702*5+E6702</f>
      </c>
    </row>
    <row r="6703">
      <c r="A6703" s="5">
        <v>1655</v>
      </c>
      <c r="B6703" s="5" t="str">
        <f>'Lineal Mixto'!$C$1659</f>
      </c>
      <c r="C6703" s="5" t="str">
        <f>'Lineal Mixto'!$C$1660</f>
      </c>
      <c r="D6703" s="5" t="str">
        <f>MIN(INT(B6703*5),4)</f>
      </c>
      <c r="E6703" s="5" t="str">
        <f>MIN(INT(C6703*5),4)</f>
      </c>
      <c r="F6703" s="5" t="str">
        <f>D6703*5+E6703</f>
      </c>
    </row>
    <row r="6704">
      <c r="A6704" s="6">
        <v>1656</v>
      </c>
      <c r="B6704" s="6" t="str">
        <f>'Lineal Mixto'!$C$1660</f>
      </c>
      <c r="C6704" s="6" t="str">
        <f>'Lineal Mixto'!$C$1661</f>
      </c>
      <c r="D6704" s="6" t="str">
        <f>MIN(INT(B6704*5),4)</f>
      </c>
      <c r="E6704" s="6" t="str">
        <f>MIN(INT(C6704*5),4)</f>
      </c>
      <c r="F6704" s="6" t="str">
        <f>D6704*5+E6704</f>
      </c>
    </row>
    <row r="6705">
      <c r="A6705" s="5">
        <v>1657</v>
      </c>
      <c r="B6705" s="5" t="str">
        <f>'Lineal Mixto'!$C$1661</f>
      </c>
      <c r="C6705" s="5" t="str">
        <f>'Lineal Mixto'!$C$1662</f>
      </c>
      <c r="D6705" s="5" t="str">
        <f>MIN(INT(B6705*5),4)</f>
      </c>
      <c r="E6705" s="5" t="str">
        <f>MIN(INT(C6705*5),4)</f>
      </c>
      <c r="F6705" s="5" t="str">
        <f>D6705*5+E6705</f>
      </c>
    </row>
    <row r="6706">
      <c r="A6706" s="6">
        <v>1658</v>
      </c>
      <c r="B6706" s="6" t="str">
        <f>'Lineal Mixto'!$C$1662</f>
      </c>
      <c r="C6706" s="6" t="str">
        <f>'Lineal Mixto'!$C$1663</f>
      </c>
      <c r="D6706" s="6" t="str">
        <f>MIN(INT(B6706*5),4)</f>
      </c>
      <c r="E6706" s="6" t="str">
        <f>MIN(INT(C6706*5),4)</f>
      </c>
      <c r="F6706" s="6" t="str">
        <f>D6706*5+E6706</f>
      </c>
    </row>
    <row r="6707">
      <c r="A6707" s="5">
        <v>1659</v>
      </c>
      <c r="B6707" s="5" t="str">
        <f>'Lineal Mixto'!$C$1663</f>
      </c>
      <c r="C6707" s="5" t="str">
        <f>'Lineal Mixto'!$C$1664</f>
      </c>
      <c r="D6707" s="5" t="str">
        <f>MIN(INT(B6707*5),4)</f>
      </c>
      <c r="E6707" s="5" t="str">
        <f>MIN(INT(C6707*5),4)</f>
      </c>
      <c r="F6707" s="5" t="str">
        <f>D6707*5+E6707</f>
      </c>
    </row>
    <row r="6708">
      <c r="A6708" s="6">
        <v>1660</v>
      </c>
      <c r="B6708" s="6" t="str">
        <f>'Lineal Mixto'!$C$1664</f>
      </c>
      <c r="C6708" s="6" t="str">
        <f>'Lineal Mixto'!$C$1665</f>
      </c>
      <c r="D6708" s="6" t="str">
        <f>MIN(INT(B6708*5),4)</f>
      </c>
      <c r="E6708" s="6" t="str">
        <f>MIN(INT(C6708*5),4)</f>
      </c>
      <c r="F6708" s="6" t="str">
        <f>D6708*5+E6708</f>
      </c>
    </row>
    <row r="6709">
      <c r="A6709" s="5">
        <v>1661</v>
      </c>
      <c r="B6709" s="5" t="str">
        <f>'Lineal Mixto'!$C$1665</f>
      </c>
      <c r="C6709" s="5" t="str">
        <f>'Lineal Mixto'!$C$1666</f>
      </c>
      <c r="D6709" s="5" t="str">
        <f>MIN(INT(B6709*5),4)</f>
      </c>
      <c r="E6709" s="5" t="str">
        <f>MIN(INT(C6709*5),4)</f>
      </c>
      <c r="F6709" s="5" t="str">
        <f>D6709*5+E6709</f>
      </c>
    </row>
    <row r="6710">
      <c r="A6710" s="6">
        <v>1662</v>
      </c>
      <c r="B6710" s="6" t="str">
        <f>'Lineal Mixto'!$C$1666</f>
      </c>
      <c r="C6710" s="6" t="str">
        <f>'Lineal Mixto'!$C$1667</f>
      </c>
      <c r="D6710" s="6" t="str">
        <f>MIN(INT(B6710*5),4)</f>
      </c>
      <c r="E6710" s="6" t="str">
        <f>MIN(INT(C6710*5),4)</f>
      </c>
      <c r="F6710" s="6" t="str">
        <f>D6710*5+E6710</f>
      </c>
    </row>
    <row r="6711">
      <c r="A6711" s="5">
        <v>1663</v>
      </c>
      <c r="B6711" s="5" t="str">
        <f>'Lineal Mixto'!$C$1667</f>
      </c>
      <c r="C6711" s="5" t="str">
        <f>'Lineal Mixto'!$C$1668</f>
      </c>
      <c r="D6711" s="5" t="str">
        <f>MIN(INT(B6711*5),4)</f>
      </c>
      <c r="E6711" s="5" t="str">
        <f>MIN(INT(C6711*5),4)</f>
      </c>
      <c r="F6711" s="5" t="str">
        <f>D6711*5+E6711</f>
      </c>
    </row>
    <row r="6712">
      <c r="A6712" s="6">
        <v>1664</v>
      </c>
      <c r="B6712" s="6" t="str">
        <f>'Lineal Mixto'!$C$1668</f>
      </c>
      <c r="C6712" s="6" t="str">
        <f>'Lineal Mixto'!$C$1669</f>
      </c>
      <c r="D6712" s="6" t="str">
        <f>MIN(INT(B6712*5),4)</f>
      </c>
      <c r="E6712" s="6" t="str">
        <f>MIN(INT(C6712*5),4)</f>
      </c>
      <c r="F6712" s="6" t="str">
        <f>D6712*5+E6712</f>
      </c>
    </row>
    <row r="6713">
      <c r="A6713" s="5">
        <v>1665</v>
      </c>
      <c r="B6713" s="5" t="str">
        <f>'Lineal Mixto'!$C$1669</f>
      </c>
      <c r="C6713" s="5" t="str">
        <f>'Lineal Mixto'!$C$1670</f>
      </c>
      <c r="D6713" s="5" t="str">
        <f>MIN(INT(B6713*5),4)</f>
      </c>
      <c r="E6713" s="5" t="str">
        <f>MIN(INT(C6713*5),4)</f>
      </c>
      <c r="F6713" s="5" t="str">
        <f>D6713*5+E6713</f>
      </c>
    </row>
    <row r="6714">
      <c r="A6714" s="6">
        <v>1666</v>
      </c>
      <c r="B6714" s="6" t="str">
        <f>'Lineal Mixto'!$C$1670</f>
      </c>
      <c r="C6714" s="6" t="str">
        <f>'Lineal Mixto'!$C$1671</f>
      </c>
      <c r="D6714" s="6" t="str">
        <f>MIN(INT(B6714*5),4)</f>
      </c>
      <c r="E6714" s="6" t="str">
        <f>MIN(INT(C6714*5),4)</f>
      </c>
      <c r="F6714" s="6" t="str">
        <f>D6714*5+E6714</f>
      </c>
    </row>
    <row r="6715">
      <c r="A6715" s="5">
        <v>1667</v>
      </c>
      <c r="B6715" s="5" t="str">
        <f>'Lineal Mixto'!$C$1671</f>
      </c>
      <c r="C6715" s="5" t="str">
        <f>'Lineal Mixto'!$C$1672</f>
      </c>
      <c r="D6715" s="5" t="str">
        <f>MIN(INT(B6715*5),4)</f>
      </c>
      <c r="E6715" s="5" t="str">
        <f>MIN(INT(C6715*5),4)</f>
      </c>
      <c r="F6715" s="5" t="str">
        <f>D6715*5+E6715</f>
      </c>
    </row>
    <row r="6716">
      <c r="A6716" s="6">
        <v>1668</v>
      </c>
      <c r="B6716" s="6" t="str">
        <f>'Lineal Mixto'!$C$1672</f>
      </c>
      <c r="C6716" s="6" t="str">
        <f>'Lineal Mixto'!$C$1673</f>
      </c>
      <c r="D6716" s="6" t="str">
        <f>MIN(INT(B6716*5),4)</f>
      </c>
      <c r="E6716" s="6" t="str">
        <f>MIN(INT(C6716*5),4)</f>
      </c>
      <c r="F6716" s="6" t="str">
        <f>D6716*5+E6716</f>
      </c>
    </row>
    <row r="6717">
      <c r="A6717" s="5">
        <v>1669</v>
      </c>
      <c r="B6717" s="5" t="str">
        <f>'Lineal Mixto'!$C$1673</f>
      </c>
      <c r="C6717" s="5" t="str">
        <f>'Lineal Mixto'!$C$1674</f>
      </c>
      <c r="D6717" s="5" t="str">
        <f>MIN(INT(B6717*5),4)</f>
      </c>
      <c r="E6717" s="5" t="str">
        <f>MIN(INT(C6717*5),4)</f>
      </c>
      <c r="F6717" s="5" t="str">
        <f>D6717*5+E6717</f>
      </c>
    </row>
    <row r="6718">
      <c r="A6718" s="6">
        <v>1670</v>
      </c>
      <c r="B6718" s="6" t="str">
        <f>'Lineal Mixto'!$C$1674</f>
      </c>
      <c r="C6718" s="6" t="str">
        <f>'Lineal Mixto'!$C$1675</f>
      </c>
      <c r="D6718" s="6" t="str">
        <f>MIN(INT(B6718*5),4)</f>
      </c>
      <c r="E6718" s="6" t="str">
        <f>MIN(INT(C6718*5),4)</f>
      </c>
      <c r="F6718" s="6" t="str">
        <f>D6718*5+E6718</f>
      </c>
    </row>
    <row r="6719">
      <c r="A6719" s="5">
        <v>1671</v>
      </c>
      <c r="B6719" s="5" t="str">
        <f>'Lineal Mixto'!$C$1675</f>
      </c>
      <c r="C6719" s="5" t="str">
        <f>'Lineal Mixto'!$C$1676</f>
      </c>
      <c r="D6719" s="5" t="str">
        <f>MIN(INT(B6719*5),4)</f>
      </c>
      <c r="E6719" s="5" t="str">
        <f>MIN(INT(C6719*5),4)</f>
      </c>
      <c r="F6719" s="5" t="str">
        <f>D6719*5+E6719</f>
      </c>
    </row>
    <row r="6720">
      <c r="A6720" s="6">
        <v>1672</v>
      </c>
      <c r="B6720" s="6" t="str">
        <f>'Lineal Mixto'!$C$1676</f>
      </c>
      <c r="C6720" s="6" t="str">
        <f>'Lineal Mixto'!$C$1677</f>
      </c>
      <c r="D6720" s="6" t="str">
        <f>MIN(INT(B6720*5),4)</f>
      </c>
      <c r="E6720" s="6" t="str">
        <f>MIN(INT(C6720*5),4)</f>
      </c>
      <c r="F6720" s="6" t="str">
        <f>D6720*5+E6720</f>
      </c>
    </row>
    <row r="6721">
      <c r="A6721" s="5">
        <v>1673</v>
      </c>
      <c r="B6721" s="5" t="str">
        <f>'Lineal Mixto'!$C$1677</f>
      </c>
      <c r="C6721" s="5" t="str">
        <f>'Lineal Mixto'!$C$1678</f>
      </c>
      <c r="D6721" s="5" t="str">
        <f>MIN(INT(B6721*5),4)</f>
      </c>
      <c r="E6721" s="5" t="str">
        <f>MIN(INT(C6721*5),4)</f>
      </c>
      <c r="F6721" s="5" t="str">
        <f>D6721*5+E6721</f>
      </c>
    </row>
    <row r="6722">
      <c r="A6722" s="6">
        <v>1674</v>
      </c>
      <c r="B6722" s="6" t="str">
        <f>'Lineal Mixto'!$C$1678</f>
      </c>
      <c r="C6722" s="6" t="str">
        <f>'Lineal Mixto'!$C$1679</f>
      </c>
      <c r="D6722" s="6" t="str">
        <f>MIN(INT(B6722*5),4)</f>
      </c>
      <c r="E6722" s="6" t="str">
        <f>MIN(INT(C6722*5),4)</f>
      </c>
      <c r="F6722" s="6" t="str">
        <f>D6722*5+E6722</f>
      </c>
    </row>
    <row r="6723">
      <c r="A6723" s="5">
        <v>1675</v>
      </c>
      <c r="B6723" s="5" t="str">
        <f>'Lineal Mixto'!$C$1679</f>
      </c>
      <c r="C6723" s="5" t="str">
        <f>'Lineal Mixto'!$C$1680</f>
      </c>
      <c r="D6723" s="5" t="str">
        <f>MIN(INT(B6723*5),4)</f>
      </c>
      <c r="E6723" s="5" t="str">
        <f>MIN(INT(C6723*5),4)</f>
      </c>
      <c r="F6723" s="5" t="str">
        <f>D6723*5+E6723</f>
      </c>
    </row>
    <row r="6724">
      <c r="A6724" s="6">
        <v>1676</v>
      </c>
      <c r="B6724" s="6" t="str">
        <f>'Lineal Mixto'!$C$1680</f>
      </c>
      <c r="C6724" s="6" t="str">
        <f>'Lineal Mixto'!$C$1681</f>
      </c>
      <c r="D6724" s="6" t="str">
        <f>MIN(INT(B6724*5),4)</f>
      </c>
      <c r="E6724" s="6" t="str">
        <f>MIN(INT(C6724*5),4)</f>
      </c>
      <c r="F6724" s="6" t="str">
        <f>D6724*5+E6724</f>
      </c>
    </row>
    <row r="6725">
      <c r="A6725" s="5">
        <v>1677</v>
      </c>
      <c r="B6725" s="5" t="str">
        <f>'Lineal Mixto'!$C$1681</f>
      </c>
      <c r="C6725" s="5" t="str">
        <f>'Lineal Mixto'!$C$1682</f>
      </c>
      <c r="D6725" s="5" t="str">
        <f>MIN(INT(B6725*5),4)</f>
      </c>
      <c r="E6725" s="5" t="str">
        <f>MIN(INT(C6725*5),4)</f>
      </c>
      <c r="F6725" s="5" t="str">
        <f>D6725*5+E6725</f>
      </c>
    </row>
    <row r="6726">
      <c r="A6726" s="6">
        <v>1678</v>
      </c>
      <c r="B6726" s="6" t="str">
        <f>'Lineal Mixto'!$C$1682</f>
      </c>
      <c r="C6726" s="6" t="str">
        <f>'Lineal Mixto'!$C$1683</f>
      </c>
      <c r="D6726" s="6" t="str">
        <f>MIN(INT(B6726*5),4)</f>
      </c>
      <c r="E6726" s="6" t="str">
        <f>MIN(INT(C6726*5),4)</f>
      </c>
      <c r="F6726" s="6" t="str">
        <f>D6726*5+E6726</f>
      </c>
    </row>
    <row r="6727">
      <c r="A6727" s="5">
        <v>1679</v>
      </c>
      <c r="B6727" s="5" t="str">
        <f>'Lineal Mixto'!$C$1683</f>
      </c>
      <c r="C6727" s="5" t="str">
        <f>'Lineal Mixto'!$C$1684</f>
      </c>
      <c r="D6727" s="5" t="str">
        <f>MIN(INT(B6727*5),4)</f>
      </c>
      <c r="E6727" s="5" t="str">
        <f>MIN(INT(C6727*5),4)</f>
      </c>
      <c r="F6727" s="5" t="str">
        <f>D6727*5+E6727</f>
      </c>
    </row>
    <row r="6728">
      <c r="A6728" s="6">
        <v>1680</v>
      </c>
      <c r="B6728" s="6" t="str">
        <f>'Lineal Mixto'!$C$1684</f>
      </c>
      <c r="C6728" s="6" t="str">
        <f>'Lineal Mixto'!$C$1685</f>
      </c>
      <c r="D6728" s="6" t="str">
        <f>MIN(INT(B6728*5),4)</f>
      </c>
      <c r="E6728" s="6" t="str">
        <f>MIN(INT(C6728*5),4)</f>
      </c>
      <c r="F6728" s="6" t="str">
        <f>D6728*5+E6728</f>
      </c>
    </row>
    <row r="6729">
      <c r="A6729" s="5">
        <v>1681</v>
      </c>
      <c r="B6729" s="5" t="str">
        <f>'Lineal Mixto'!$C$1685</f>
      </c>
      <c r="C6729" s="5" t="str">
        <f>'Lineal Mixto'!$C$1686</f>
      </c>
      <c r="D6729" s="5" t="str">
        <f>MIN(INT(B6729*5),4)</f>
      </c>
      <c r="E6729" s="5" t="str">
        <f>MIN(INT(C6729*5),4)</f>
      </c>
      <c r="F6729" s="5" t="str">
        <f>D6729*5+E6729</f>
      </c>
    </row>
    <row r="6730">
      <c r="A6730" s="6">
        <v>1682</v>
      </c>
      <c r="B6730" s="6" t="str">
        <f>'Lineal Mixto'!$C$1686</f>
      </c>
      <c r="C6730" s="6" t="str">
        <f>'Lineal Mixto'!$C$1687</f>
      </c>
      <c r="D6730" s="6" t="str">
        <f>MIN(INT(B6730*5),4)</f>
      </c>
      <c r="E6730" s="6" t="str">
        <f>MIN(INT(C6730*5),4)</f>
      </c>
      <c r="F6730" s="6" t="str">
        <f>D6730*5+E6730</f>
      </c>
    </row>
    <row r="6731">
      <c r="A6731" s="5">
        <v>1683</v>
      </c>
      <c r="B6731" s="5" t="str">
        <f>'Lineal Mixto'!$C$1687</f>
      </c>
      <c r="C6731" s="5" t="str">
        <f>'Lineal Mixto'!$C$1688</f>
      </c>
      <c r="D6731" s="5" t="str">
        <f>MIN(INT(B6731*5),4)</f>
      </c>
      <c r="E6731" s="5" t="str">
        <f>MIN(INT(C6731*5),4)</f>
      </c>
      <c r="F6731" s="5" t="str">
        <f>D6731*5+E6731</f>
      </c>
    </row>
    <row r="6732">
      <c r="A6732" s="6">
        <v>1684</v>
      </c>
      <c r="B6732" s="6" t="str">
        <f>'Lineal Mixto'!$C$1688</f>
      </c>
      <c r="C6732" s="6" t="str">
        <f>'Lineal Mixto'!$C$1689</f>
      </c>
      <c r="D6732" s="6" t="str">
        <f>MIN(INT(B6732*5),4)</f>
      </c>
      <c r="E6732" s="6" t="str">
        <f>MIN(INT(C6732*5),4)</f>
      </c>
      <c r="F6732" s="6" t="str">
        <f>D6732*5+E6732</f>
      </c>
    </row>
    <row r="6733">
      <c r="A6733" s="5">
        <v>1685</v>
      </c>
      <c r="B6733" s="5" t="str">
        <f>'Lineal Mixto'!$C$1689</f>
      </c>
      <c r="C6733" s="5" t="str">
        <f>'Lineal Mixto'!$C$1690</f>
      </c>
      <c r="D6733" s="5" t="str">
        <f>MIN(INT(B6733*5),4)</f>
      </c>
      <c r="E6733" s="5" t="str">
        <f>MIN(INT(C6733*5),4)</f>
      </c>
      <c r="F6733" s="5" t="str">
        <f>D6733*5+E6733</f>
      </c>
    </row>
    <row r="6734">
      <c r="A6734" s="6">
        <v>1686</v>
      </c>
      <c r="B6734" s="6" t="str">
        <f>'Lineal Mixto'!$C$1690</f>
      </c>
      <c r="C6734" s="6" t="str">
        <f>'Lineal Mixto'!$C$1691</f>
      </c>
      <c r="D6734" s="6" t="str">
        <f>MIN(INT(B6734*5),4)</f>
      </c>
      <c r="E6734" s="6" t="str">
        <f>MIN(INT(C6734*5),4)</f>
      </c>
      <c r="F6734" s="6" t="str">
        <f>D6734*5+E6734</f>
      </c>
    </row>
    <row r="6735">
      <c r="A6735" s="5">
        <v>1687</v>
      </c>
      <c r="B6735" s="5" t="str">
        <f>'Lineal Mixto'!$C$1691</f>
      </c>
      <c r="C6735" s="5" t="str">
        <f>'Lineal Mixto'!$C$1692</f>
      </c>
      <c r="D6735" s="5" t="str">
        <f>MIN(INT(B6735*5),4)</f>
      </c>
      <c r="E6735" s="5" t="str">
        <f>MIN(INT(C6735*5),4)</f>
      </c>
      <c r="F6735" s="5" t="str">
        <f>D6735*5+E6735</f>
      </c>
    </row>
    <row r="6736">
      <c r="A6736" s="6">
        <v>1688</v>
      </c>
      <c r="B6736" s="6" t="str">
        <f>'Lineal Mixto'!$C$1692</f>
      </c>
      <c r="C6736" s="6" t="str">
        <f>'Lineal Mixto'!$C$1693</f>
      </c>
      <c r="D6736" s="6" t="str">
        <f>MIN(INT(B6736*5),4)</f>
      </c>
      <c r="E6736" s="6" t="str">
        <f>MIN(INT(C6736*5),4)</f>
      </c>
      <c r="F6736" s="6" t="str">
        <f>D6736*5+E6736</f>
      </c>
    </row>
    <row r="6737">
      <c r="A6737" s="5">
        <v>1689</v>
      </c>
      <c r="B6737" s="5" t="str">
        <f>'Lineal Mixto'!$C$1693</f>
      </c>
      <c r="C6737" s="5" t="str">
        <f>'Lineal Mixto'!$C$1694</f>
      </c>
      <c r="D6737" s="5" t="str">
        <f>MIN(INT(B6737*5),4)</f>
      </c>
      <c r="E6737" s="5" t="str">
        <f>MIN(INT(C6737*5),4)</f>
      </c>
      <c r="F6737" s="5" t="str">
        <f>D6737*5+E6737</f>
      </c>
    </row>
    <row r="6738">
      <c r="A6738" s="6">
        <v>1690</v>
      </c>
      <c r="B6738" s="6" t="str">
        <f>'Lineal Mixto'!$C$1694</f>
      </c>
      <c r="C6738" s="6" t="str">
        <f>'Lineal Mixto'!$C$1695</f>
      </c>
      <c r="D6738" s="6" t="str">
        <f>MIN(INT(B6738*5),4)</f>
      </c>
      <c r="E6738" s="6" t="str">
        <f>MIN(INT(C6738*5),4)</f>
      </c>
      <c r="F6738" s="6" t="str">
        <f>D6738*5+E6738</f>
      </c>
    </row>
    <row r="6739">
      <c r="A6739" s="5">
        <v>1691</v>
      </c>
      <c r="B6739" s="5" t="str">
        <f>'Lineal Mixto'!$C$1695</f>
      </c>
      <c r="C6739" s="5" t="str">
        <f>'Lineal Mixto'!$C$1696</f>
      </c>
      <c r="D6739" s="5" t="str">
        <f>MIN(INT(B6739*5),4)</f>
      </c>
      <c r="E6739" s="5" t="str">
        <f>MIN(INT(C6739*5),4)</f>
      </c>
      <c r="F6739" s="5" t="str">
        <f>D6739*5+E6739</f>
      </c>
    </row>
    <row r="6740">
      <c r="A6740" s="6">
        <v>1692</v>
      </c>
      <c r="B6740" s="6" t="str">
        <f>'Lineal Mixto'!$C$1696</f>
      </c>
      <c r="C6740" s="6" t="str">
        <f>'Lineal Mixto'!$C$1697</f>
      </c>
      <c r="D6740" s="6" t="str">
        <f>MIN(INT(B6740*5),4)</f>
      </c>
      <c r="E6740" s="6" t="str">
        <f>MIN(INT(C6740*5),4)</f>
      </c>
      <c r="F6740" s="6" t="str">
        <f>D6740*5+E6740</f>
      </c>
    </row>
    <row r="6741">
      <c r="A6741" s="5">
        <v>1693</v>
      </c>
      <c r="B6741" s="5" t="str">
        <f>'Lineal Mixto'!$C$1697</f>
      </c>
      <c r="C6741" s="5" t="str">
        <f>'Lineal Mixto'!$C$1698</f>
      </c>
      <c r="D6741" s="5" t="str">
        <f>MIN(INT(B6741*5),4)</f>
      </c>
      <c r="E6741" s="5" t="str">
        <f>MIN(INT(C6741*5),4)</f>
      </c>
      <c r="F6741" s="5" t="str">
        <f>D6741*5+E6741</f>
      </c>
    </row>
    <row r="6742">
      <c r="A6742" s="6">
        <v>1694</v>
      </c>
      <c r="B6742" s="6" t="str">
        <f>'Lineal Mixto'!$C$1698</f>
      </c>
      <c r="C6742" s="6" t="str">
        <f>'Lineal Mixto'!$C$1699</f>
      </c>
      <c r="D6742" s="6" t="str">
        <f>MIN(INT(B6742*5),4)</f>
      </c>
      <c r="E6742" s="6" t="str">
        <f>MIN(INT(C6742*5),4)</f>
      </c>
      <c r="F6742" s="6" t="str">
        <f>D6742*5+E6742</f>
      </c>
    </row>
    <row r="6743">
      <c r="A6743" s="5">
        <v>1695</v>
      </c>
      <c r="B6743" s="5" t="str">
        <f>'Lineal Mixto'!$C$1699</f>
      </c>
      <c r="C6743" s="5" t="str">
        <f>'Lineal Mixto'!$C$1700</f>
      </c>
      <c r="D6743" s="5" t="str">
        <f>MIN(INT(B6743*5),4)</f>
      </c>
      <c r="E6743" s="5" t="str">
        <f>MIN(INT(C6743*5),4)</f>
      </c>
      <c r="F6743" s="5" t="str">
        <f>D6743*5+E6743</f>
      </c>
    </row>
    <row r="6744">
      <c r="A6744" s="6">
        <v>1696</v>
      </c>
      <c r="B6744" s="6" t="str">
        <f>'Lineal Mixto'!$C$1700</f>
      </c>
      <c r="C6744" s="6" t="str">
        <f>'Lineal Mixto'!$C$1701</f>
      </c>
      <c r="D6744" s="6" t="str">
        <f>MIN(INT(B6744*5),4)</f>
      </c>
      <c r="E6744" s="6" t="str">
        <f>MIN(INT(C6744*5),4)</f>
      </c>
      <c r="F6744" s="6" t="str">
        <f>D6744*5+E6744</f>
      </c>
    </row>
    <row r="6745">
      <c r="A6745" s="5">
        <v>1697</v>
      </c>
      <c r="B6745" s="5" t="str">
        <f>'Lineal Mixto'!$C$1701</f>
      </c>
      <c r="C6745" s="5" t="str">
        <f>'Lineal Mixto'!$C$1702</f>
      </c>
      <c r="D6745" s="5" t="str">
        <f>MIN(INT(B6745*5),4)</f>
      </c>
      <c r="E6745" s="5" t="str">
        <f>MIN(INT(C6745*5),4)</f>
      </c>
      <c r="F6745" s="5" t="str">
        <f>D6745*5+E6745</f>
      </c>
    </row>
    <row r="6746">
      <c r="A6746" s="6">
        <v>1698</v>
      </c>
      <c r="B6746" s="6" t="str">
        <f>'Lineal Mixto'!$C$1702</f>
      </c>
      <c r="C6746" s="6" t="str">
        <f>'Lineal Mixto'!$C$1703</f>
      </c>
      <c r="D6746" s="6" t="str">
        <f>MIN(INT(B6746*5),4)</f>
      </c>
      <c r="E6746" s="6" t="str">
        <f>MIN(INT(C6746*5),4)</f>
      </c>
      <c r="F6746" s="6" t="str">
        <f>D6746*5+E6746</f>
      </c>
    </row>
    <row r="6747">
      <c r="A6747" s="5">
        <v>1699</v>
      </c>
      <c r="B6747" s="5" t="str">
        <f>'Lineal Mixto'!$C$1703</f>
      </c>
      <c r="C6747" s="5" t="str">
        <f>'Lineal Mixto'!$C$1704</f>
      </c>
      <c r="D6747" s="5" t="str">
        <f>MIN(INT(B6747*5),4)</f>
      </c>
      <c r="E6747" s="5" t="str">
        <f>MIN(INT(C6747*5),4)</f>
      </c>
      <c r="F6747" s="5" t="str">
        <f>D6747*5+E6747</f>
      </c>
    </row>
    <row r="6748">
      <c r="A6748" s="6">
        <v>1700</v>
      </c>
      <c r="B6748" s="6" t="str">
        <f>'Lineal Mixto'!$C$1704</f>
      </c>
      <c r="C6748" s="6" t="str">
        <f>'Lineal Mixto'!$C$1705</f>
      </c>
      <c r="D6748" s="6" t="str">
        <f>MIN(INT(B6748*5),4)</f>
      </c>
      <c r="E6748" s="6" t="str">
        <f>MIN(INT(C6748*5),4)</f>
      </c>
      <c r="F6748" s="6" t="str">
        <f>D6748*5+E6748</f>
      </c>
    </row>
    <row r="6749">
      <c r="A6749" s="5">
        <v>1701</v>
      </c>
      <c r="B6749" s="5" t="str">
        <f>'Lineal Mixto'!$C$1705</f>
      </c>
      <c r="C6749" s="5" t="str">
        <f>'Lineal Mixto'!$C$1706</f>
      </c>
      <c r="D6749" s="5" t="str">
        <f>MIN(INT(B6749*5),4)</f>
      </c>
      <c r="E6749" s="5" t="str">
        <f>MIN(INT(C6749*5),4)</f>
      </c>
      <c r="F6749" s="5" t="str">
        <f>D6749*5+E6749</f>
      </c>
    </row>
    <row r="6750">
      <c r="A6750" s="6">
        <v>1702</v>
      </c>
      <c r="B6750" s="6" t="str">
        <f>'Lineal Mixto'!$C$1706</f>
      </c>
      <c r="C6750" s="6" t="str">
        <f>'Lineal Mixto'!$C$1707</f>
      </c>
      <c r="D6750" s="6" t="str">
        <f>MIN(INT(B6750*5),4)</f>
      </c>
      <c r="E6750" s="6" t="str">
        <f>MIN(INT(C6750*5),4)</f>
      </c>
      <c r="F6750" s="6" t="str">
        <f>D6750*5+E6750</f>
      </c>
    </row>
    <row r="6751">
      <c r="A6751" s="5">
        <v>1703</v>
      </c>
      <c r="B6751" s="5" t="str">
        <f>'Lineal Mixto'!$C$1707</f>
      </c>
      <c r="C6751" s="5" t="str">
        <f>'Lineal Mixto'!$C$1708</f>
      </c>
      <c r="D6751" s="5" t="str">
        <f>MIN(INT(B6751*5),4)</f>
      </c>
      <c r="E6751" s="5" t="str">
        <f>MIN(INT(C6751*5),4)</f>
      </c>
      <c r="F6751" s="5" t="str">
        <f>D6751*5+E6751</f>
      </c>
    </row>
    <row r="6752">
      <c r="A6752" s="6">
        <v>1704</v>
      </c>
      <c r="B6752" s="6" t="str">
        <f>'Lineal Mixto'!$C$1708</f>
      </c>
      <c r="C6752" s="6" t="str">
        <f>'Lineal Mixto'!$C$1709</f>
      </c>
      <c r="D6752" s="6" t="str">
        <f>MIN(INT(B6752*5),4)</f>
      </c>
      <c r="E6752" s="6" t="str">
        <f>MIN(INT(C6752*5),4)</f>
      </c>
      <c r="F6752" s="6" t="str">
        <f>D6752*5+E6752</f>
      </c>
    </row>
    <row r="6753">
      <c r="A6753" s="5">
        <v>1705</v>
      </c>
      <c r="B6753" s="5" t="str">
        <f>'Lineal Mixto'!$C$1709</f>
      </c>
      <c r="C6753" s="5" t="str">
        <f>'Lineal Mixto'!$C$1710</f>
      </c>
      <c r="D6753" s="5" t="str">
        <f>MIN(INT(B6753*5),4)</f>
      </c>
      <c r="E6753" s="5" t="str">
        <f>MIN(INT(C6753*5),4)</f>
      </c>
      <c r="F6753" s="5" t="str">
        <f>D6753*5+E6753</f>
      </c>
    </row>
    <row r="6754">
      <c r="A6754" s="6">
        <v>1706</v>
      </c>
      <c r="B6754" s="6" t="str">
        <f>'Lineal Mixto'!$C$1710</f>
      </c>
      <c r="C6754" s="6" t="str">
        <f>'Lineal Mixto'!$C$1711</f>
      </c>
      <c r="D6754" s="6" t="str">
        <f>MIN(INT(B6754*5),4)</f>
      </c>
      <c r="E6754" s="6" t="str">
        <f>MIN(INT(C6754*5),4)</f>
      </c>
      <c r="F6754" s="6" t="str">
        <f>D6754*5+E6754</f>
      </c>
    </row>
    <row r="6755">
      <c r="A6755" s="5">
        <v>1707</v>
      </c>
      <c r="B6755" s="5" t="str">
        <f>'Lineal Mixto'!$C$1711</f>
      </c>
      <c r="C6755" s="5" t="str">
        <f>'Lineal Mixto'!$C$1712</f>
      </c>
      <c r="D6755" s="5" t="str">
        <f>MIN(INT(B6755*5),4)</f>
      </c>
      <c r="E6755" s="5" t="str">
        <f>MIN(INT(C6755*5),4)</f>
      </c>
      <c r="F6755" s="5" t="str">
        <f>D6755*5+E6755</f>
      </c>
    </row>
    <row r="6756">
      <c r="A6756" s="6">
        <v>1708</v>
      </c>
      <c r="B6756" s="6" t="str">
        <f>'Lineal Mixto'!$C$1712</f>
      </c>
      <c r="C6756" s="6" t="str">
        <f>'Lineal Mixto'!$C$1713</f>
      </c>
      <c r="D6756" s="6" t="str">
        <f>MIN(INT(B6756*5),4)</f>
      </c>
      <c r="E6756" s="6" t="str">
        <f>MIN(INT(C6756*5),4)</f>
      </c>
      <c r="F6756" s="6" t="str">
        <f>D6756*5+E6756</f>
      </c>
    </row>
    <row r="6757">
      <c r="A6757" s="5">
        <v>1709</v>
      </c>
      <c r="B6757" s="5" t="str">
        <f>'Lineal Mixto'!$C$1713</f>
      </c>
      <c r="C6757" s="5" t="str">
        <f>'Lineal Mixto'!$C$1714</f>
      </c>
      <c r="D6757" s="5" t="str">
        <f>MIN(INT(B6757*5),4)</f>
      </c>
      <c r="E6757" s="5" t="str">
        <f>MIN(INT(C6757*5),4)</f>
      </c>
      <c r="F6757" s="5" t="str">
        <f>D6757*5+E6757</f>
      </c>
    </row>
    <row r="6758">
      <c r="A6758" s="6">
        <v>1710</v>
      </c>
      <c r="B6758" s="6" t="str">
        <f>'Lineal Mixto'!$C$1714</f>
      </c>
      <c r="C6758" s="6" t="str">
        <f>'Lineal Mixto'!$C$1715</f>
      </c>
      <c r="D6758" s="6" t="str">
        <f>MIN(INT(B6758*5),4)</f>
      </c>
      <c r="E6758" s="6" t="str">
        <f>MIN(INT(C6758*5),4)</f>
      </c>
      <c r="F6758" s="6" t="str">
        <f>D6758*5+E6758</f>
      </c>
    </row>
    <row r="6759">
      <c r="A6759" s="5">
        <v>1711</v>
      </c>
      <c r="B6759" s="5" t="str">
        <f>'Lineal Mixto'!$C$1715</f>
      </c>
      <c r="C6759" s="5" t="str">
        <f>'Lineal Mixto'!$C$1716</f>
      </c>
      <c r="D6759" s="5" t="str">
        <f>MIN(INT(B6759*5),4)</f>
      </c>
      <c r="E6759" s="5" t="str">
        <f>MIN(INT(C6759*5),4)</f>
      </c>
      <c r="F6759" s="5" t="str">
        <f>D6759*5+E6759</f>
      </c>
    </row>
    <row r="6760">
      <c r="A6760" s="6">
        <v>1712</v>
      </c>
      <c r="B6760" s="6" t="str">
        <f>'Lineal Mixto'!$C$1716</f>
      </c>
      <c r="C6760" s="6" t="str">
        <f>'Lineal Mixto'!$C$1717</f>
      </c>
      <c r="D6760" s="6" t="str">
        <f>MIN(INT(B6760*5),4)</f>
      </c>
      <c r="E6760" s="6" t="str">
        <f>MIN(INT(C6760*5),4)</f>
      </c>
      <c r="F6760" s="6" t="str">
        <f>D6760*5+E6760</f>
      </c>
    </row>
    <row r="6761">
      <c r="A6761" s="5">
        <v>1713</v>
      </c>
      <c r="B6761" s="5" t="str">
        <f>'Lineal Mixto'!$C$1717</f>
      </c>
      <c r="C6761" s="5" t="str">
        <f>'Lineal Mixto'!$C$1718</f>
      </c>
      <c r="D6761" s="5" t="str">
        <f>MIN(INT(B6761*5),4)</f>
      </c>
      <c r="E6761" s="5" t="str">
        <f>MIN(INT(C6761*5),4)</f>
      </c>
      <c r="F6761" s="5" t="str">
        <f>D6761*5+E6761</f>
      </c>
    </row>
    <row r="6762">
      <c r="A6762" s="6">
        <v>1714</v>
      </c>
      <c r="B6762" s="6" t="str">
        <f>'Lineal Mixto'!$C$1718</f>
      </c>
      <c r="C6762" s="6" t="str">
        <f>'Lineal Mixto'!$C$1719</f>
      </c>
      <c r="D6762" s="6" t="str">
        <f>MIN(INT(B6762*5),4)</f>
      </c>
      <c r="E6762" s="6" t="str">
        <f>MIN(INT(C6762*5),4)</f>
      </c>
      <c r="F6762" s="6" t="str">
        <f>D6762*5+E6762</f>
      </c>
    </row>
    <row r="6763">
      <c r="A6763" s="5">
        <v>1715</v>
      </c>
      <c r="B6763" s="5" t="str">
        <f>'Lineal Mixto'!$C$1719</f>
      </c>
      <c r="C6763" s="5" t="str">
        <f>'Lineal Mixto'!$C$1720</f>
      </c>
      <c r="D6763" s="5" t="str">
        <f>MIN(INT(B6763*5),4)</f>
      </c>
      <c r="E6763" s="5" t="str">
        <f>MIN(INT(C6763*5),4)</f>
      </c>
      <c r="F6763" s="5" t="str">
        <f>D6763*5+E6763</f>
      </c>
    </row>
    <row r="6764">
      <c r="A6764" s="6">
        <v>1716</v>
      </c>
      <c r="B6764" s="6" t="str">
        <f>'Lineal Mixto'!$C$1720</f>
      </c>
      <c r="C6764" s="6" t="str">
        <f>'Lineal Mixto'!$C$1721</f>
      </c>
      <c r="D6764" s="6" t="str">
        <f>MIN(INT(B6764*5),4)</f>
      </c>
      <c r="E6764" s="6" t="str">
        <f>MIN(INT(C6764*5),4)</f>
      </c>
      <c r="F6764" s="6" t="str">
        <f>D6764*5+E6764</f>
      </c>
    </row>
    <row r="6765">
      <c r="A6765" s="5">
        <v>1717</v>
      </c>
      <c r="B6765" s="5" t="str">
        <f>'Lineal Mixto'!$C$1721</f>
      </c>
      <c r="C6765" s="5" t="str">
        <f>'Lineal Mixto'!$C$1722</f>
      </c>
      <c r="D6765" s="5" t="str">
        <f>MIN(INT(B6765*5),4)</f>
      </c>
      <c r="E6765" s="5" t="str">
        <f>MIN(INT(C6765*5),4)</f>
      </c>
      <c r="F6765" s="5" t="str">
        <f>D6765*5+E6765</f>
      </c>
    </row>
    <row r="6766">
      <c r="A6766" s="6">
        <v>1718</v>
      </c>
      <c r="B6766" s="6" t="str">
        <f>'Lineal Mixto'!$C$1722</f>
      </c>
      <c r="C6766" s="6" t="str">
        <f>'Lineal Mixto'!$C$1723</f>
      </c>
      <c r="D6766" s="6" t="str">
        <f>MIN(INT(B6766*5),4)</f>
      </c>
      <c r="E6766" s="6" t="str">
        <f>MIN(INT(C6766*5),4)</f>
      </c>
      <c r="F6766" s="6" t="str">
        <f>D6766*5+E6766</f>
      </c>
    </row>
    <row r="6767">
      <c r="A6767" s="5">
        <v>1719</v>
      </c>
      <c r="B6767" s="5" t="str">
        <f>'Lineal Mixto'!$C$1723</f>
      </c>
      <c r="C6767" s="5" t="str">
        <f>'Lineal Mixto'!$C$1724</f>
      </c>
      <c r="D6767" s="5" t="str">
        <f>MIN(INT(B6767*5),4)</f>
      </c>
      <c r="E6767" s="5" t="str">
        <f>MIN(INT(C6767*5),4)</f>
      </c>
      <c r="F6767" s="5" t="str">
        <f>D6767*5+E6767</f>
      </c>
    </row>
    <row r="6768">
      <c r="A6768" s="6">
        <v>1720</v>
      </c>
      <c r="B6768" s="6" t="str">
        <f>'Lineal Mixto'!$C$1724</f>
      </c>
      <c r="C6768" s="6" t="str">
        <f>'Lineal Mixto'!$C$1725</f>
      </c>
      <c r="D6768" s="6" t="str">
        <f>MIN(INT(B6768*5),4)</f>
      </c>
      <c r="E6768" s="6" t="str">
        <f>MIN(INT(C6768*5),4)</f>
      </c>
      <c r="F6768" s="6" t="str">
        <f>D6768*5+E6768</f>
      </c>
    </row>
    <row r="6769">
      <c r="A6769" s="5">
        <v>1721</v>
      </c>
      <c r="B6769" s="5" t="str">
        <f>'Lineal Mixto'!$C$1725</f>
      </c>
      <c r="C6769" s="5" t="str">
        <f>'Lineal Mixto'!$C$1726</f>
      </c>
      <c r="D6769" s="5" t="str">
        <f>MIN(INT(B6769*5),4)</f>
      </c>
      <c r="E6769" s="5" t="str">
        <f>MIN(INT(C6769*5),4)</f>
      </c>
      <c r="F6769" s="5" t="str">
        <f>D6769*5+E6769</f>
      </c>
    </row>
    <row r="6770">
      <c r="A6770" s="6">
        <v>1722</v>
      </c>
      <c r="B6770" s="6" t="str">
        <f>'Lineal Mixto'!$C$1726</f>
      </c>
      <c r="C6770" s="6" t="str">
        <f>'Lineal Mixto'!$C$1727</f>
      </c>
      <c r="D6770" s="6" t="str">
        <f>MIN(INT(B6770*5),4)</f>
      </c>
      <c r="E6770" s="6" t="str">
        <f>MIN(INT(C6770*5),4)</f>
      </c>
      <c r="F6770" s="6" t="str">
        <f>D6770*5+E6770</f>
      </c>
    </row>
    <row r="6771">
      <c r="A6771" s="5">
        <v>1723</v>
      </c>
      <c r="B6771" s="5" t="str">
        <f>'Lineal Mixto'!$C$1727</f>
      </c>
      <c r="C6771" s="5" t="str">
        <f>'Lineal Mixto'!$C$1728</f>
      </c>
      <c r="D6771" s="5" t="str">
        <f>MIN(INT(B6771*5),4)</f>
      </c>
      <c r="E6771" s="5" t="str">
        <f>MIN(INT(C6771*5),4)</f>
      </c>
      <c r="F6771" s="5" t="str">
        <f>D6771*5+E6771</f>
      </c>
    </row>
    <row r="6772">
      <c r="A6772" s="6">
        <v>1724</v>
      </c>
      <c r="B6772" s="6" t="str">
        <f>'Lineal Mixto'!$C$1728</f>
      </c>
      <c r="C6772" s="6" t="str">
        <f>'Lineal Mixto'!$C$1729</f>
      </c>
      <c r="D6772" s="6" t="str">
        <f>MIN(INT(B6772*5),4)</f>
      </c>
      <c r="E6772" s="6" t="str">
        <f>MIN(INT(C6772*5),4)</f>
      </c>
      <c r="F6772" s="6" t="str">
        <f>D6772*5+E6772</f>
      </c>
    </row>
    <row r="6773">
      <c r="A6773" s="5">
        <v>1725</v>
      </c>
      <c r="B6773" s="5" t="str">
        <f>'Lineal Mixto'!$C$1729</f>
      </c>
      <c r="C6773" s="5" t="str">
        <f>'Lineal Mixto'!$C$1730</f>
      </c>
      <c r="D6773" s="5" t="str">
        <f>MIN(INT(B6773*5),4)</f>
      </c>
      <c r="E6773" s="5" t="str">
        <f>MIN(INT(C6773*5),4)</f>
      </c>
      <c r="F6773" s="5" t="str">
        <f>D6773*5+E6773</f>
      </c>
    </row>
    <row r="6774">
      <c r="A6774" s="6">
        <v>1726</v>
      </c>
      <c r="B6774" s="6" t="str">
        <f>'Lineal Mixto'!$C$1730</f>
      </c>
      <c r="C6774" s="6" t="str">
        <f>'Lineal Mixto'!$C$1731</f>
      </c>
      <c r="D6774" s="6" t="str">
        <f>MIN(INT(B6774*5),4)</f>
      </c>
      <c r="E6774" s="6" t="str">
        <f>MIN(INT(C6774*5),4)</f>
      </c>
      <c r="F6774" s="6" t="str">
        <f>D6774*5+E6774</f>
      </c>
    </row>
    <row r="6775">
      <c r="A6775" s="5">
        <v>1727</v>
      </c>
      <c r="B6775" s="5" t="str">
        <f>'Lineal Mixto'!$C$1731</f>
      </c>
      <c r="C6775" s="5" t="str">
        <f>'Lineal Mixto'!$C$1732</f>
      </c>
      <c r="D6775" s="5" t="str">
        <f>MIN(INT(B6775*5),4)</f>
      </c>
      <c r="E6775" s="5" t="str">
        <f>MIN(INT(C6775*5),4)</f>
      </c>
      <c r="F6775" s="5" t="str">
        <f>D6775*5+E6775</f>
      </c>
    </row>
    <row r="6776">
      <c r="A6776" s="6">
        <v>1728</v>
      </c>
      <c r="B6776" s="6" t="str">
        <f>'Lineal Mixto'!$C$1732</f>
      </c>
      <c r="C6776" s="6" t="str">
        <f>'Lineal Mixto'!$C$1733</f>
      </c>
      <c r="D6776" s="6" t="str">
        <f>MIN(INT(B6776*5),4)</f>
      </c>
      <c r="E6776" s="6" t="str">
        <f>MIN(INT(C6776*5),4)</f>
      </c>
      <c r="F6776" s="6" t="str">
        <f>D6776*5+E6776</f>
      </c>
    </row>
    <row r="6777">
      <c r="A6777" s="5">
        <v>1729</v>
      </c>
      <c r="B6777" s="5" t="str">
        <f>'Lineal Mixto'!$C$1733</f>
      </c>
      <c r="C6777" s="5" t="str">
        <f>'Lineal Mixto'!$C$1734</f>
      </c>
      <c r="D6777" s="5" t="str">
        <f>MIN(INT(B6777*5),4)</f>
      </c>
      <c r="E6777" s="5" t="str">
        <f>MIN(INT(C6777*5),4)</f>
      </c>
      <c r="F6777" s="5" t="str">
        <f>D6777*5+E6777</f>
      </c>
    </row>
    <row r="6778">
      <c r="A6778" s="6">
        <v>1730</v>
      </c>
      <c r="B6778" s="6" t="str">
        <f>'Lineal Mixto'!$C$1734</f>
      </c>
      <c r="C6778" s="6" t="str">
        <f>'Lineal Mixto'!$C$1735</f>
      </c>
      <c r="D6778" s="6" t="str">
        <f>MIN(INT(B6778*5),4)</f>
      </c>
      <c r="E6778" s="6" t="str">
        <f>MIN(INT(C6778*5),4)</f>
      </c>
      <c r="F6778" s="6" t="str">
        <f>D6778*5+E6778</f>
      </c>
    </row>
    <row r="6779">
      <c r="A6779" s="5">
        <v>1731</v>
      </c>
      <c r="B6779" s="5" t="str">
        <f>'Lineal Mixto'!$C$1735</f>
      </c>
      <c r="C6779" s="5" t="str">
        <f>'Lineal Mixto'!$C$1736</f>
      </c>
      <c r="D6779" s="5" t="str">
        <f>MIN(INT(B6779*5),4)</f>
      </c>
      <c r="E6779" s="5" t="str">
        <f>MIN(INT(C6779*5),4)</f>
      </c>
      <c r="F6779" s="5" t="str">
        <f>D6779*5+E6779</f>
      </c>
    </row>
    <row r="6780">
      <c r="A6780" s="6">
        <v>1732</v>
      </c>
      <c r="B6780" s="6" t="str">
        <f>'Lineal Mixto'!$C$1736</f>
      </c>
      <c r="C6780" s="6" t="str">
        <f>'Lineal Mixto'!$C$1737</f>
      </c>
      <c r="D6780" s="6" t="str">
        <f>MIN(INT(B6780*5),4)</f>
      </c>
      <c r="E6780" s="6" t="str">
        <f>MIN(INT(C6780*5),4)</f>
      </c>
      <c r="F6780" s="6" t="str">
        <f>D6780*5+E6780</f>
      </c>
    </row>
    <row r="6781">
      <c r="A6781" s="5">
        <v>1733</v>
      </c>
      <c r="B6781" s="5" t="str">
        <f>'Lineal Mixto'!$C$1737</f>
      </c>
      <c r="C6781" s="5" t="str">
        <f>'Lineal Mixto'!$C$1738</f>
      </c>
      <c r="D6781" s="5" t="str">
        <f>MIN(INT(B6781*5),4)</f>
      </c>
      <c r="E6781" s="5" t="str">
        <f>MIN(INT(C6781*5),4)</f>
      </c>
      <c r="F6781" s="5" t="str">
        <f>D6781*5+E6781</f>
      </c>
    </row>
    <row r="6782">
      <c r="A6782" s="6">
        <v>1734</v>
      </c>
      <c r="B6782" s="6" t="str">
        <f>'Lineal Mixto'!$C$1738</f>
      </c>
      <c r="C6782" s="6" t="str">
        <f>'Lineal Mixto'!$C$1739</f>
      </c>
      <c r="D6782" s="6" t="str">
        <f>MIN(INT(B6782*5),4)</f>
      </c>
      <c r="E6782" s="6" t="str">
        <f>MIN(INT(C6782*5),4)</f>
      </c>
      <c r="F6782" s="6" t="str">
        <f>D6782*5+E6782</f>
      </c>
    </row>
    <row r="6783">
      <c r="A6783" s="5">
        <v>1735</v>
      </c>
      <c r="B6783" s="5" t="str">
        <f>'Lineal Mixto'!$C$1739</f>
      </c>
      <c r="C6783" s="5" t="str">
        <f>'Lineal Mixto'!$C$1740</f>
      </c>
      <c r="D6783" s="5" t="str">
        <f>MIN(INT(B6783*5),4)</f>
      </c>
      <c r="E6783" s="5" t="str">
        <f>MIN(INT(C6783*5),4)</f>
      </c>
      <c r="F6783" s="5" t="str">
        <f>D6783*5+E6783</f>
      </c>
    </row>
    <row r="6784">
      <c r="A6784" s="6">
        <v>1736</v>
      </c>
      <c r="B6784" s="6" t="str">
        <f>'Lineal Mixto'!$C$1740</f>
      </c>
      <c r="C6784" s="6" t="str">
        <f>'Lineal Mixto'!$C$1741</f>
      </c>
      <c r="D6784" s="6" t="str">
        <f>MIN(INT(B6784*5),4)</f>
      </c>
      <c r="E6784" s="6" t="str">
        <f>MIN(INT(C6784*5),4)</f>
      </c>
      <c r="F6784" s="6" t="str">
        <f>D6784*5+E6784</f>
      </c>
    </row>
    <row r="6785">
      <c r="A6785" s="5">
        <v>1737</v>
      </c>
      <c r="B6785" s="5" t="str">
        <f>'Lineal Mixto'!$C$1741</f>
      </c>
      <c r="C6785" s="5" t="str">
        <f>'Lineal Mixto'!$C$1742</f>
      </c>
      <c r="D6785" s="5" t="str">
        <f>MIN(INT(B6785*5),4)</f>
      </c>
      <c r="E6785" s="5" t="str">
        <f>MIN(INT(C6785*5),4)</f>
      </c>
      <c r="F6785" s="5" t="str">
        <f>D6785*5+E6785</f>
      </c>
    </row>
    <row r="6786">
      <c r="A6786" s="6">
        <v>1738</v>
      </c>
      <c r="B6786" s="6" t="str">
        <f>'Lineal Mixto'!$C$1742</f>
      </c>
      <c r="C6786" s="6" t="str">
        <f>'Lineal Mixto'!$C$1743</f>
      </c>
      <c r="D6786" s="6" t="str">
        <f>MIN(INT(B6786*5),4)</f>
      </c>
      <c r="E6786" s="6" t="str">
        <f>MIN(INT(C6786*5),4)</f>
      </c>
      <c r="F6786" s="6" t="str">
        <f>D6786*5+E6786</f>
      </c>
    </row>
    <row r="6787">
      <c r="A6787" s="5">
        <v>1739</v>
      </c>
      <c r="B6787" s="5" t="str">
        <f>'Lineal Mixto'!$C$1743</f>
      </c>
      <c r="C6787" s="5" t="str">
        <f>'Lineal Mixto'!$C$1744</f>
      </c>
      <c r="D6787" s="5" t="str">
        <f>MIN(INT(B6787*5),4)</f>
      </c>
      <c r="E6787" s="5" t="str">
        <f>MIN(INT(C6787*5),4)</f>
      </c>
      <c r="F6787" s="5" t="str">
        <f>D6787*5+E6787</f>
      </c>
    </row>
    <row r="6788">
      <c r="A6788" s="6">
        <v>1740</v>
      </c>
      <c r="B6788" s="6" t="str">
        <f>'Lineal Mixto'!$C$1744</f>
      </c>
      <c r="C6788" s="6" t="str">
        <f>'Lineal Mixto'!$C$1745</f>
      </c>
      <c r="D6788" s="6" t="str">
        <f>MIN(INT(B6788*5),4)</f>
      </c>
      <c r="E6788" s="6" t="str">
        <f>MIN(INT(C6788*5),4)</f>
      </c>
      <c r="F6788" s="6" t="str">
        <f>D6788*5+E6788</f>
      </c>
    </row>
    <row r="6789">
      <c r="A6789" s="5">
        <v>1741</v>
      </c>
      <c r="B6789" s="5" t="str">
        <f>'Lineal Mixto'!$C$1745</f>
      </c>
      <c r="C6789" s="5" t="str">
        <f>'Lineal Mixto'!$C$1746</f>
      </c>
      <c r="D6789" s="5" t="str">
        <f>MIN(INT(B6789*5),4)</f>
      </c>
      <c r="E6789" s="5" t="str">
        <f>MIN(INT(C6789*5),4)</f>
      </c>
      <c r="F6789" s="5" t="str">
        <f>D6789*5+E6789</f>
      </c>
    </row>
    <row r="6790">
      <c r="A6790" s="6">
        <v>1742</v>
      </c>
      <c r="B6790" s="6" t="str">
        <f>'Lineal Mixto'!$C$1746</f>
      </c>
      <c r="C6790" s="6" t="str">
        <f>'Lineal Mixto'!$C$1747</f>
      </c>
      <c r="D6790" s="6" t="str">
        <f>MIN(INT(B6790*5),4)</f>
      </c>
      <c r="E6790" s="6" t="str">
        <f>MIN(INT(C6790*5),4)</f>
      </c>
      <c r="F6790" s="6" t="str">
        <f>D6790*5+E6790</f>
      </c>
    </row>
    <row r="6791">
      <c r="A6791" s="5">
        <v>1743</v>
      </c>
      <c r="B6791" s="5" t="str">
        <f>'Lineal Mixto'!$C$1747</f>
      </c>
      <c r="C6791" s="5" t="str">
        <f>'Lineal Mixto'!$C$1748</f>
      </c>
      <c r="D6791" s="5" t="str">
        <f>MIN(INT(B6791*5),4)</f>
      </c>
      <c r="E6791" s="5" t="str">
        <f>MIN(INT(C6791*5),4)</f>
      </c>
      <c r="F6791" s="5" t="str">
        <f>D6791*5+E6791</f>
      </c>
    </row>
    <row r="6792">
      <c r="A6792" s="6">
        <v>1744</v>
      </c>
      <c r="B6792" s="6" t="str">
        <f>'Lineal Mixto'!$C$1748</f>
      </c>
      <c r="C6792" s="6" t="str">
        <f>'Lineal Mixto'!$C$1749</f>
      </c>
      <c r="D6792" s="6" t="str">
        <f>MIN(INT(B6792*5),4)</f>
      </c>
      <c r="E6792" s="6" t="str">
        <f>MIN(INT(C6792*5),4)</f>
      </c>
      <c r="F6792" s="6" t="str">
        <f>D6792*5+E6792</f>
      </c>
    </row>
    <row r="6793">
      <c r="A6793" s="5">
        <v>1745</v>
      </c>
      <c r="B6793" s="5" t="str">
        <f>'Lineal Mixto'!$C$1749</f>
      </c>
      <c r="C6793" s="5" t="str">
        <f>'Lineal Mixto'!$C$1750</f>
      </c>
      <c r="D6793" s="5" t="str">
        <f>MIN(INT(B6793*5),4)</f>
      </c>
      <c r="E6793" s="5" t="str">
        <f>MIN(INT(C6793*5),4)</f>
      </c>
      <c r="F6793" s="5" t="str">
        <f>D6793*5+E6793</f>
      </c>
    </row>
    <row r="6794">
      <c r="A6794" s="6">
        <v>1746</v>
      </c>
      <c r="B6794" s="6" t="str">
        <f>'Lineal Mixto'!$C$1750</f>
      </c>
      <c r="C6794" s="6" t="str">
        <f>'Lineal Mixto'!$C$1751</f>
      </c>
      <c r="D6794" s="6" t="str">
        <f>MIN(INT(B6794*5),4)</f>
      </c>
      <c r="E6794" s="6" t="str">
        <f>MIN(INT(C6794*5),4)</f>
      </c>
      <c r="F6794" s="6" t="str">
        <f>D6794*5+E6794</f>
      </c>
    </row>
    <row r="6795">
      <c r="A6795" s="5">
        <v>1747</v>
      </c>
      <c r="B6795" s="5" t="str">
        <f>'Lineal Mixto'!$C$1751</f>
      </c>
      <c r="C6795" s="5" t="str">
        <f>'Lineal Mixto'!$C$1752</f>
      </c>
      <c r="D6795" s="5" t="str">
        <f>MIN(INT(B6795*5),4)</f>
      </c>
      <c r="E6795" s="5" t="str">
        <f>MIN(INT(C6795*5),4)</f>
      </c>
      <c r="F6795" s="5" t="str">
        <f>D6795*5+E6795</f>
      </c>
    </row>
    <row r="6796">
      <c r="A6796" s="6">
        <v>1748</v>
      </c>
      <c r="B6796" s="6" t="str">
        <f>'Lineal Mixto'!$C$1752</f>
      </c>
      <c r="C6796" s="6" t="str">
        <f>'Lineal Mixto'!$C$1753</f>
      </c>
      <c r="D6796" s="6" t="str">
        <f>MIN(INT(B6796*5),4)</f>
      </c>
      <c r="E6796" s="6" t="str">
        <f>MIN(INT(C6796*5),4)</f>
      </c>
      <c r="F6796" s="6" t="str">
        <f>D6796*5+E6796</f>
      </c>
    </row>
    <row r="6797">
      <c r="A6797" s="5">
        <v>1749</v>
      </c>
      <c r="B6797" s="5" t="str">
        <f>'Lineal Mixto'!$C$1753</f>
      </c>
      <c r="C6797" s="5" t="str">
        <f>'Lineal Mixto'!$C$1754</f>
      </c>
      <c r="D6797" s="5" t="str">
        <f>MIN(INT(B6797*5),4)</f>
      </c>
      <c r="E6797" s="5" t="str">
        <f>MIN(INT(C6797*5),4)</f>
      </c>
      <c r="F6797" s="5" t="str">
        <f>D6797*5+E6797</f>
      </c>
    </row>
    <row r="6798">
      <c r="A6798" s="6">
        <v>1750</v>
      </c>
      <c r="B6798" s="6" t="str">
        <f>'Lineal Mixto'!$C$1754</f>
      </c>
      <c r="C6798" s="6" t="str">
        <f>'Lineal Mixto'!$C$1755</f>
      </c>
      <c r="D6798" s="6" t="str">
        <f>MIN(INT(B6798*5),4)</f>
      </c>
      <c r="E6798" s="6" t="str">
        <f>MIN(INT(C6798*5),4)</f>
      </c>
      <c r="F6798" s="6" t="str">
        <f>D6798*5+E6798</f>
      </c>
    </row>
    <row r="6799">
      <c r="A6799" s="5">
        <v>1751</v>
      </c>
      <c r="B6799" s="5" t="str">
        <f>'Lineal Mixto'!$C$1755</f>
      </c>
      <c r="C6799" s="5" t="str">
        <f>'Lineal Mixto'!$C$1756</f>
      </c>
      <c r="D6799" s="5" t="str">
        <f>MIN(INT(B6799*5),4)</f>
      </c>
      <c r="E6799" s="5" t="str">
        <f>MIN(INT(C6799*5),4)</f>
      </c>
      <c r="F6799" s="5" t="str">
        <f>D6799*5+E6799</f>
      </c>
    </row>
    <row r="6800">
      <c r="A6800" s="6">
        <v>1752</v>
      </c>
      <c r="B6800" s="6" t="str">
        <f>'Lineal Mixto'!$C$1756</f>
      </c>
      <c r="C6800" s="6" t="str">
        <f>'Lineal Mixto'!$C$1757</f>
      </c>
      <c r="D6800" s="6" t="str">
        <f>MIN(INT(B6800*5),4)</f>
      </c>
      <c r="E6800" s="6" t="str">
        <f>MIN(INT(C6800*5),4)</f>
      </c>
      <c r="F6800" s="6" t="str">
        <f>D6800*5+E6800</f>
      </c>
    </row>
    <row r="6801">
      <c r="A6801" s="5">
        <v>1753</v>
      </c>
      <c r="B6801" s="5" t="str">
        <f>'Lineal Mixto'!$C$1757</f>
      </c>
      <c r="C6801" s="5" t="str">
        <f>'Lineal Mixto'!$C$1758</f>
      </c>
      <c r="D6801" s="5" t="str">
        <f>MIN(INT(B6801*5),4)</f>
      </c>
      <c r="E6801" s="5" t="str">
        <f>MIN(INT(C6801*5),4)</f>
      </c>
      <c r="F6801" s="5" t="str">
        <f>D6801*5+E6801</f>
      </c>
    </row>
    <row r="6802">
      <c r="A6802" s="6">
        <v>1754</v>
      </c>
      <c r="B6802" s="6" t="str">
        <f>'Lineal Mixto'!$C$1758</f>
      </c>
      <c r="C6802" s="6" t="str">
        <f>'Lineal Mixto'!$C$1759</f>
      </c>
      <c r="D6802" s="6" t="str">
        <f>MIN(INT(B6802*5),4)</f>
      </c>
      <c r="E6802" s="6" t="str">
        <f>MIN(INT(C6802*5),4)</f>
      </c>
      <c r="F6802" s="6" t="str">
        <f>D6802*5+E6802</f>
      </c>
    </row>
    <row r="6803">
      <c r="A6803" s="5">
        <v>1755</v>
      </c>
      <c r="B6803" s="5" t="str">
        <f>'Lineal Mixto'!$C$1759</f>
      </c>
      <c r="C6803" s="5" t="str">
        <f>'Lineal Mixto'!$C$1760</f>
      </c>
      <c r="D6803" s="5" t="str">
        <f>MIN(INT(B6803*5),4)</f>
      </c>
      <c r="E6803" s="5" t="str">
        <f>MIN(INT(C6803*5),4)</f>
      </c>
      <c r="F6803" s="5" t="str">
        <f>D6803*5+E6803</f>
      </c>
    </row>
    <row r="6804">
      <c r="A6804" s="6">
        <v>1756</v>
      </c>
      <c r="B6804" s="6" t="str">
        <f>'Lineal Mixto'!$C$1760</f>
      </c>
      <c r="C6804" s="6" t="str">
        <f>'Lineal Mixto'!$C$1761</f>
      </c>
      <c r="D6804" s="6" t="str">
        <f>MIN(INT(B6804*5),4)</f>
      </c>
      <c r="E6804" s="6" t="str">
        <f>MIN(INT(C6804*5),4)</f>
      </c>
      <c r="F6804" s="6" t="str">
        <f>D6804*5+E6804</f>
      </c>
    </row>
    <row r="6805">
      <c r="A6805" s="5">
        <v>1757</v>
      </c>
      <c r="B6805" s="5" t="str">
        <f>'Lineal Mixto'!$C$1761</f>
      </c>
      <c r="C6805" s="5" t="str">
        <f>'Lineal Mixto'!$C$1762</f>
      </c>
      <c r="D6805" s="5" t="str">
        <f>MIN(INT(B6805*5),4)</f>
      </c>
      <c r="E6805" s="5" t="str">
        <f>MIN(INT(C6805*5),4)</f>
      </c>
      <c r="F6805" s="5" t="str">
        <f>D6805*5+E6805</f>
      </c>
    </row>
    <row r="6806">
      <c r="A6806" s="6">
        <v>1758</v>
      </c>
      <c r="B6806" s="6" t="str">
        <f>'Lineal Mixto'!$C$1762</f>
      </c>
      <c r="C6806" s="6" t="str">
        <f>'Lineal Mixto'!$C$1763</f>
      </c>
      <c r="D6806" s="6" t="str">
        <f>MIN(INT(B6806*5),4)</f>
      </c>
      <c r="E6806" s="6" t="str">
        <f>MIN(INT(C6806*5),4)</f>
      </c>
      <c r="F6806" s="6" t="str">
        <f>D6806*5+E6806</f>
      </c>
    </row>
    <row r="6807">
      <c r="A6807" s="5">
        <v>1759</v>
      </c>
      <c r="B6807" s="5" t="str">
        <f>'Lineal Mixto'!$C$1763</f>
      </c>
      <c r="C6807" s="5" t="str">
        <f>'Lineal Mixto'!$C$1764</f>
      </c>
      <c r="D6807" s="5" t="str">
        <f>MIN(INT(B6807*5),4)</f>
      </c>
      <c r="E6807" s="5" t="str">
        <f>MIN(INT(C6807*5),4)</f>
      </c>
      <c r="F6807" s="5" t="str">
        <f>D6807*5+E6807</f>
      </c>
    </row>
    <row r="6808">
      <c r="A6808" s="6">
        <v>1760</v>
      </c>
      <c r="B6808" s="6" t="str">
        <f>'Lineal Mixto'!$C$1764</f>
      </c>
      <c r="C6808" s="6" t="str">
        <f>'Lineal Mixto'!$C$1765</f>
      </c>
      <c r="D6808" s="6" t="str">
        <f>MIN(INT(B6808*5),4)</f>
      </c>
      <c r="E6808" s="6" t="str">
        <f>MIN(INT(C6808*5),4)</f>
      </c>
      <c r="F6808" s="6" t="str">
        <f>D6808*5+E6808</f>
      </c>
    </row>
    <row r="6809">
      <c r="A6809" s="5">
        <v>1761</v>
      </c>
      <c r="B6809" s="5" t="str">
        <f>'Lineal Mixto'!$C$1765</f>
      </c>
      <c r="C6809" s="5" t="str">
        <f>'Lineal Mixto'!$C$1766</f>
      </c>
      <c r="D6809" s="5" t="str">
        <f>MIN(INT(B6809*5),4)</f>
      </c>
      <c r="E6809" s="5" t="str">
        <f>MIN(INT(C6809*5),4)</f>
      </c>
      <c r="F6809" s="5" t="str">
        <f>D6809*5+E6809</f>
      </c>
    </row>
    <row r="6810">
      <c r="A6810" s="6">
        <v>1762</v>
      </c>
      <c r="B6810" s="6" t="str">
        <f>'Lineal Mixto'!$C$1766</f>
      </c>
      <c r="C6810" s="6" t="str">
        <f>'Lineal Mixto'!$C$1767</f>
      </c>
      <c r="D6810" s="6" t="str">
        <f>MIN(INT(B6810*5),4)</f>
      </c>
      <c r="E6810" s="6" t="str">
        <f>MIN(INT(C6810*5),4)</f>
      </c>
      <c r="F6810" s="6" t="str">
        <f>D6810*5+E6810</f>
      </c>
    </row>
    <row r="6811">
      <c r="A6811" s="5">
        <v>1763</v>
      </c>
      <c r="B6811" s="5" t="str">
        <f>'Lineal Mixto'!$C$1767</f>
      </c>
      <c r="C6811" s="5" t="str">
        <f>'Lineal Mixto'!$C$1768</f>
      </c>
      <c r="D6811" s="5" t="str">
        <f>MIN(INT(B6811*5),4)</f>
      </c>
      <c r="E6811" s="5" t="str">
        <f>MIN(INT(C6811*5),4)</f>
      </c>
      <c r="F6811" s="5" t="str">
        <f>D6811*5+E6811</f>
      </c>
    </row>
    <row r="6812">
      <c r="A6812" s="6">
        <v>1764</v>
      </c>
      <c r="B6812" s="6" t="str">
        <f>'Lineal Mixto'!$C$1768</f>
      </c>
      <c r="C6812" s="6" t="str">
        <f>'Lineal Mixto'!$C$1769</f>
      </c>
      <c r="D6812" s="6" t="str">
        <f>MIN(INT(B6812*5),4)</f>
      </c>
      <c r="E6812" s="6" t="str">
        <f>MIN(INT(C6812*5),4)</f>
      </c>
      <c r="F6812" s="6" t="str">
        <f>D6812*5+E6812</f>
      </c>
    </row>
    <row r="6813">
      <c r="A6813" s="5">
        <v>1765</v>
      </c>
      <c r="B6813" s="5" t="str">
        <f>'Lineal Mixto'!$C$1769</f>
      </c>
      <c r="C6813" s="5" t="str">
        <f>'Lineal Mixto'!$C$1770</f>
      </c>
      <c r="D6813" s="5" t="str">
        <f>MIN(INT(B6813*5),4)</f>
      </c>
      <c r="E6813" s="5" t="str">
        <f>MIN(INT(C6813*5),4)</f>
      </c>
      <c r="F6813" s="5" t="str">
        <f>D6813*5+E6813</f>
      </c>
    </row>
    <row r="6814">
      <c r="A6814" s="6">
        <v>1766</v>
      </c>
      <c r="B6814" s="6" t="str">
        <f>'Lineal Mixto'!$C$1770</f>
      </c>
      <c r="C6814" s="6" t="str">
        <f>'Lineal Mixto'!$C$1771</f>
      </c>
      <c r="D6814" s="6" t="str">
        <f>MIN(INT(B6814*5),4)</f>
      </c>
      <c r="E6814" s="6" t="str">
        <f>MIN(INT(C6814*5),4)</f>
      </c>
      <c r="F6814" s="6" t="str">
        <f>D6814*5+E6814</f>
      </c>
    </row>
    <row r="6815">
      <c r="A6815" s="5">
        <v>1767</v>
      </c>
      <c r="B6815" s="5" t="str">
        <f>'Lineal Mixto'!$C$1771</f>
      </c>
      <c r="C6815" s="5" t="str">
        <f>'Lineal Mixto'!$C$1772</f>
      </c>
      <c r="D6815" s="5" t="str">
        <f>MIN(INT(B6815*5),4)</f>
      </c>
      <c r="E6815" s="5" t="str">
        <f>MIN(INT(C6815*5),4)</f>
      </c>
      <c r="F6815" s="5" t="str">
        <f>D6815*5+E6815</f>
      </c>
    </row>
    <row r="6816">
      <c r="A6816" s="6">
        <v>1768</v>
      </c>
      <c r="B6816" s="6" t="str">
        <f>'Lineal Mixto'!$C$1772</f>
      </c>
      <c r="C6816" s="6" t="str">
        <f>'Lineal Mixto'!$C$1773</f>
      </c>
      <c r="D6816" s="6" t="str">
        <f>MIN(INT(B6816*5),4)</f>
      </c>
      <c r="E6816" s="6" t="str">
        <f>MIN(INT(C6816*5),4)</f>
      </c>
      <c r="F6816" s="6" t="str">
        <f>D6816*5+E6816</f>
      </c>
    </row>
    <row r="6817">
      <c r="A6817" s="5">
        <v>1769</v>
      </c>
      <c r="B6817" s="5" t="str">
        <f>'Lineal Mixto'!$C$1773</f>
      </c>
      <c r="C6817" s="5" t="str">
        <f>'Lineal Mixto'!$C$1774</f>
      </c>
      <c r="D6817" s="5" t="str">
        <f>MIN(INT(B6817*5),4)</f>
      </c>
      <c r="E6817" s="5" t="str">
        <f>MIN(INT(C6817*5),4)</f>
      </c>
      <c r="F6817" s="5" t="str">
        <f>D6817*5+E6817</f>
      </c>
    </row>
    <row r="6818">
      <c r="A6818" s="6">
        <v>1770</v>
      </c>
      <c r="B6818" s="6" t="str">
        <f>'Lineal Mixto'!$C$1774</f>
      </c>
      <c r="C6818" s="6" t="str">
        <f>'Lineal Mixto'!$C$1775</f>
      </c>
      <c r="D6818" s="6" t="str">
        <f>MIN(INT(B6818*5),4)</f>
      </c>
      <c r="E6818" s="6" t="str">
        <f>MIN(INT(C6818*5),4)</f>
      </c>
      <c r="F6818" s="6" t="str">
        <f>D6818*5+E6818</f>
      </c>
    </row>
    <row r="6819">
      <c r="A6819" s="5">
        <v>1771</v>
      </c>
      <c r="B6819" s="5" t="str">
        <f>'Lineal Mixto'!$C$1775</f>
      </c>
      <c r="C6819" s="5" t="str">
        <f>'Lineal Mixto'!$C$1776</f>
      </c>
      <c r="D6819" s="5" t="str">
        <f>MIN(INT(B6819*5),4)</f>
      </c>
      <c r="E6819" s="5" t="str">
        <f>MIN(INT(C6819*5),4)</f>
      </c>
      <c r="F6819" s="5" t="str">
        <f>D6819*5+E6819</f>
      </c>
    </row>
    <row r="6820">
      <c r="A6820" s="6">
        <v>1772</v>
      </c>
      <c r="B6820" s="6" t="str">
        <f>'Lineal Mixto'!$C$1776</f>
      </c>
      <c r="C6820" s="6" t="str">
        <f>'Lineal Mixto'!$C$1777</f>
      </c>
      <c r="D6820" s="6" t="str">
        <f>MIN(INT(B6820*5),4)</f>
      </c>
      <c r="E6820" s="6" t="str">
        <f>MIN(INT(C6820*5),4)</f>
      </c>
      <c r="F6820" s="6" t="str">
        <f>D6820*5+E6820</f>
      </c>
    </row>
    <row r="6821">
      <c r="A6821" s="5">
        <v>1773</v>
      </c>
      <c r="B6821" s="5" t="str">
        <f>'Lineal Mixto'!$C$1777</f>
      </c>
      <c r="C6821" s="5" t="str">
        <f>'Lineal Mixto'!$C$1778</f>
      </c>
      <c r="D6821" s="5" t="str">
        <f>MIN(INT(B6821*5),4)</f>
      </c>
      <c r="E6821" s="5" t="str">
        <f>MIN(INT(C6821*5),4)</f>
      </c>
      <c r="F6821" s="5" t="str">
        <f>D6821*5+E6821</f>
      </c>
    </row>
    <row r="6822">
      <c r="A6822" s="6">
        <v>1774</v>
      </c>
      <c r="B6822" s="6" t="str">
        <f>'Lineal Mixto'!$C$1778</f>
      </c>
      <c r="C6822" s="6" t="str">
        <f>'Lineal Mixto'!$C$1779</f>
      </c>
      <c r="D6822" s="6" t="str">
        <f>MIN(INT(B6822*5),4)</f>
      </c>
      <c r="E6822" s="6" t="str">
        <f>MIN(INT(C6822*5),4)</f>
      </c>
      <c r="F6822" s="6" t="str">
        <f>D6822*5+E6822</f>
      </c>
    </row>
    <row r="6823">
      <c r="A6823" s="5">
        <v>1775</v>
      </c>
      <c r="B6823" s="5" t="str">
        <f>'Lineal Mixto'!$C$1779</f>
      </c>
      <c r="C6823" s="5" t="str">
        <f>'Lineal Mixto'!$C$1780</f>
      </c>
      <c r="D6823" s="5" t="str">
        <f>MIN(INT(B6823*5),4)</f>
      </c>
      <c r="E6823" s="5" t="str">
        <f>MIN(INT(C6823*5),4)</f>
      </c>
      <c r="F6823" s="5" t="str">
        <f>D6823*5+E6823</f>
      </c>
    </row>
    <row r="6824">
      <c r="A6824" s="6">
        <v>1776</v>
      </c>
      <c r="B6824" s="6" t="str">
        <f>'Lineal Mixto'!$C$1780</f>
      </c>
      <c r="C6824" s="6" t="str">
        <f>'Lineal Mixto'!$C$1781</f>
      </c>
      <c r="D6824" s="6" t="str">
        <f>MIN(INT(B6824*5),4)</f>
      </c>
      <c r="E6824" s="6" t="str">
        <f>MIN(INT(C6824*5),4)</f>
      </c>
      <c r="F6824" s="6" t="str">
        <f>D6824*5+E6824</f>
      </c>
    </row>
    <row r="6825">
      <c r="A6825" s="5">
        <v>1777</v>
      </c>
      <c r="B6825" s="5" t="str">
        <f>'Lineal Mixto'!$C$1781</f>
      </c>
      <c r="C6825" s="5" t="str">
        <f>'Lineal Mixto'!$C$1782</f>
      </c>
      <c r="D6825" s="5" t="str">
        <f>MIN(INT(B6825*5),4)</f>
      </c>
      <c r="E6825" s="5" t="str">
        <f>MIN(INT(C6825*5),4)</f>
      </c>
      <c r="F6825" s="5" t="str">
        <f>D6825*5+E6825</f>
      </c>
    </row>
    <row r="6826">
      <c r="A6826" s="6">
        <v>1778</v>
      </c>
      <c r="B6826" s="6" t="str">
        <f>'Lineal Mixto'!$C$1782</f>
      </c>
      <c r="C6826" s="6" t="str">
        <f>'Lineal Mixto'!$C$1783</f>
      </c>
      <c r="D6826" s="6" t="str">
        <f>MIN(INT(B6826*5),4)</f>
      </c>
      <c r="E6826" s="6" t="str">
        <f>MIN(INT(C6826*5),4)</f>
      </c>
      <c r="F6826" s="6" t="str">
        <f>D6826*5+E6826</f>
      </c>
    </row>
    <row r="6827">
      <c r="A6827" s="5">
        <v>1779</v>
      </c>
      <c r="B6827" s="5" t="str">
        <f>'Lineal Mixto'!$C$1783</f>
      </c>
      <c r="C6827" s="5" t="str">
        <f>'Lineal Mixto'!$C$1784</f>
      </c>
      <c r="D6827" s="5" t="str">
        <f>MIN(INT(B6827*5),4)</f>
      </c>
      <c r="E6827" s="5" t="str">
        <f>MIN(INT(C6827*5),4)</f>
      </c>
      <c r="F6827" s="5" t="str">
        <f>D6827*5+E6827</f>
      </c>
    </row>
    <row r="6828">
      <c r="A6828" s="6">
        <v>1780</v>
      </c>
      <c r="B6828" s="6" t="str">
        <f>'Lineal Mixto'!$C$1784</f>
      </c>
      <c r="C6828" s="6" t="str">
        <f>'Lineal Mixto'!$C$1785</f>
      </c>
      <c r="D6828" s="6" t="str">
        <f>MIN(INT(B6828*5),4)</f>
      </c>
      <c r="E6828" s="6" t="str">
        <f>MIN(INT(C6828*5),4)</f>
      </c>
      <c r="F6828" s="6" t="str">
        <f>D6828*5+E6828</f>
      </c>
    </row>
    <row r="6829">
      <c r="A6829" s="5">
        <v>1781</v>
      </c>
      <c r="B6829" s="5" t="str">
        <f>'Lineal Mixto'!$C$1785</f>
      </c>
      <c r="C6829" s="5" t="str">
        <f>'Lineal Mixto'!$C$1786</f>
      </c>
      <c r="D6829" s="5" t="str">
        <f>MIN(INT(B6829*5),4)</f>
      </c>
      <c r="E6829" s="5" t="str">
        <f>MIN(INT(C6829*5),4)</f>
      </c>
      <c r="F6829" s="5" t="str">
        <f>D6829*5+E6829</f>
      </c>
    </row>
    <row r="6830">
      <c r="A6830" s="6">
        <v>1782</v>
      </c>
      <c r="B6830" s="6" t="str">
        <f>'Lineal Mixto'!$C$1786</f>
      </c>
      <c r="C6830" s="6" t="str">
        <f>'Lineal Mixto'!$C$1787</f>
      </c>
      <c r="D6830" s="6" t="str">
        <f>MIN(INT(B6830*5),4)</f>
      </c>
      <c r="E6830" s="6" t="str">
        <f>MIN(INT(C6830*5),4)</f>
      </c>
      <c r="F6830" s="6" t="str">
        <f>D6830*5+E6830</f>
      </c>
    </row>
    <row r="6831">
      <c r="A6831" s="5">
        <v>1783</v>
      </c>
      <c r="B6831" s="5" t="str">
        <f>'Lineal Mixto'!$C$1787</f>
      </c>
      <c r="C6831" s="5" t="str">
        <f>'Lineal Mixto'!$C$1788</f>
      </c>
      <c r="D6831" s="5" t="str">
        <f>MIN(INT(B6831*5),4)</f>
      </c>
      <c r="E6831" s="5" t="str">
        <f>MIN(INT(C6831*5),4)</f>
      </c>
      <c r="F6831" s="5" t="str">
        <f>D6831*5+E6831</f>
      </c>
    </row>
    <row r="6832">
      <c r="A6832" s="6">
        <v>1784</v>
      </c>
      <c r="B6832" s="6" t="str">
        <f>'Lineal Mixto'!$C$1788</f>
      </c>
      <c r="C6832" s="6" t="str">
        <f>'Lineal Mixto'!$C$1789</f>
      </c>
      <c r="D6832" s="6" t="str">
        <f>MIN(INT(B6832*5),4)</f>
      </c>
      <c r="E6832" s="6" t="str">
        <f>MIN(INT(C6832*5),4)</f>
      </c>
      <c r="F6832" s="6" t="str">
        <f>D6832*5+E6832</f>
      </c>
    </row>
    <row r="6833">
      <c r="A6833" s="5">
        <v>1785</v>
      </c>
      <c r="B6833" s="5" t="str">
        <f>'Lineal Mixto'!$C$1789</f>
      </c>
      <c r="C6833" s="5" t="str">
        <f>'Lineal Mixto'!$C$1790</f>
      </c>
      <c r="D6833" s="5" t="str">
        <f>MIN(INT(B6833*5),4)</f>
      </c>
      <c r="E6833" s="5" t="str">
        <f>MIN(INT(C6833*5),4)</f>
      </c>
      <c r="F6833" s="5" t="str">
        <f>D6833*5+E6833</f>
      </c>
    </row>
    <row r="6834">
      <c r="A6834" s="6">
        <v>1786</v>
      </c>
      <c r="B6834" s="6" t="str">
        <f>'Lineal Mixto'!$C$1790</f>
      </c>
      <c r="C6834" s="6" t="str">
        <f>'Lineal Mixto'!$C$1791</f>
      </c>
      <c r="D6834" s="6" t="str">
        <f>MIN(INT(B6834*5),4)</f>
      </c>
      <c r="E6834" s="6" t="str">
        <f>MIN(INT(C6834*5),4)</f>
      </c>
      <c r="F6834" s="6" t="str">
        <f>D6834*5+E6834</f>
      </c>
    </row>
    <row r="6835">
      <c r="A6835" s="5">
        <v>1787</v>
      </c>
      <c r="B6835" s="5" t="str">
        <f>'Lineal Mixto'!$C$1791</f>
      </c>
      <c r="C6835" s="5" t="str">
        <f>'Lineal Mixto'!$C$1792</f>
      </c>
      <c r="D6835" s="5" t="str">
        <f>MIN(INT(B6835*5),4)</f>
      </c>
      <c r="E6835" s="5" t="str">
        <f>MIN(INT(C6835*5),4)</f>
      </c>
      <c r="F6835" s="5" t="str">
        <f>D6835*5+E6835</f>
      </c>
    </row>
    <row r="6836">
      <c r="A6836" s="6">
        <v>1788</v>
      </c>
      <c r="B6836" s="6" t="str">
        <f>'Lineal Mixto'!$C$1792</f>
      </c>
      <c r="C6836" s="6" t="str">
        <f>'Lineal Mixto'!$C$1793</f>
      </c>
      <c r="D6836" s="6" t="str">
        <f>MIN(INT(B6836*5),4)</f>
      </c>
      <c r="E6836" s="6" t="str">
        <f>MIN(INT(C6836*5),4)</f>
      </c>
      <c r="F6836" s="6" t="str">
        <f>D6836*5+E6836</f>
      </c>
    </row>
    <row r="6837">
      <c r="A6837" s="5">
        <v>1789</v>
      </c>
      <c r="B6837" s="5" t="str">
        <f>'Lineal Mixto'!$C$1793</f>
      </c>
      <c r="C6837" s="5" t="str">
        <f>'Lineal Mixto'!$C$1794</f>
      </c>
      <c r="D6837" s="5" t="str">
        <f>MIN(INT(B6837*5),4)</f>
      </c>
      <c r="E6837" s="5" t="str">
        <f>MIN(INT(C6837*5),4)</f>
      </c>
      <c r="F6837" s="5" t="str">
        <f>D6837*5+E6837</f>
      </c>
    </row>
    <row r="6838">
      <c r="A6838" s="6">
        <v>1790</v>
      </c>
      <c r="B6838" s="6" t="str">
        <f>'Lineal Mixto'!$C$1794</f>
      </c>
      <c r="C6838" s="6" t="str">
        <f>'Lineal Mixto'!$C$1795</f>
      </c>
      <c r="D6838" s="6" t="str">
        <f>MIN(INT(B6838*5),4)</f>
      </c>
      <c r="E6838" s="6" t="str">
        <f>MIN(INT(C6838*5),4)</f>
      </c>
      <c r="F6838" s="6" t="str">
        <f>D6838*5+E6838</f>
      </c>
    </row>
    <row r="6839">
      <c r="A6839" s="5">
        <v>1791</v>
      </c>
      <c r="B6839" s="5" t="str">
        <f>'Lineal Mixto'!$C$1795</f>
      </c>
      <c r="C6839" s="5" t="str">
        <f>'Lineal Mixto'!$C$1796</f>
      </c>
      <c r="D6839" s="5" t="str">
        <f>MIN(INT(B6839*5),4)</f>
      </c>
      <c r="E6839" s="5" t="str">
        <f>MIN(INT(C6839*5),4)</f>
      </c>
      <c r="F6839" s="5" t="str">
        <f>D6839*5+E6839</f>
      </c>
    </row>
    <row r="6840">
      <c r="A6840" s="6">
        <v>1792</v>
      </c>
      <c r="B6840" s="6" t="str">
        <f>'Lineal Mixto'!$C$1796</f>
      </c>
      <c r="C6840" s="6" t="str">
        <f>'Lineal Mixto'!$C$1797</f>
      </c>
      <c r="D6840" s="6" t="str">
        <f>MIN(INT(B6840*5),4)</f>
      </c>
      <c r="E6840" s="6" t="str">
        <f>MIN(INT(C6840*5),4)</f>
      </c>
      <c r="F6840" s="6" t="str">
        <f>D6840*5+E6840</f>
      </c>
    </row>
    <row r="6841">
      <c r="A6841" s="5">
        <v>1793</v>
      </c>
      <c r="B6841" s="5" t="str">
        <f>'Lineal Mixto'!$C$1797</f>
      </c>
      <c r="C6841" s="5" t="str">
        <f>'Lineal Mixto'!$C$1798</f>
      </c>
      <c r="D6841" s="5" t="str">
        <f>MIN(INT(B6841*5),4)</f>
      </c>
      <c r="E6841" s="5" t="str">
        <f>MIN(INT(C6841*5),4)</f>
      </c>
      <c r="F6841" s="5" t="str">
        <f>D6841*5+E6841</f>
      </c>
    </row>
    <row r="6842">
      <c r="A6842" s="6">
        <v>1794</v>
      </c>
      <c r="B6842" s="6" t="str">
        <f>'Lineal Mixto'!$C$1798</f>
      </c>
      <c r="C6842" s="6" t="str">
        <f>'Lineal Mixto'!$C$1799</f>
      </c>
      <c r="D6842" s="6" t="str">
        <f>MIN(INT(B6842*5),4)</f>
      </c>
      <c r="E6842" s="6" t="str">
        <f>MIN(INT(C6842*5),4)</f>
      </c>
      <c r="F6842" s="6" t="str">
        <f>D6842*5+E6842</f>
      </c>
    </row>
    <row r="6843">
      <c r="A6843" s="5">
        <v>1795</v>
      </c>
      <c r="B6843" s="5" t="str">
        <f>'Lineal Mixto'!$C$1799</f>
      </c>
      <c r="C6843" s="5" t="str">
        <f>'Lineal Mixto'!$C$1800</f>
      </c>
      <c r="D6843" s="5" t="str">
        <f>MIN(INT(B6843*5),4)</f>
      </c>
      <c r="E6843" s="5" t="str">
        <f>MIN(INT(C6843*5),4)</f>
      </c>
      <c r="F6843" s="5" t="str">
        <f>D6843*5+E6843</f>
      </c>
    </row>
    <row r="6844">
      <c r="A6844" s="6">
        <v>1796</v>
      </c>
      <c r="B6844" s="6" t="str">
        <f>'Lineal Mixto'!$C$1800</f>
      </c>
      <c r="C6844" s="6" t="str">
        <f>'Lineal Mixto'!$C$1801</f>
      </c>
      <c r="D6844" s="6" t="str">
        <f>MIN(INT(B6844*5),4)</f>
      </c>
      <c r="E6844" s="6" t="str">
        <f>MIN(INT(C6844*5),4)</f>
      </c>
      <c r="F6844" s="6" t="str">
        <f>D6844*5+E6844</f>
      </c>
    </row>
    <row r="6845">
      <c r="A6845" s="5">
        <v>1797</v>
      </c>
      <c r="B6845" s="5" t="str">
        <f>'Lineal Mixto'!$C$1801</f>
      </c>
      <c r="C6845" s="5" t="str">
        <f>'Lineal Mixto'!$C$1802</f>
      </c>
      <c r="D6845" s="5" t="str">
        <f>MIN(INT(B6845*5),4)</f>
      </c>
      <c r="E6845" s="5" t="str">
        <f>MIN(INT(C6845*5),4)</f>
      </c>
      <c r="F6845" s="5" t="str">
        <f>D6845*5+E6845</f>
      </c>
    </row>
    <row r="6846">
      <c r="A6846" s="6">
        <v>1798</v>
      </c>
      <c r="B6846" s="6" t="str">
        <f>'Lineal Mixto'!$C$1802</f>
      </c>
      <c r="C6846" s="6" t="str">
        <f>'Lineal Mixto'!$C$1803</f>
      </c>
      <c r="D6846" s="6" t="str">
        <f>MIN(INT(B6846*5),4)</f>
      </c>
      <c r="E6846" s="6" t="str">
        <f>MIN(INT(C6846*5),4)</f>
      </c>
      <c r="F6846" s="6" t="str">
        <f>D6846*5+E6846</f>
      </c>
    </row>
    <row r="6847">
      <c r="A6847" s="5">
        <v>1799</v>
      </c>
      <c r="B6847" s="5" t="str">
        <f>'Lineal Mixto'!$C$1803</f>
      </c>
      <c r="C6847" s="5" t="str">
        <f>'Lineal Mixto'!$C$1804</f>
      </c>
      <c r="D6847" s="5" t="str">
        <f>MIN(INT(B6847*5),4)</f>
      </c>
      <c r="E6847" s="5" t="str">
        <f>MIN(INT(C6847*5),4)</f>
      </c>
      <c r="F6847" s="5" t="str">
        <f>D6847*5+E6847</f>
      </c>
    </row>
    <row r="6848">
      <c r="A6848" s="6">
        <v>1800</v>
      </c>
      <c r="B6848" s="6" t="str">
        <f>'Lineal Mixto'!$C$1804</f>
      </c>
      <c r="C6848" s="6" t="str">
        <f>'Lineal Mixto'!$C$1805</f>
      </c>
      <c r="D6848" s="6" t="str">
        <f>MIN(INT(B6848*5),4)</f>
      </c>
      <c r="E6848" s="6" t="str">
        <f>MIN(INT(C6848*5),4)</f>
      </c>
      <c r="F6848" s="6" t="str">
        <f>D6848*5+E6848</f>
      </c>
    </row>
    <row r="6849">
      <c r="A6849" s="5">
        <v>1801</v>
      </c>
      <c r="B6849" s="5" t="str">
        <f>'Lineal Mixto'!$C$1805</f>
      </c>
      <c r="C6849" s="5" t="str">
        <f>'Lineal Mixto'!$C$1806</f>
      </c>
      <c r="D6849" s="5" t="str">
        <f>MIN(INT(B6849*5),4)</f>
      </c>
      <c r="E6849" s="5" t="str">
        <f>MIN(INT(C6849*5),4)</f>
      </c>
      <c r="F6849" s="5" t="str">
        <f>D6849*5+E6849</f>
      </c>
    </row>
    <row r="6850">
      <c r="A6850" s="6">
        <v>1802</v>
      </c>
      <c r="B6850" s="6" t="str">
        <f>'Lineal Mixto'!$C$1806</f>
      </c>
      <c r="C6850" s="6" t="str">
        <f>'Lineal Mixto'!$C$1807</f>
      </c>
      <c r="D6850" s="6" t="str">
        <f>MIN(INT(B6850*5),4)</f>
      </c>
      <c r="E6850" s="6" t="str">
        <f>MIN(INT(C6850*5),4)</f>
      </c>
      <c r="F6850" s="6" t="str">
        <f>D6850*5+E6850</f>
      </c>
    </row>
    <row r="6851">
      <c r="A6851" s="5">
        <v>1803</v>
      </c>
      <c r="B6851" s="5" t="str">
        <f>'Lineal Mixto'!$C$1807</f>
      </c>
      <c r="C6851" s="5" t="str">
        <f>'Lineal Mixto'!$C$1808</f>
      </c>
      <c r="D6851" s="5" t="str">
        <f>MIN(INT(B6851*5),4)</f>
      </c>
      <c r="E6851" s="5" t="str">
        <f>MIN(INT(C6851*5),4)</f>
      </c>
      <c r="F6851" s="5" t="str">
        <f>D6851*5+E6851</f>
      </c>
    </row>
    <row r="6852">
      <c r="A6852" s="6">
        <v>1804</v>
      </c>
      <c r="B6852" s="6" t="str">
        <f>'Lineal Mixto'!$C$1808</f>
      </c>
      <c r="C6852" s="6" t="str">
        <f>'Lineal Mixto'!$C$1809</f>
      </c>
      <c r="D6852" s="6" t="str">
        <f>MIN(INT(B6852*5),4)</f>
      </c>
      <c r="E6852" s="6" t="str">
        <f>MIN(INT(C6852*5),4)</f>
      </c>
      <c r="F6852" s="6" t="str">
        <f>D6852*5+E6852</f>
      </c>
    </row>
    <row r="6853">
      <c r="A6853" s="5">
        <v>1805</v>
      </c>
      <c r="B6853" s="5" t="str">
        <f>'Lineal Mixto'!$C$1809</f>
      </c>
      <c r="C6853" s="5" t="str">
        <f>'Lineal Mixto'!$C$1810</f>
      </c>
      <c r="D6853" s="5" t="str">
        <f>MIN(INT(B6853*5),4)</f>
      </c>
      <c r="E6853" s="5" t="str">
        <f>MIN(INT(C6853*5),4)</f>
      </c>
      <c r="F6853" s="5" t="str">
        <f>D6853*5+E6853</f>
      </c>
    </row>
    <row r="6854">
      <c r="A6854" s="6">
        <v>1806</v>
      </c>
      <c r="B6854" s="6" t="str">
        <f>'Lineal Mixto'!$C$1810</f>
      </c>
      <c r="C6854" s="6" t="str">
        <f>'Lineal Mixto'!$C$1811</f>
      </c>
      <c r="D6854" s="6" t="str">
        <f>MIN(INT(B6854*5),4)</f>
      </c>
      <c r="E6854" s="6" t="str">
        <f>MIN(INT(C6854*5),4)</f>
      </c>
      <c r="F6854" s="6" t="str">
        <f>D6854*5+E6854</f>
      </c>
    </row>
    <row r="6855">
      <c r="A6855" s="5">
        <v>1807</v>
      </c>
      <c r="B6855" s="5" t="str">
        <f>'Lineal Mixto'!$C$1811</f>
      </c>
      <c r="C6855" s="5" t="str">
        <f>'Lineal Mixto'!$C$1812</f>
      </c>
      <c r="D6855" s="5" t="str">
        <f>MIN(INT(B6855*5),4)</f>
      </c>
      <c r="E6855" s="5" t="str">
        <f>MIN(INT(C6855*5),4)</f>
      </c>
      <c r="F6855" s="5" t="str">
        <f>D6855*5+E6855</f>
      </c>
    </row>
    <row r="6856">
      <c r="A6856" s="6">
        <v>1808</v>
      </c>
      <c r="B6856" s="6" t="str">
        <f>'Lineal Mixto'!$C$1812</f>
      </c>
      <c r="C6856" s="6" t="str">
        <f>'Lineal Mixto'!$C$1813</f>
      </c>
      <c r="D6856" s="6" t="str">
        <f>MIN(INT(B6856*5),4)</f>
      </c>
      <c r="E6856" s="6" t="str">
        <f>MIN(INT(C6856*5),4)</f>
      </c>
      <c r="F6856" s="6" t="str">
        <f>D6856*5+E6856</f>
      </c>
    </row>
    <row r="6857">
      <c r="A6857" s="5">
        <v>1809</v>
      </c>
      <c r="B6857" s="5" t="str">
        <f>'Lineal Mixto'!$C$1813</f>
      </c>
      <c r="C6857" s="5" t="str">
        <f>'Lineal Mixto'!$C$1814</f>
      </c>
      <c r="D6857" s="5" t="str">
        <f>MIN(INT(B6857*5),4)</f>
      </c>
      <c r="E6857" s="5" t="str">
        <f>MIN(INT(C6857*5),4)</f>
      </c>
      <c r="F6857" s="5" t="str">
        <f>D6857*5+E6857</f>
      </c>
    </row>
    <row r="6858">
      <c r="A6858" s="6">
        <v>1810</v>
      </c>
      <c r="B6858" s="6" t="str">
        <f>'Lineal Mixto'!$C$1814</f>
      </c>
      <c r="C6858" s="6" t="str">
        <f>'Lineal Mixto'!$C$1815</f>
      </c>
      <c r="D6858" s="6" t="str">
        <f>MIN(INT(B6858*5),4)</f>
      </c>
      <c r="E6858" s="6" t="str">
        <f>MIN(INT(C6858*5),4)</f>
      </c>
      <c r="F6858" s="6" t="str">
        <f>D6858*5+E6858</f>
      </c>
    </row>
    <row r="6859">
      <c r="A6859" s="5">
        <v>1811</v>
      </c>
      <c r="B6859" s="5" t="str">
        <f>'Lineal Mixto'!$C$1815</f>
      </c>
      <c r="C6859" s="5" t="str">
        <f>'Lineal Mixto'!$C$1816</f>
      </c>
      <c r="D6859" s="5" t="str">
        <f>MIN(INT(B6859*5),4)</f>
      </c>
      <c r="E6859" s="5" t="str">
        <f>MIN(INT(C6859*5),4)</f>
      </c>
      <c r="F6859" s="5" t="str">
        <f>D6859*5+E6859</f>
      </c>
    </row>
    <row r="6860">
      <c r="A6860" s="6">
        <v>1812</v>
      </c>
      <c r="B6860" s="6" t="str">
        <f>'Lineal Mixto'!$C$1816</f>
      </c>
      <c r="C6860" s="6" t="str">
        <f>'Lineal Mixto'!$C$1817</f>
      </c>
      <c r="D6860" s="6" t="str">
        <f>MIN(INT(B6860*5),4)</f>
      </c>
      <c r="E6860" s="6" t="str">
        <f>MIN(INT(C6860*5),4)</f>
      </c>
      <c r="F6860" s="6" t="str">
        <f>D6860*5+E6860</f>
      </c>
    </row>
    <row r="6861">
      <c r="A6861" s="5">
        <v>1813</v>
      </c>
      <c r="B6861" s="5" t="str">
        <f>'Lineal Mixto'!$C$1817</f>
      </c>
      <c r="C6861" s="5" t="str">
        <f>'Lineal Mixto'!$C$1818</f>
      </c>
      <c r="D6861" s="5" t="str">
        <f>MIN(INT(B6861*5),4)</f>
      </c>
      <c r="E6861" s="5" t="str">
        <f>MIN(INT(C6861*5),4)</f>
      </c>
      <c r="F6861" s="5" t="str">
        <f>D6861*5+E6861</f>
      </c>
    </row>
    <row r="6862">
      <c r="A6862" s="6">
        <v>1814</v>
      </c>
      <c r="B6862" s="6" t="str">
        <f>'Lineal Mixto'!$C$1818</f>
      </c>
      <c r="C6862" s="6" t="str">
        <f>'Lineal Mixto'!$C$1819</f>
      </c>
      <c r="D6862" s="6" t="str">
        <f>MIN(INT(B6862*5),4)</f>
      </c>
      <c r="E6862" s="6" t="str">
        <f>MIN(INT(C6862*5),4)</f>
      </c>
      <c r="F6862" s="6" t="str">
        <f>D6862*5+E6862</f>
      </c>
    </row>
    <row r="6863">
      <c r="A6863" s="5">
        <v>1815</v>
      </c>
      <c r="B6863" s="5" t="str">
        <f>'Lineal Mixto'!$C$1819</f>
      </c>
      <c r="C6863" s="5" t="str">
        <f>'Lineal Mixto'!$C$1820</f>
      </c>
      <c r="D6863" s="5" t="str">
        <f>MIN(INT(B6863*5),4)</f>
      </c>
      <c r="E6863" s="5" t="str">
        <f>MIN(INT(C6863*5),4)</f>
      </c>
      <c r="F6863" s="5" t="str">
        <f>D6863*5+E6863</f>
      </c>
    </row>
    <row r="6864">
      <c r="A6864" s="6">
        <v>1816</v>
      </c>
      <c r="B6864" s="6" t="str">
        <f>'Lineal Mixto'!$C$1820</f>
      </c>
      <c r="C6864" s="6" t="str">
        <f>'Lineal Mixto'!$C$1821</f>
      </c>
      <c r="D6864" s="6" t="str">
        <f>MIN(INT(B6864*5),4)</f>
      </c>
      <c r="E6864" s="6" t="str">
        <f>MIN(INT(C6864*5),4)</f>
      </c>
      <c r="F6864" s="6" t="str">
        <f>D6864*5+E6864</f>
      </c>
    </row>
    <row r="6865">
      <c r="A6865" s="5">
        <v>1817</v>
      </c>
      <c r="B6865" s="5" t="str">
        <f>'Lineal Mixto'!$C$1821</f>
      </c>
      <c r="C6865" s="5" t="str">
        <f>'Lineal Mixto'!$C$1822</f>
      </c>
      <c r="D6865" s="5" t="str">
        <f>MIN(INT(B6865*5),4)</f>
      </c>
      <c r="E6865" s="5" t="str">
        <f>MIN(INT(C6865*5),4)</f>
      </c>
      <c r="F6865" s="5" t="str">
        <f>D6865*5+E6865</f>
      </c>
    </row>
    <row r="6866">
      <c r="A6866" s="6">
        <v>1818</v>
      </c>
      <c r="B6866" s="6" t="str">
        <f>'Lineal Mixto'!$C$1822</f>
      </c>
      <c r="C6866" s="6" t="str">
        <f>'Lineal Mixto'!$C$1823</f>
      </c>
      <c r="D6866" s="6" t="str">
        <f>MIN(INT(B6866*5),4)</f>
      </c>
      <c r="E6866" s="6" t="str">
        <f>MIN(INT(C6866*5),4)</f>
      </c>
      <c r="F6866" s="6" t="str">
        <f>D6866*5+E6866</f>
      </c>
    </row>
    <row r="6867">
      <c r="A6867" s="5">
        <v>1819</v>
      </c>
      <c r="B6867" s="5" t="str">
        <f>'Lineal Mixto'!$C$1823</f>
      </c>
      <c r="C6867" s="5" t="str">
        <f>'Lineal Mixto'!$C$1824</f>
      </c>
      <c r="D6867" s="5" t="str">
        <f>MIN(INT(B6867*5),4)</f>
      </c>
      <c r="E6867" s="5" t="str">
        <f>MIN(INT(C6867*5),4)</f>
      </c>
      <c r="F6867" s="5" t="str">
        <f>D6867*5+E6867</f>
      </c>
    </row>
    <row r="6868">
      <c r="A6868" s="6">
        <v>1820</v>
      </c>
      <c r="B6868" s="6" t="str">
        <f>'Lineal Mixto'!$C$1824</f>
      </c>
      <c r="C6868" s="6" t="str">
        <f>'Lineal Mixto'!$C$1825</f>
      </c>
      <c r="D6868" s="6" t="str">
        <f>MIN(INT(B6868*5),4)</f>
      </c>
      <c r="E6868" s="6" t="str">
        <f>MIN(INT(C6868*5),4)</f>
      </c>
      <c r="F6868" s="6" t="str">
        <f>D6868*5+E6868</f>
      </c>
    </row>
    <row r="6869">
      <c r="A6869" s="5">
        <v>1821</v>
      </c>
      <c r="B6869" s="5" t="str">
        <f>'Lineal Mixto'!$C$1825</f>
      </c>
      <c r="C6869" s="5" t="str">
        <f>'Lineal Mixto'!$C$1826</f>
      </c>
      <c r="D6869" s="5" t="str">
        <f>MIN(INT(B6869*5),4)</f>
      </c>
      <c r="E6869" s="5" t="str">
        <f>MIN(INT(C6869*5),4)</f>
      </c>
      <c r="F6869" s="5" t="str">
        <f>D6869*5+E6869</f>
      </c>
    </row>
    <row r="6870">
      <c r="A6870" s="6">
        <v>1822</v>
      </c>
      <c r="B6870" s="6" t="str">
        <f>'Lineal Mixto'!$C$1826</f>
      </c>
      <c r="C6870" s="6" t="str">
        <f>'Lineal Mixto'!$C$1827</f>
      </c>
      <c r="D6870" s="6" t="str">
        <f>MIN(INT(B6870*5),4)</f>
      </c>
      <c r="E6870" s="6" t="str">
        <f>MIN(INT(C6870*5),4)</f>
      </c>
      <c r="F6870" s="6" t="str">
        <f>D6870*5+E6870</f>
      </c>
    </row>
    <row r="6871">
      <c r="A6871" s="5">
        <v>1823</v>
      </c>
      <c r="B6871" s="5" t="str">
        <f>'Lineal Mixto'!$C$1827</f>
      </c>
      <c r="C6871" s="5" t="str">
        <f>'Lineal Mixto'!$C$1828</f>
      </c>
      <c r="D6871" s="5" t="str">
        <f>MIN(INT(B6871*5),4)</f>
      </c>
      <c r="E6871" s="5" t="str">
        <f>MIN(INT(C6871*5),4)</f>
      </c>
      <c r="F6871" s="5" t="str">
        <f>D6871*5+E6871</f>
      </c>
    </row>
    <row r="6872">
      <c r="A6872" s="6">
        <v>1824</v>
      </c>
      <c r="B6872" s="6" t="str">
        <f>'Lineal Mixto'!$C$1828</f>
      </c>
      <c r="C6872" s="6" t="str">
        <f>'Lineal Mixto'!$C$1829</f>
      </c>
      <c r="D6872" s="6" t="str">
        <f>MIN(INT(B6872*5),4)</f>
      </c>
      <c r="E6872" s="6" t="str">
        <f>MIN(INT(C6872*5),4)</f>
      </c>
      <c r="F6872" s="6" t="str">
        <f>D6872*5+E6872</f>
      </c>
    </row>
    <row r="6873">
      <c r="A6873" s="5">
        <v>1825</v>
      </c>
      <c r="B6873" s="5" t="str">
        <f>'Lineal Mixto'!$C$1829</f>
      </c>
      <c r="C6873" s="5" t="str">
        <f>'Lineal Mixto'!$C$1830</f>
      </c>
      <c r="D6873" s="5" t="str">
        <f>MIN(INT(B6873*5),4)</f>
      </c>
      <c r="E6873" s="5" t="str">
        <f>MIN(INT(C6873*5),4)</f>
      </c>
      <c r="F6873" s="5" t="str">
        <f>D6873*5+E6873</f>
      </c>
    </row>
    <row r="6874">
      <c r="A6874" s="6">
        <v>1826</v>
      </c>
      <c r="B6874" s="6" t="str">
        <f>'Lineal Mixto'!$C$1830</f>
      </c>
      <c r="C6874" s="6" t="str">
        <f>'Lineal Mixto'!$C$1831</f>
      </c>
      <c r="D6874" s="6" t="str">
        <f>MIN(INT(B6874*5),4)</f>
      </c>
      <c r="E6874" s="6" t="str">
        <f>MIN(INT(C6874*5),4)</f>
      </c>
      <c r="F6874" s="6" t="str">
        <f>D6874*5+E6874</f>
      </c>
    </row>
    <row r="6875">
      <c r="A6875" s="5">
        <v>1827</v>
      </c>
      <c r="B6875" s="5" t="str">
        <f>'Lineal Mixto'!$C$1831</f>
      </c>
      <c r="C6875" s="5" t="str">
        <f>'Lineal Mixto'!$C$1832</f>
      </c>
      <c r="D6875" s="5" t="str">
        <f>MIN(INT(B6875*5),4)</f>
      </c>
      <c r="E6875" s="5" t="str">
        <f>MIN(INT(C6875*5),4)</f>
      </c>
      <c r="F6875" s="5" t="str">
        <f>D6875*5+E6875</f>
      </c>
    </row>
    <row r="6876">
      <c r="A6876" s="6">
        <v>1828</v>
      </c>
      <c r="B6876" s="6" t="str">
        <f>'Lineal Mixto'!$C$1832</f>
      </c>
      <c r="C6876" s="6" t="str">
        <f>'Lineal Mixto'!$C$1833</f>
      </c>
      <c r="D6876" s="6" t="str">
        <f>MIN(INT(B6876*5),4)</f>
      </c>
      <c r="E6876" s="6" t="str">
        <f>MIN(INT(C6876*5),4)</f>
      </c>
      <c r="F6876" s="6" t="str">
        <f>D6876*5+E6876</f>
      </c>
    </row>
    <row r="6877">
      <c r="A6877" s="5">
        <v>1829</v>
      </c>
      <c r="B6877" s="5" t="str">
        <f>'Lineal Mixto'!$C$1833</f>
      </c>
      <c r="C6877" s="5" t="str">
        <f>'Lineal Mixto'!$C$1834</f>
      </c>
      <c r="D6877" s="5" t="str">
        <f>MIN(INT(B6877*5),4)</f>
      </c>
      <c r="E6877" s="5" t="str">
        <f>MIN(INT(C6877*5),4)</f>
      </c>
      <c r="F6877" s="5" t="str">
        <f>D6877*5+E6877</f>
      </c>
    </row>
    <row r="6878">
      <c r="A6878" s="6">
        <v>1830</v>
      </c>
      <c r="B6878" s="6" t="str">
        <f>'Lineal Mixto'!$C$1834</f>
      </c>
      <c r="C6878" s="6" t="str">
        <f>'Lineal Mixto'!$C$1835</f>
      </c>
      <c r="D6878" s="6" t="str">
        <f>MIN(INT(B6878*5),4)</f>
      </c>
      <c r="E6878" s="6" t="str">
        <f>MIN(INT(C6878*5),4)</f>
      </c>
      <c r="F6878" s="6" t="str">
        <f>D6878*5+E6878</f>
      </c>
    </row>
    <row r="6879">
      <c r="A6879" s="5">
        <v>1831</v>
      </c>
      <c r="B6879" s="5" t="str">
        <f>'Lineal Mixto'!$C$1835</f>
      </c>
      <c r="C6879" s="5" t="str">
        <f>'Lineal Mixto'!$C$1836</f>
      </c>
      <c r="D6879" s="5" t="str">
        <f>MIN(INT(B6879*5),4)</f>
      </c>
      <c r="E6879" s="5" t="str">
        <f>MIN(INT(C6879*5),4)</f>
      </c>
      <c r="F6879" s="5" t="str">
        <f>D6879*5+E6879</f>
      </c>
    </row>
    <row r="6880">
      <c r="A6880" s="6">
        <v>1832</v>
      </c>
      <c r="B6880" s="6" t="str">
        <f>'Lineal Mixto'!$C$1836</f>
      </c>
      <c r="C6880" s="6" t="str">
        <f>'Lineal Mixto'!$C$1837</f>
      </c>
      <c r="D6880" s="6" t="str">
        <f>MIN(INT(B6880*5),4)</f>
      </c>
      <c r="E6880" s="6" t="str">
        <f>MIN(INT(C6880*5),4)</f>
      </c>
      <c r="F6880" s="6" t="str">
        <f>D6880*5+E6880</f>
      </c>
    </row>
    <row r="6881">
      <c r="A6881" s="5">
        <v>1833</v>
      </c>
      <c r="B6881" s="5" t="str">
        <f>'Lineal Mixto'!$C$1837</f>
      </c>
      <c r="C6881" s="5" t="str">
        <f>'Lineal Mixto'!$C$1838</f>
      </c>
      <c r="D6881" s="5" t="str">
        <f>MIN(INT(B6881*5),4)</f>
      </c>
      <c r="E6881" s="5" t="str">
        <f>MIN(INT(C6881*5),4)</f>
      </c>
      <c r="F6881" s="5" t="str">
        <f>D6881*5+E6881</f>
      </c>
    </row>
    <row r="6882">
      <c r="A6882" s="6">
        <v>1834</v>
      </c>
      <c r="B6882" s="6" t="str">
        <f>'Lineal Mixto'!$C$1838</f>
      </c>
      <c r="C6882" s="6" t="str">
        <f>'Lineal Mixto'!$C$1839</f>
      </c>
      <c r="D6882" s="6" t="str">
        <f>MIN(INT(B6882*5),4)</f>
      </c>
      <c r="E6882" s="6" t="str">
        <f>MIN(INT(C6882*5),4)</f>
      </c>
      <c r="F6882" s="6" t="str">
        <f>D6882*5+E6882</f>
      </c>
    </row>
    <row r="6883">
      <c r="A6883" s="5">
        <v>1835</v>
      </c>
      <c r="B6883" s="5" t="str">
        <f>'Lineal Mixto'!$C$1839</f>
      </c>
      <c r="C6883" s="5" t="str">
        <f>'Lineal Mixto'!$C$1840</f>
      </c>
      <c r="D6883" s="5" t="str">
        <f>MIN(INT(B6883*5),4)</f>
      </c>
      <c r="E6883" s="5" t="str">
        <f>MIN(INT(C6883*5),4)</f>
      </c>
      <c r="F6883" s="5" t="str">
        <f>D6883*5+E6883</f>
      </c>
    </row>
    <row r="6884">
      <c r="A6884" s="6">
        <v>1836</v>
      </c>
      <c r="B6884" s="6" t="str">
        <f>'Lineal Mixto'!$C$1840</f>
      </c>
      <c r="C6884" s="6" t="str">
        <f>'Lineal Mixto'!$C$1841</f>
      </c>
      <c r="D6884" s="6" t="str">
        <f>MIN(INT(B6884*5),4)</f>
      </c>
      <c r="E6884" s="6" t="str">
        <f>MIN(INT(C6884*5),4)</f>
      </c>
      <c r="F6884" s="6" t="str">
        <f>D6884*5+E6884</f>
      </c>
    </row>
    <row r="6885">
      <c r="A6885" s="5">
        <v>1837</v>
      </c>
      <c r="B6885" s="5" t="str">
        <f>'Lineal Mixto'!$C$1841</f>
      </c>
      <c r="C6885" s="5" t="str">
        <f>'Lineal Mixto'!$C$1842</f>
      </c>
      <c r="D6885" s="5" t="str">
        <f>MIN(INT(B6885*5),4)</f>
      </c>
      <c r="E6885" s="5" t="str">
        <f>MIN(INT(C6885*5),4)</f>
      </c>
      <c r="F6885" s="5" t="str">
        <f>D6885*5+E6885</f>
      </c>
    </row>
    <row r="6886">
      <c r="A6886" s="6">
        <v>1838</v>
      </c>
      <c r="B6886" s="6" t="str">
        <f>'Lineal Mixto'!$C$1842</f>
      </c>
      <c r="C6886" s="6" t="str">
        <f>'Lineal Mixto'!$C$1843</f>
      </c>
      <c r="D6886" s="6" t="str">
        <f>MIN(INT(B6886*5),4)</f>
      </c>
      <c r="E6886" s="6" t="str">
        <f>MIN(INT(C6886*5),4)</f>
      </c>
      <c r="F6886" s="6" t="str">
        <f>D6886*5+E6886</f>
      </c>
    </row>
    <row r="6887">
      <c r="A6887" s="5">
        <v>1839</v>
      </c>
      <c r="B6887" s="5" t="str">
        <f>'Lineal Mixto'!$C$1843</f>
      </c>
      <c r="C6887" s="5" t="str">
        <f>'Lineal Mixto'!$C$1844</f>
      </c>
      <c r="D6887" s="5" t="str">
        <f>MIN(INT(B6887*5),4)</f>
      </c>
      <c r="E6887" s="5" t="str">
        <f>MIN(INT(C6887*5),4)</f>
      </c>
      <c r="F6887" s="5" t="str">
        <f>D6887*5+E6887</f>
      </c>
    </row>
    <row r="6888">
      <c r="A6888" s="6">
        <v>1840</v>
      </c>
      <c r="B6888" s="6" t="str">
        <f>'Lineal Mixto'!$C$1844</f>
      </c>
      <c r="C6888" s="6" t="str">
        <f>'Lineal Mixto'!$C$1845</f>
      </c>
      <c r="D6888" s="6" t="str">
        <f>MIN(INT(B6888*5),4)</f>
      </c>
      <c r="E6888" s="6" t="str">
        <f>MIN(INT(C6888*5),4)</f>
      </c>
      <c r="F6888" s="6" t="str">
        <f>D6888*5+E6888</f>
      </c>
    </row>
    <row r="6889">
      <c r="A6889" s="5">
        <v>1841</v>
      </c>
      <c r="B6889" s="5" t="str">
        <f>'Lineal Mixto'!$C$1845</f>
      </c>
      <c r="C6889" s="5" t="str">
        <f>'Lineal Mixto'!$C$1846</f>
      </c>
      <c r="D6889" s="5" t="str">
        <f>MIN(INT(B6889*5),4)</f>
      </c>
      <c r="E6889" s="5" t="str">
        <f>MIN(INT(C6889*5),4)</f>
      </c>
      <c r="F6889" s="5" t="str">
        <f>D6889*5+E6889</f>
      </c>
    </row>
    <row r="6890">
      <c r="A6890" s="6">
        <v>1842</v>
      </c>
      <c r="B6890" s="6" t="str">
        <f>'Lineal Mixto'!$C$1846</f>
      </c>
      <c r="C6890" s="6" t="str">
        <f>'Lineal Mixto'!$C$1847</f>
      </c>
      <c r="D6890" s="6" t="str">
        <f>MIN(INT(B6890*5),4)</f>
      </c>
      <c r="E6890" s="6" t="str">
        <f>MIN(INT(C6890*5),4)</f>
      </c>
      <c r="F6890" s="6" t="str">
        <f>D6890*5+E6890</f>
      </c>
    </row>
    <row r="6891">
      <c r="A6891" s="5">
        <v>1843</v>
      </c>
      <c r="B6891" s="5" t="str">
        <f>'Lineal Mixto'!$C$1847</f>
      </c>
      <c r="C6891" s="5" t="str">
        <f>'Lineal Mixto'!$C$1848</f>
      </c>
      <c r="D6891" s="5" t="str">
        <f>MIN(INT(B6891*5),4)</f>
      </c>
      <c r="E6891" s="5" t="str">
        <f>MIN(INT(C6891*5),4)</f>
      </c>
      <c r="F6891" s="5" t="str">
        <f>D6891*5+E6891</f>
      </c>
    </row>
    <row r="6892">
      <c r="A6892" s="6">
        <v>1844</v>
      </c>
      <c r="B6892" s="6" t="str">
        <f>'Lineal Mixto'!$C$1848</f>
      </c>
      <c r="C6892" s="6" t="str">
        <f>'Lineal Mixto'!$C$1849</f>
      </c>
      <c r="D6892" s="6" t="str">
        <f>MIN(INT(B6892*5),4)</f>
      </c>
      <c r="E6892" s="6" t="str">
        <f>MIN(INT(C6892*5),4)</f>
      </c>
      <c r="F6892" s="6" t="str">
        <f>D6892*5+E6892</f>
      </c>
    </row>
    <row r="6893">
      <c r="A6893" s="5">
        <v>1845</v>
      </c>
      <c r="B6893" s="5" t="str">
        <f>'Lineal Mixto'!$C$1849</f>
      </c>
      <c r="C6893" s="5" t="str">
        <f>'Lineal Mixto'!$C$1850</f>
      </c>
      <c r="D6893" s="5" t="str">
        <f>MIN(INT(B6893*5),4)</f>
      </c>
      <c r="E6893" s="5" t="str">
        <f>MIN(INT(C6893*5),4)</f>
      </c>
      <c r="F6893" s="5" t="str">
        <f>D6893*5+E6893</f>
      </c>
    </row>
    <row r="6894">
      <c r="A6894" s="6">
        <v>1846</v>
      </c>
      <c r="B6894" s="6" t="str">
        <f>'Lineal Mixto'!$C$1850</f>
      </c>
      <c r="C6894" s="6" t="str">
        <f>'Lineal Mixto'!$C$1851</f>
      </c>
      <c r="D6894" s="6" t="str">
        <f>MIN(INT(B6894*5),4)</f>
      </c>
      <c r="E6894" s="6" t="str">
        <f>MIN(INT(C6894*5),4)</f>
      </c>
      <c r="F6894" s="6" t="str">
        <f>D6894*5+E6894</f>
      </c>
    </row>
    <row r="6895">
      <c r="A6895" s="5">
        <v>1847</v>
      </c>
      <c r="B6895" s="5" t="str">
        <f>'Lineal Mixto'!$C$1851</f>
      </c>
      <c r="C6895" s="5" t="str">
        <f>'Lineal Mixto'!$C$1852</f>
      </c>
      <c r="D6895" s="5" t="str">
        <f>MIN(INT(B6895*5),4)</f>
      </c>
      <c r="E6895" s="5" t="str">
        <f>MIN(INT(C6895*5),4)</f>
      </c>
      <c r="F6895" s="5" t="str">
        <f>D6895*5+E6895</f>
      </c>
    </row>
    <row r="6896">
      <c r="A6896" s="6">
        <v>1848</v>
      </c>
      <c r="B6896" s="6" t="str">
        <f>'Lineal Mixto'!$C$1852</f>
      </c>
      <c r="C6896" s="6" t="str">
        <f>'Lineal Mixto'!$C$1853</f>
      </c>
      <c r="D6896" s="6" t="str">
        <f>MIN(INT(B6896*5),4)</f>
      </c>
      <c r="E6896" s="6" t="str">
        <f>MIN(INT(C6896*5),4)</f>
      </c>
      <c r="F6896" s="6" t="str">
        <f>D6896*5+E6896</f>
      </c>
    </row>
    <row r="6897">
      <c r="A6897" s="5">
        <v>1849</v>
      </c>
      <c r="B6897" s="5" t="str">
        <f>'Lineal Mixto'!$C$1853</f>
      </c>
      <c r="C6897" s="5" t="str">
        <f>'Lineal Mixto'!$C$1854</f>
      </c>
      <c r="D6897" s="5" t="str">
        <f>MIN(INT(B6897*5),4)</f>
      </c>
      <c r="E6897" s="5" t="str">
        <f>MIN(INT(C6897*5),4)</f>
      </c>
      <c r="F6897" s="5" t="str">
        <f>D6897*5+E6897</f>
      </c>
    </row>
    <row r="6898">
      <c r="A6898" s="6">
        <v>1850</v>
      </c>
      <c r="B6898" s="6" t="str">
        <f>'Lineal Mixto'!$C$1854</f>
      </c>
      <c r="C6898" s="6" t="str">
        <f>'Lineal Mixto'!$C$1855</f>
      </c>
      <c r="D6898" s="6" t="str">
        <f>MIN(INT(B6898*5),4)</f>
      </c>
      <c r="E6898" s="6" t="str">
        <f>MIN(INT(C6898*5),4)</f>
      </c>
      <c r="F6898" s="6" t="str">
        <f>D6898*5+E6898</f>
      </c>
    </row>
    <row r="6899">
      <c r="A6899" s="5">
        <v>1851</v>
      </c>
      <c r="B6899" s="5" t="str">
        <f>'Lineal Mixto'!$C$1855</f>
      </c>
      <c r="C6899" s="5" t="str">
        <f>'Lineal Mixto'!$C$1856</f>
      </c>
      <c r="D6899" s="5" t="str">
        <f>MIN(INT(B6899*5),4)</f>
      </c>
      <c r="E6899" s="5" t="str">
        <f>MIN(INT(C6899*5),4)</f>
      </c>
      <c r="F6899" s="5" t="str">
        <f>D6899*5+E6899</f>
      </c>
    </row>
    <row r="6900">
      <c r="A6900" s="6">
        <v>1852</v>
      </c>
      <c r="B6900" s="6" t="str">
        <f>'Lineal Mixto'!$C$1856</f>
      </c>
      <c r="C6900" s="6" t="str">
        <f>'Lineal Mixto'!$C$1857</f>
      </c>
      <c r="D6900" s="6" t="str">
        <f>MIN(INT(B6900*5),4)</f>
      </c>
      <c r="E6900" s="6" t="str">
        <f>MIN(INT(C6900*5),4)</f>
      </c>
      <c r="F6900" s="6" t="str">
        <f>D6900*5+E6900</f>
      </c>
    </row>
    <row r="6901">
      <c r="A6901" s="5">
        <v>1853</v>
      </c>
      <c r="B6901" s="5" t="str">
        <f>'Lineal Mixto'!$C$1857</f>
      </c>
      <c r="C6901" s="5" t="str">
        <f>'Lineal Mixto'!$C$1858</f>
      </c>
      <c r="D6901" s="5" t="str">
        <f>MIN(INT(B6901*5),4)</f>
      </c>
      <c r="E6901" s="5" t="str">
        <f>MIN(INT(C6901*5),4)</f>
      </c>
      <c r="F6901" s="5" t="str">
        <f>D6901*5+E6901</f>
      </c>
    </row>
    <row r="6902">
      <c r="A6902" s="6">
        <v>1854</v>
      </c>
      <c r="B6902" s="6" t="str">
        <f>'Lineal Mixto'!$C$1858</f>
      </c>
      <c r="C6902" s="6" t="str">
        <f>'Lineal Mixto'!$C$1859</f>
      </c>
      <c r="D6902" s="6" t="str">
        <f>MIN(INT(B6902*5),4)</f>
      </c>
      <c r="E6902" s="6" t="str">
        <f>MIN(INT(C6902*5),4)</f>
      </c>
      <c r="F6902" s="6" t="str">
        <f>D6902*5+E6902</f>
      </c>
    </row>
    <row r="6903">
      <c r="A6903" s="5">
        <v>1855</v>
      </c>
      <c r="B6903" s="5" t="str">
        <f>'Lineal Mixto'!$C$1859</f>
      </c>
      <c r="C6903" s="5" t="str">
        <f>'Lineal Mixto'!$C$1860</f>
      </c>
      <c r="D6903" s="5" t="str">
        <f>MIN(INT(B6903*5),4)</f>
      </c>
      <c r="E6903" s="5" t="str">
        <f>MIN(INT(C6903*5),4)</f>
      </c>
      <c r="F6903" s="5" t="str">
        <f>D6903*5+E6903</f>
      </c>
    </row>
    <row r="6904">
      <c r="A6904" s="6">
        <v>1856</v>
      </c>
      <c r="B6904" s="6" t="str">
        <f>'Lineal Mixto'!$C$1860</f>
      </c>
      <c r="C6904" s="6" t="str">
        <f>'Lineal Mixto'!$C$1861</f>
      </c>
      <c r="D6904" s="6" t="str">
        <f>MIN(INT(B6904*5),4)</f>
      </c>
      <c r="E6904" s="6" t="str">
        <f>MIN(INT(C6904*5),4)</f>
      </c>
      <c r="F6904" s="6" t="str">
        <f>D6904*5+E6904</f>
      </c>
    </row>
    <row r="6905">
      <c r="A6905" s="5">
        <v>1857</v>
      </c>
      <c r="B6905" s="5" t="str">
        <f>'Lineal Mixto'!$C$1861</f>
      </c>
      <c r="C6905" s="5" t="str">
        <f>'Lineal Mixto'!$C$1862</f>
      </c>
      <c r="D6905" s="5" t="str">
        <f>MIN(INT(B6905*5),4)</f>
      </c>
      <c r="E6905" s="5" t="str">
        <f>MIN(INT(C6905*5),4)</f>
      </c>
      <c r="F6905" s="5" t="str">
        <f>D6905*5+E6905</f>
      </c>
    </row>
    <row r="6906">
      <c r="A6906" s="6">
        <v>1858</v>
      </c>
      <c r="B6906" s="6" t="str">
        <f>'Lineal Mixto'!$C$1862</f>
      </c>
      <c r="C6906" s="6" t="str">
        <f>'Lineal Mixto'!$C$1863</f>
      </c>
      <c r="D6906" s="6" t="str">
        <f>MIN(INT(B6906*5),4)</f>
      </c>
      <c r="E6906" s="6" t="str">
        <f>MIN(INT(C6906*5),4)</f>
      </c>
      <c r="F6906" s="6" t="str">
        <f>D6906*5+E6906</f>
      </c>
    </row>
    <row r="6907">
      <c r="A6907" s="5">
        <v>1859</v>
      </c>
      <c r="B6907" s="5" t="str">
        <f>'Lineal Mixto'!$C$1863</f>
      </c>
      <c r="C6907" s="5" t="str">
        <f>'Lineal Mixto'!$C$1864</f>
      </c>
      <c r="D6907" s="5" t="str">
        <f>MIN(INT(B6907*5),4)</f>
      </c>
      <c r="E6907" s="5" t="str">
        <f>MIN(INT(C6907*5),4)</f>
      </c>
      <c r="F6907" s="5" t="str">
        <f>D6907*5+E6907</f>
      </c>
    </row>
    <row r="6908">
      <c r="A6908" s="6">
        <v>1860</v>
      </c>
      <c r="B6908" s="6" t="str">
        <f>'Lineal Mixto'!$C$1864</f>
      </c>
      <c r="C6908" s="6" t="str">
        <f>'Lineal Mixto'!$C$1865</f>
      </c>
      <c r="D6908" s="6" t="str">
        <f>MIN(INT(B6908*5),4)</f>
      </c>
      <c r="E6908" s="6" t="str">
        <f>MIN(INT(C6908*5),4)</f>
      </c>
      <c r="F6908" s="6" t="str">
        <f>D6908*5+E6908</f>
      </c>
    </row>
    <row r="6909">
      <c r="A6909" s="5">
        <v>1861</v>
      </c>
      <c r="B6909" s="5" t="str">
        <f>'Lineal Mixto'!$C$1865</f>
      </c>
      <c r="C6909" s="5" t="str">
        <f>'Lineal Mixto'!$C$1866</f>
      </c>
      <c r="D6909" s="5" t="str">
        <f>MIN(INT(B6909*5),4)</f>
      </c>
      <c r="E6909" s="5" t="str">
        <f>MIN(INT(C6909*5),4)</f>
      </c>
      <c r="F6909" s="5" t="str">
        <f>D6909*5+E6909</f>
      </c>
    </row>
    <row r="6910">
      <c r="A6910" s="6">
        <v>1862</v>
      </c>
      <c r="B6910" s="6" t="str">
        <f>'Lineal Mixto'!$C$1866</f>
      </c>
      <c r="C6910" s="6" t="str">
        <f>'Lineal Mixto'!$C$1867</f>
      </c>
      <c r="D6910" s="6" t="str">
        <f>MIN(INT(B6910*5),4)</f>
      </c>
      <c r="E6910" s="6" t="str">
        <f>MIN(INT(C6910*5),4)</f>
      </c>
      <c r="F6910" s="6" t="str">
        <f>D6910*5+E6910</f>
      </c>
    </row>
    <row r="6911">
      <c r="A6911" s="5">
        <v>1863</v>
      </c>
      <c r="B6911" s="5" t="str">
        <f>'Lineal Mixto'!$C$1867</f>
      </c>
      <c r="C6911" s="5" t="str">
        <f>'Lineal Mixto'!$C$1868</f>
      </c>
      <c r="D6911" s="5" t="str">
        <f>MIN(INT(B6911*5),4)</f>
      </c>
      <c r="E6911" s="5" t="str">
        <f>MIN(INT(C6911*5),4)</f>
      </c>
      <c r="F6911" s="5" t="str">
        <f>D6911*5+E6911</f>
      </c>
    </row>
    <row r="6912">
      <c r="A6912" s="6">
        <v>1864</v>
      </c>
      <c r="B6912" s="6" t="str">
        <f>'Lineal Mixto'!$C$1868</f>
      </c>
      <c r="C6912" s="6" t="str">
        <f>'Lineal Mixto'!$C$1869</f>
      </c>
      <c r="D6912" s="6" t="str">
        <f>MIN(INT(B6912*5),4)</f>
      </c>
      <c r="E6912" s="6" t="str">
        <f>MIN(INT(C6912*5),4)</f>
      </c>
      <c r="F6912" s="6" t="str">
        <f>D6912*5+E6912</f>
      </c>
    </row>
    <row r="6913">
      <c r="A6913" s="5">
        <v>1865</v>
      </c>
      <c r="B6913" s="5" t="str">
        <f>'Lineal Mixto'!$C$1869</f>
      </c>
      <c r="C6913" s="5" t="str">
        <f>'Lineal Mixto'!$C$1870</f>
      </c>
      <c r="D6913" s="5" t="str">
        <f>MIN(INT(B6913*5),4)</f>
      </c>
      <c r="E6913" s="5" t="str">
        <f>MIN(INT(C6913*5),4)</f>
      </c>
      <c r="F6913" s="5" t="str">
        <f>D6913*5+E6913</f>
      </c>
    </row>
    <row r="6914">
      <c r="A6914" s="6">
        <v>1866</v>
      </c>
      <c r="B6914" s="6" t="str">
        <f>'Lineal Mixto'!$C$1870</f>
      </c>
      <c r="C6914" s="6" t="str">
        <f>'Lineal Mixto'!$C$1871</f>
      </c>
      <c r="D6914" s="6" t="str">
        <f>MIN(INT(B6914*5),4)</f>
      </c>
      <c r="E6914" s="6" t="str">
        <f>MIN(INT(C6914*5),4)</f>
      </c>
      <c r="F6914" s="6" t="str">
        <f>D6914*5+E6914</f>
      </c>
    </row>
    <row r="6915">
      <c r="A6915" s="5">
        <v>1867</v>
      </c>
      <c r="B6915" s="5" t="str">
        <f>'Lineal Mixto'!$C$1871</f>
      </c>
      <c r="C6915" s="5" t="str">
        <f>'Lineal Mixto'!$C$1872</f>
      </c>
      <c r="D6915" s="5" t="str">
        <f>MIN(INT(B6915*5),4)</f>
      </c>
      <c r="E6915" s="5" t="str">
        <f>MIN(INT(C6915*5),4)</f>
      </c>
      <c r="F6915" s="5" t="str">
        <f>D6915*5+E6915</f>
      </c>
    </row>
    <row r="6916">
      <c r="A6916" s="6">
        <v>1868</v>
      </c>
      <c r="B6916" s="6" t="str">
        <f>'Lineal Mixto'!$C$1872</f>
      </c>
      <c r="C6916" s="6" t="str">
        <f>'Lineal Mixto'!$C$1873</f>
      </c>
      <c r="D6916" s="6" t="str">
        <f>MIN(INT(B6916*5),4)</f>
      </c>
      <c r="E6916" s="6" t="str">
        <f>MIN(INT(C6916*5),4)</f>
      </c>
      <c r="F6916" s="6" t="str">
        <f>D6916*5+E6916</f>
      </c>
    </row>
    <row r="6917">
      <c r="A6917" s="5">
        <v>1869</v>
      </c>
      <c r="B6917" s="5" t="str">
        <f>'Lineal Mixto'!$C$1873</f>
      </c>
      <c r="C6917" s="5" t="str">
        <f>'Lineal Mixto'!$C$1874</f>
      </c>
      <c r="D6917" s="5" t="str">
        <f>MIN(INT(B6917*5),4)</f>
      </c>
      <c r="E6917" s="5" t="str">
        <f>MIN(INT(C6917*5),4)</f>
      </c>
      <c r="F6917" s="5" t="str">
        <f>D6917*5+E6917</f>
      </c>
    </row>
    <row r="6918">
      <c r="A6918" s="6">
        <v>1870</v>
      </c>
      <c r="B6918" s="6" t="str">
        <f>'Lineal Mixto'!$C$1874</f>
      </c>
      <c r="C6918" s="6" t="str">
        <f>'Lineal Mixto'!$C$1875</f>
      </c>
      <c r="D6918" s="6" t="str">
        <f>MIN(INT(B6918*5),4)</f>
      </c>
      <c r="E6918" s="6" t="str">
        <f>MIN(INT(C6918*5),4)</f>
      </c>
      <c r="F6918" s="6" t="str">
        <f>D6918*5+E6918</f>
      </c>
    </row>
    <row r="6919">
      <c r="A6919" s="5">
        <v>1871</v>
      </c>
      <c r="B6919" s="5" t="str">
        <f>'Lineal Mixto'!$C$1875</f>
      </c>
      <c r="C6919" s="5" t="str">
        <f>'Lineal Mixto'!$C$1876</f>
      </c>
      <c r="D6919" s="5" t="str">
        <f>MIN(INT(B6919*5),4)</f>
      </c>
      <c r="E6919" s="5" t="str">
        <f>MIN(INT(C6919*5),4)</f>
      </c>
      <c r="F6919" s="5" t="str">
        <f>D6919*5+E6919</f>
      </c>
    </row>
    <row r="6920">
      <c r="A6920" s="6">
        <v>1872</v>
      </c>
      <c r="B6920" s="6" t="str">
        <f>'Lineal Mixto'!$C$1876</f>
      </c>
      <c r="C6920" s="6" t="str">
        <f>'Lineal Mixto'!$C$1877</f>
      </c>
      <c r="D6920" s="6" t="str">
        <f>MIN(INT(B6920*5),4)</f>
      </c>
      <c r="E6920" s="6" t="str">
        <f>MIN(INT(C6920*5),4)</f>
      </c>
      <c r="F6920" s="6" t="str">
        <f>D6920*5+E6920</f>
      </c>
    </row>
    <row r="6921">
      <c r="A6921" s="5">
        <v>1873</v>
      </c>
      <c r="B6921" s="5" t="str">
        <f>'Lineal Mixto'!$C$1877</f>
      </c>
      <c r="C6921" s="5" t="str">
        <f>'Lineal Mixto'!$C$1878</f>
      </c>
      <c r="D6921" s="5" t="str">
        <f>MIN(INT(B6921*5),4)</f>
      </c>
      <c r="E6921" s="5" t="str">
        <f>MIN(INT(C6921*5),4)</f>
      </c>
      <c r="F6921" s="5" t="str">
        <f>D6921*5+E6921</f>
      </c>
    </row>
    <row r="6922">
      <c r="A6922" s="6">
        <v>1874</v>
      </c>
      <c r="B6922" s="6" t="str">
        <f>'Lineal Mixto'!$C$1878</f>
      </c>
      <c r="C6922" s="6" t="str">
        <f>'Lineal Mixto'!$C$1879</f>
      </c>
      <c r="D6922" s="6" t="str">
        <f>MIN(INT(B6922*5),4)</f>
      </c>
      <c r="E6922" s="6" t="str">
        <f>MIN(INT(C6922*5),4)</f>
      </c>
      <c r="F6922" s="6" t="str">
        <f>D6922*5+E6922</f>
      </c>
    </row>
    <row r="6923">
      <c r="A6923" s="5">
        <v>1875</v>
      </c>
      <c r="B6923" s="5" t="str">
        <f>'Lineal Mixto'!$C$1879</f>
      </c>
      <c r="C6923" s="5" t="str">
        <f>'Lineal Mixto'!$C$1880</f>
      </c>
      <c r="D6923" s="5" t="str">
        <f>MIN(INT(B6923*5),4)</f>
      </c>
      <c r="E6923" s="5" t="str">
        <f>MIN(INT(C6923*5),4)</f>
      </c>
      <c r="F6923" s="5" t="str">
        <f>D6923*5+E6923</f>
      </c>
    </row>
    <row r="6924">
      <c r="A6924" s="6">
        <v>1876</v>
      </c>
      <c r="B6924" s="6" t="str">
        <f>'Lineal Mixto'!$C$1880</f>
      </c>
      <c r="C6924" s="6" t="str">
        <f>'Lineal Mixto'!$C$1881</f>
      </c>
      <c r="D6924" s="6" t="str">
        <f>MIN(INT(B6924*5),4)</f>
      </c>
      <c r="E6924" s="6" t="str">
        <f>MIN(INT(C6924*5),4)</f>
      </c>
      <c r="F6924" s="6" t="str">
        <f>D6924*5+E6924</f>
      </c>
    </row>
    <row r="6925">
      <c r="A6925" s="5">
        <v>1877</v>
      </c>
      <c r="B6925" s="5" t="str">
        <f>'Lineal Mixto'!$C$1881</f>
      </c>
      <c r="C6925" s="5" t="str">
        <f>'Lineal Mixto'!$C$1882</f>
      </c>
      <c r="D6925" s="5" t="str">
        <f>MIN(INT(B6925*5),4)</f>
      </c>
      <c r="E6925" s="5" t="str">
        <f>MIN(INT(C6925*5),4)</f>
      </c>
      <c r="F6925" s="5" t="str">
        <f>D6925*5+E6925</f>
      </c>
    </row>
    <row r="6926">
      <c r="A6926" s="6">
        <v>1878</v>
      </c>
      <c r="B6926" s="6" t="str">
        <f>'Lineal Mixto'!$C$1882</f>
      </c>
      <c r="C6926" s="6" t="str">
        <f>'Lineal Mixto'!$C$1883</f>
      </c>
      <c r="D6926" s="6" t="str">
        <f>MIN(INT(B6926*5),4)</f>
      </c>
      <c r="E6926" s="6" t="str">
        <f>MIN(INT(C6926*5),4)</f>
      </c>
      <c r="F6926" s="6" t="str">
        <f>D6926*5+E6926</f>
      </c>
    </row>
    <row r="6927">
      <c r="A6927" s="5">
        <v>1879</v>
      </c>
      <c r="B6927" s="5" t="str">
        <f>'Lineal Mixto'!$C$1883</f>
      </c>
      <c r="C6927" s="5" t="str">
        <f>'Lineal Mixto'!$C$1884</f>
      </c>
      <c r="D6927" s="5" t="str">
        <f>MIN(INT(B6927*5),4)</f>
      </c>
      <c r="E6927" s="5" t="str">
        <f>MIN(INT(C6927*5),4)</f>
      </c>
      <c r="F6927" s="5" t="str">
        <f>D6927*5+E6927</f>
      </c>
    </row>
    <row r="6928">
      <c r="A6928" s="6">
        <v>1880</v>
      </c>
      <c r="B6928" s="6" t="str">
        <f>'Lineal Mixto'!$C$1884</f>
      </c>
      <c r="C6928" s="6" t="str">
        <f>'Lineal Mixto'!$C$1885</f>
      </c>
      <c r="D6928" s="6" t="str">
        <f>MIN(INT(B6928*5),4)</f>
      </c>
      <c r="E6928" s="6" t="str">
        <f>MIN(INT(C6928*5),4)</f>
      </c>
      <c r="F6928" s="6" t="str">
        <f>D6928*5+E6928</f>
      </c>
    </row>
    <row r="6929">
      <c r="A6929" s="5">
        <v>1881</v>
      </c>
      <c r="B6929" s="5" t="str">
        <f>'Lineal Mixto'!$C$1885</f>
      </c>
      <c r="C6929" s="5" t="str">
        <f>'Lineal Mixto'!$C$1886</f>
      </c>
      <c r="D6929" s="5" t="str">
        <f>MIN(INT(B6929*5),4)</f>
      </c>
      <c r="E6929" s="5" t="str">
        <f>MIN(INT(C6929*5),4)</f>
      </c>
      <c r="F6929" s="5" t="str">
        <f>D6929*5+E6929</f>
      </c>
    </row>
    <row r="6930">
      <c r="A6930" s="6">
        <v>1882</v>
      </c>
      <c r="B6930" s="6" t="str">
        <f>'Lineal Mixto'!$C$1886</f>
      </c>
      <c r="C6930" s="6" t="str">
        <f>'Lineal Mixto'!$C$1887</f>
      </c>
      <c r="D6930" s="6" t="str">
        <f>MIN(INT(B6930*5),4)</f>
      </c>
      <c r="E6930" s="6" t="str">
        <f>MIN(INT(C6930*5),4)</f>
      </c>
      <c r="F6930" s="6" t="str">
        <f>D6930*5+E6930</f>
      </c>
    </row>
    <row r="6931">
      <c r="A6931" s="5">
        <v>1883</v>
      </c>
      <c r="B6931" s="5" t="str">
        <f>'Lineal Mixto'!$C$1887</f>
      </c>
      <c r="C6931" s="5" t="str">
        <f>'Lineal Mixto'!$C$1888</f>
      </c>
      <c r="D6931" s="5" t="str">
        <f>MIN(INT(B6931*5),4)</f>
      </c>
      <c r="E6931" s="5" t="str">
        <f>MIN(INT(C6931*5),4)</f>
      </c>
      <c r="F6931" s="5" t="str">
        <f>D6931*5+E6931</f>
      </c>
    </row>
    <row r="6932">
      <c r="A6932" s="6">
        <v>1884</v>
      </c>
      <c r="B6932" s="6" t="str">
        <f>'Lineal Mixto'!$C$1888</f>
      </c>
      <c r="C6932" s="6" t="str">
        <f>'Lineal Mixto'!$C$1889</f>
      </c>
      <c r="D6932" s="6" t="str">
        <f>MIN(INT(B6932*5),4)</f>
      </c>
      <c r="E6932" s="6" t="str">
        <f>MIN(INT(C6932*5),4)</f>
      </c>
      <c r="F6932" s="6" t="str">
        <f>D6932*5+E6932</f>
      </c>
    </row>
    <row r="6933">
      <c r="A6933" s="5">
        <v>1885</v>
      </c>
      <c r="B6933" s="5" t="str">
        <f>'Lineal Mixto'!$C$1889</f>
      </c>
      <c r="C6933" s="5" t="str">
        <f>'Lineal Mixto'!$C$1890</f>
      </c>
      <c r="D6933" s="5" t="str">
        <f>MIN(INT(B6933*5),4)</f>
      </c>
      <c r="E6933" s="5" t="str">
        <f>MIN(INT(C6933*5),4)</f>
      </c>
      <c r="F6933" s="5" t="str">
        <f>D6933*5+E6933</f>
      </c>
    </row>
    <row r="6934">
      <c r="A6934" s="6">
        <v>1886</v>
      </c>
      <c r="B6934" s="6" t="str">
        <f>'Lineal Mixto'!$C$1890</f>
      </c>
      <c r="C6934" s="6" t="str">
        <f>'Lineal Mixto'!$C$1891</f>
      </c>
      <c r="D6934" s="6" t="str">
        <f>MIN(INT(B6934*5),4)</f>
      </c>
      <c r="E6934" s="6" t="str">
        <f>MIN(INT(C6934*5),4)</f>
      </c>
      <c r="F6934" s="6" t="str">
        <f>D6934*5+E6934</f>
      </c>
    </row>
    <row r="6935">
      <c r="A6935" s="5">
        <v>1887</v>
      </c>
      <c r="B6935" s="5" t="str">
        <f>'Lineal Mixto'!$C$1891</f>
      </c>
      <c r="C6935" s="5" t="str">
        <f>'Lineal Mixto'!$C$1892</f>
      </c>
      <c r="D6935" s="5" t="str">
        <f>MIN(INT(B6935*5),4)</f>
      </c>
      <c r="E6935" s="5" t="str">
        <f>MIN(INT(C6935*5),4)</f>
      </c>
      <c r="F6935" s="5" t="str">
        <f>D6935*5+E6935</f>
      </c>
    </row>
    <row r="6936">
      <c r="A6936" s="6">
        <v>1888</v>
      </c>
      <c r="B6936" s="6" t="str">
        <f>'Lineal Mixto'!$C$1892</f>
      </c>
      <c r="C6936" s="6" t="str">
        <f>'Lineal Mixto'!$C$1893</f>
      </c>
      <c r="D6936" s="6" t="str">
        <f>MIN(INT(B6936*5),4)</f>
      </c>
      <c r="E6936" s="6" t="str">
        <f>MIN(INT(C6936*5),4)</f>
      </c>
      <c r="F6936" s="6" t="str">
        <f>D6936*5+E6936</f>
      </c>
    </row>
    <row r="6937">
      <c r="A6937" s="5">
        <v>1889</v>
      </c>
      <c r="B6937" s="5" t="str">
        <f>'Lineal Mixto'!$C$1893</f>
      </c>
      <c r="C6937" s="5" t="str">
        <f>'Lineal Mixto'!$C$1894</f>
      </c>
      <c r="D6937" s="5" t="str">
        <f>MIN(INT(B6937*5),4)</f>
      </c>
      <c r="E6937" s="5" t="str">
        <f>MIN(INT(C6937*5),4)</f>
      </c>
      <c r="F6937" s="5" t="str">
        <f>D6937*5+E6937</f>
      </c>
    </row>
    <row r="6938">
      <c r="A6938" s="6">
        <v>1890</v>
      </c>
      <c r="B6938" s="6" t="str">
        <f>'Lineal Mixto'!$C$1894</f>
      </c>
      <c r="C6938" s="6" t="str">
        <f>'Lineal Mixto'!$C$1895</f>
      </c>
      <c r="D6938" s="6" t="str">
        <f>MIN(INT(B6938*5),4)</f>
      </c>
      <c r="E6938" s="6" t="str">
        <f>MIN(INT(C6938*5),4)</f>
      </c>
      <c r="F6938" s="6" t="str">
        <f>D6938*5+E6938</f>
      </c>
    </row>
    <row r="6939">
      <c r="A6939" s="5">
        <v>1891</v>
      </c>
      <c r="B6939" s="5" t="str">
        <f>'Lineal Mixto'!$C$1895</f>
      </c>
      <c r="C6939" s="5" t="str">
        <f>'Lineal Mixto'!$C$1896</f>
      </c>
      <c r="D6939" s="5" t="str">
        <f>MIN(INT(B6939*5),4)</f>
      </c>
      <c r="E6939" s="5" t="str">
        <f>MIN(INT(C6939*5),4)</f>
      </c>
      <c r="F6939" s="5" t="str">
        <f>D6939*5+E6939</f>
      </c>
    </row>
    <row r="6940">
      <c r="A6940" s="6">
        <v>1892</v>
      </c>
      <c r="B6940" s="6" t="str">
        <f>'Lineal Mixto'!$C$1896</f>
      </c>
      <c r="C6940" s="6" t="str">
        <f>'Lineal Mixto'!$C$1897</f>
      </c>
      <c r="D6940" s="6" t="str">
        <f>MIN(INT(B6940*5),4)</f>
      </c>
      <c r="E6940" s="6" t="str">
        <f>MIN(INT(C6940*5),4)</f>
      </c>
      <c r="F6940" s="6" t="str">
        <f>D6940*5+E6940</f>
      </c>
    </row>
    <row r="6941">
      <c r="A6941" s="5">
        <v>1893</v>
      </c>
      <c r="B6941" s="5" t="str">
        <f>'Lineal Mixto'!$C$1897</f>
      </c>
      <c r="C6941" s="5" t="str">
        <f>'Lineal Mixto'!$C$1898</f>
      </c>
      <c r="D6941" s="5" t="str">
        <f>MIN(INT(B6941*5),4)</f>
      </c>
      <c r="E6941" s="5" t="str">
        <f>MIN(INT(C6941*5),4)</f>
      </c>
      <c r="F6941" s="5" t="str">
        <f>D6941*5+E6941</f>
      </c>
    </row>
    <row r="6942">
      <c r="A6942" s="6">
        <v>1894</v>
      </c>
      <c r="B6942" s="6" t="str">
        <f>'Lineal Mixto'!$C$1898</f>
      </c>
      <c r="C6942" s="6" t="str">
        <f>'Lineal Mixto'!$C$1899</f>
      </c>
      <c r="D6942" s="6" t="str">
        <f>MIN(INT(B6942*5),4)</f>
      </c>
      <c r="E6942" s="6" t="str">
        <f>MIN(INT(C6942*5),4)</f>
      </c>
      <c r="F6942" s="6" t="str">
        <f>D6942*5+E6942</f>
      </c>
    </row>
    <row r="6943">
      <c r="A6943" s="5">
        <v>1895</v>
      </c>
      <c r="B6943" s="5" t="str">
        <f>'Lineal Mixto'!$C$1899</f>
      </c>
      <c r="C6943" s="5" t="str">
        <f>'Lineal Mixto'!$C$1900</f>
      </c>
      <c r="D6943" s="5" t="str">
        <f>MIN(INT(B6943*5),4)</f>
      </c>
      <c r="E6943" s="5" t="str">
        <f>MIN(INT(C6943*5),4)</f>
      </c>
      <c r="F6943" s="5" t="str">
        <f>D6943*5+E6943</f>
      </c>
    </row>
    <row r="6944">
      <c r="A6944" s="6">
        <v>1896</v>
      </c>
      <c r="B6944" s="6" t="str">
        <f>'Lineal Mixto'!$C$1900</f>
      </c>
      <c r="C6944" s="6" t="str">
        <f>'Lineal Mixto'!$C$1901</f>
      </c>
      <c r="D6944" s="6" t="str">
        <f>MIN(INT(B6944*5),4)</f>
      </c>
      <c r="E6944" s="6" t="str">
        <f>MIN(INT(C6944*5),4)</f>
      </c>
      <c r="F6944" s="6" t="str">
        <f>D6944*5+E6944</f>
      </c>
    </row>
    <row r="6945">
      <c r="A6945" s="5">
        <v>1897</v>
      </c>
      <c r="B6945" s="5" t="str">
        <f>'Lineal Mixto'!$C$1901</f>
      </c>
      <c r="C6945" s="5" t="str">
        <f>'Lineal Mixto'!$C$1902</f>
      </c>
      <c r="D6945" s="5" t="str">
        <f>MIN(INT(B6945*5),4)</f>
      </c>
      <c r="E6945" s="5" t="str">
        <f>MIN(INT(C6945*5),4)</f>
      </c>
      <c r="F6945" s="5" t="str">
        <f>D6945*5+E6945</f>
      </c>
    </row>
    <row r="6946">
      <c r="A6946" s="6">
        <v>1898</v>
      </c>
      <c r="B6946" s="6" t="str">
        <f>'Lineal Mixto'!$C$1902</f>
      </c>
      <c r="C6946" s="6" t="str">
        <f>'Lineal Mixto'!$C$1903</f>
      </c>
      <c r="D6946" s="6" t="str">
        <f>MIN(INT(B6946*5),4)</f>
      </c>
      <c r="E6946" s="6" t="str">
        <f>MIN(INT(C6946*5),4)</f>
      </c>
      <c r="F6946" s="6" t="str">
        <f>D6946*5+E6946</f>
      </c>
    </row>
    <row r="6947">
      <c r="A6947" s="5">
        <v>1899</v>
      </c>
      <c r="B6947" s="5" t="str">
        <f>'Lineal Mixto'!$C$1903</f>
      </c>
      <c r="C6947" s="5" t="str">
        <f>'Lineal Mixto'!$C$1904</f>
      </c>
      <c r="D6947" s="5" t="str">
        <f>MIN(INT(B6947*5),4)</f>
      </c>
      <c r="E6947" s="5" t="str">
        <f>MIN(INT(C6947*5),4)</f>
      </c>
      <c r="F6947" s="5" t="str">
        <f>D6947*5+E6947</f>
      </c>
    </row>
    <row r="6948">
      <c r="A6948" s="6">
        <v>1900</v>
      </c>
      <c r="B6948" s="6" t="str">
        <f>'Lineal Mixto'!$C$1904</f>
      </c>
      <c r="C6948" s="6" t="str">
        <f>'Lineal Mixto'!$C$1905</f>
      </c>
      <c r="D6948" s="6" t="str">
        <f>MIN(INT(B6948*5),4)</f>
      </c>
      <c r="E6948" s="6" t="str">
        <f>MIN(INT(C6948*5),4)</f>
      </c>
      <c r="F6948" s="6" t="str">
        <f>D6948*5+E6948</f>
      </c>
    </row>
    <row r="6949">
      <c r="A6949" s="5">
        <v>1901</v>
      </c>
      <c r="B6949" s="5" t="str">
        <f>'Lineal Mixto'!$C$1905</f>
      </c>
      <c r="C6949" s="5" t="str">
        <f>'Lineal Mixto'!$C$1906</f>
      </c>
      <c r="D6949" s="5" t="str">
        <f>MIN(INT(B6949*5),4)</f>
      </c>
      <c r="E6949" s="5" t="str">
        <f>MIN(INT(C6949*5),4)</f>
      </c>
      <c r="F6949" s="5" t="str">
        <f>D6949*5+E6949</f>
      </c>
    </row>
    <row r="6950">
      <c r="A6950" s="6">
        <v>1902</v>
      </c>
      <c r="B6950" s="6" t="str">
        <f>'Lineal Mixto'!$C$1906</f>
      </c>
      <c r="C6950" s="6" t="str">
        <f>'Lineal Mixto'!$C$1907</f>
      </c>
      <c r="D6950" s="6" t="str">
        <f>MIN(INT(B6950*5),4)</f>
      </c>
      <c r="E6950" s="6" t="str">
        <f>MIN(INT(C6950*5),4)</f>
      </c>
      <c r="F6950" s="6" t="str">
        <f>D6950*5+E6950</f>
      </c>
    </row>
    <row r="6951">
      <c r="A6951" s="5">
        <v>1903</v>
      </c>
      <c r="B6951" s="5" t="str">
        <f>'Lineal Mixto'!$C$1907</f>
      </c>
      <c r="C6951" s="5" t="str">
        <f>'Lineal Mixto'!$C$1908</f>
      </c>
      <c r="D6951" s="5" t="str">
        <f>MIN(INT(B6951*5),4)</f>
      </c>
      <c r="E6951" s="5" t="str">
        <f>MIN(INT(C6951*5),4)</f>
      </c>
      <c r="F6951" s="5" t="str">
        <f>D6951*5+E6951</f>
      </c>
    </row>
    <row r="6952">
      <c r="A6952" s="6">
        <v>1904</v>
      </c>
      <c r="B6952" s="6" t="str">
        <f>'Lineal Mixto'!$C$1908</f>
      </c>
      <c r="C6952" s="6" t="str">
        <f>'Lineal Mixto'!$C$1909</f>
      </c>
      <c r="D6952" s="6" t="str">
        <f>MIN(INT(B6952*5),4)</f>
      </c>
      <c r="E6952" s="6" t="str">
        <f>MIN(INT(C6952*5),4)</f>
      </c>
      <c r="F6952" s="6" t="str">
        <f>D6952*5+E6952</f>
      </c>
    </row>
    <row r="6953">
      <c r="A6953" s="5">
        <v>1905</v>
      </c>
      <c r="B6953" s="5" t="str">
        <f>'Lineal Mixto'!$C$1909</f>
      </c>
      <c r="C6953" s="5" t="str">
        <f>'Lineal Mixto'!$C$1910</f>
      </c>
      <c r="D6953" s="5" t="str">
        <f>MIN(INT(B6953*5),4)</f>
      </c>
      <c r="E6953" s="5" t="str">
        <f>MIN(INT(C6953*5),4)</f>
      </c>
      <c r="F6953" s="5" t="str">
        <f>D6953*5+E6953</f>
      </c>
    </row>
    <row r="6954">
      <c r="A6954" s="6">
        <v>1906</v>
      </c>
      <c r="B6954" s="6" t="str">
        <f>'Lineal Mixto'!$C$1910</f>
      </c>
      <c r="C6954" s="6" t="str">
        <f>'Lineal Mixto'!$C$1911</f>
      </c>
      <c r="D6954" s="6" t="str">
        <f>MIN(INT(B6954*5),4)</f>
      </c>
      <c r="E6954" s="6" t="str">
        <f>MIN(INT(C6954*5),4)</f>
      </c>
      <c r="F6954" s="6" t="str">
        <f>D6954*5+E6954</f>
      </c>
    </row>
    <row r="6955">
      <c r="A6955" s="5">
        <v>1907</v>
      </c>
      <c r="B6955" s="5" t="str">
        <f>'Lineal Mixto'!$C$1911</f>
      </c>
      <c r="C6955" s="5" t="str">
        <f>'Lineal Mixto'!$C$1912</f>
      </c>
      <c r="D6955" s="5" t="str">
        <f>MIN(INT(B6955*5),4)</f>
      </c>
      <c r="E6955" s="5" t="str">
        <f>MIN(INT(C6955*5),4)</f>
      </c>
      <c r="F6955" s="5" t="str">
        <f>D6955*5+E6955</f>
      </c>
    </row>
    <row r="6956">
      <c r="A6956" s="6">
        <v>1908</v>
      </c>
      <c r="B6956" s="6" t="str">
        <f>'Lineal Mixto'!$C$1912</f>
      </c>
      <c r="C6956" s="6" t="str">
        <f>'Lineal Mixto'!$C$1913</f>
      </c>
      <c r="D6956" s="6" t="str">
        <f>MIN(INT(B6956*5),4)</f>
      </c>
      <c r="E6956" s="6" t="str">
        <f>MIN(INT(C6956*5),4)</f>
      </c>
      <c r="F6956" s="6" t="str">
        <f>D6956*5+E6956</f>
      </c>
    </row>
    <row r="6957">
      <c r="A6957" s="5">
        <v>1909</v>
      </c>
      <c r="B6957" s="5" t="str">
        <f>'Lineal Mixto'!$C$1913</f>
      </c>
      <c r="C6957" s="5" t="str">
        <f>'Lineal Mixto'!$C$1914</f>
      </c>
      <c r="D6957" s="5" t="str">
        <f>MIN(INT(B6957*5),4)</f>
      </c>
      <c r="E6957" s="5" t="str">
        <f>MIN(INT(C6957*5),4)</f>
      </c>
      <c r="F6957" s="5" t="str">
        <f>D6957*5+E6957</f>
      </c>
    </row>
    <row r="6958">
      <c r="A6958" s="6">
        <v>1910</v>
      </c>
      <c r="B6958" s="6" t="str">
        <f>'Lineal Mixto'!$C$1914</f>
      </c>
      <c r="C6958" s="6" t="str">
        <f>'Lineal Mixto'!$C$1915</f>
      </c>
      <c r="D6958" s="6" t="str">
        <f>MIN(INT(B6958*5),4)</f>
      </c>
      <c r="E6958" s="6" t="str">
        <f>MIN(INT(C6958*5),4)</f>
      </c>
      <c r="F6958" s="6" t="str">
        <f>D6958*5+E6958</f>
      </c>
    </row>
    <row r="6959">
      <c r="A6959" s="5">
        <v>1911</v>
      </c>
      <c r="B6959" s="5" t="str">
        <f>'Lineal Mixto'!$C$1915</f>
      </c>
      <c r="C6959" s="5" t="str">
        <f>'Lineal Mixto'!$C$1916</f>
      </c>
      <c r="D6959" s="5" t="str">
        <f>MIN(INT(B6959*5),4)</f>
      </c>
      <c r="E6959" s="5" t="str">
        <f>MIN(INT(C6959*5),4)</f>
      </c>
      <c r="F6959" s="5" t="str">
        <f>D6959*5+E6959</f>
      </c>
    </row>
    <row r="6960">
      <c r="A6960" s="6">
        <v>1912</v>
      </c>
      <c r="B6960" s="6" t="str">
        <f>'Lineal Mixto'!$C$1916</f>
      </c>
      <c r="C6960" s="6" t="str">
        <f>'Lineal Mixto'!$C$1917</f>
      </c>
      <c r="D6960" s="6" t="str">
        <f>MIN(INT(B6960*5),4)</f>
      </c>
      <c r="E6960" s="6" t="str">
        <f>MIN(INT(C6960*5),4)</f>
      </c>
      <c r="F6960" s="6" t="str">
        <f>D6960*5+E6960</f>
      </c>
    </row>
    <row r="6961">
      <c r="A6961" s="5">
        <v>1913</v>
      </c>
      <c r="B6961" s="5" t="str">
        <f>'Lineal Mixto'!$C$1917</f>
      </c>
      <c r="C6961" s="5" t="str">
        <f>'Lineal Mixto'!$C$1918</f>
      </c>
      <c r="D6961" s="5" t="str">
        <f>MIN(INT(B6961*5),4)</f>
      </c>
      <c r="E6961" s="5" t="str">
        <f>MIN(INT(C6961*5),4)</f>
      </c>
      <c r="F6961" s="5" t="str">
        <f>D6961*5+E6961</f>
      </c>
    </row>
    <row r="6962">
      <c r="A6962" s="6">
        <v>1914</v>
      </c>
      <c r="B6962" s="6" t="str">
        <f>'Lineal Mixto'!$C$1918</f>
      </c>
      <c r="C6962" s="6" t="str">
        <f>'Lineal Mixto'!$C$1919</f>
      </c>
      <c r="D6962" s="6" t="str">
        <f>MIN(INT(B6962*5),4)</f>
      </c>
      <c r="E6962" s="6" t="str">
        <f>MIN(INT(C6962*5),4)</f>
      </c>
      <c r="F6962" s="6" t="str">
        <f>D6962*5+E6962</f>
      </c>
    </row>
    <row r="6963">
      <c r="A6963" s="5">
        <v>1915</v>
      </c>
      <c r="B6963" s="5" t="str">
        <f>'Lineal Mixto'!$C$1919</f>
      </c>
      <c r="C6963" s="5" t="str">
        <f>'Lineal Mixto'!$C$1920</f>
      </c>
      <c r="D6963" s="5" t="str">
        <f>MIN(INT(B6963*5),4)</f>
      </c>
      <c r="E6963" s="5" t="str">
        <f>MIN(INT(C6963*5),4)</f>
      </c>
      <c r="F6963" s="5" t="str">
        <f>D6963*5+E6963</f>
      </c>
    </row>
    <row r="6964">
      <c r="A6964" s="6">
        <v>1916</v>
      </c>
      <c r="B6964" s="6" t="str">
        <f>'Lineal Mixto'!$C$1920</f>
      </c>
      <c r="C6964" s="6" t="str">
        <f>'Lineal Mixto'!$C$1921</f>
      </c>
      <c r="D6964" s="6" t="str">
        <f>MIN(INT(B6964*5),4)</f>
      </c>
      <c r="E6964" s="6" t="str">
        <f>MIN(INT(C6964*5),4)</f>
      </c>
      <c r="F6964" s="6" t="str">
        <f>D6964*5+E6964</f>
      </c>
    </row>
    <row r="6965">
      <c r="A6965" s="5">
        <v>1917</v>
      </c>
      <c r="B6965" s="5" t="str">
        <f>'Lineal Mixto'!$C$1921</f>
      </c>
      <c r="C6965" s="5" t="str">
        <f>'Lineal Mixto'!$C$1922</f>
      </c>
      <c r="D6965" s="5" t="str">
        <f>MIN(INT(B6965*5),4)</f>
      </c>
      <c r="E6965" s="5" t="str">
        <f>MIN(INT(C6965*5),4)</f>
      </c>
      <c r="F6965" s="5" t="str">
        <f>D6965*5+E6965</f>
      </c>
    </row>
    <row r="6966">
      <c r="A6966" s="6">
        <v>1918</v>
      </c>
      <c r="B6966" s="6" t="str">
        <f>'Lineal Mixto'!$C$1922</f>
      </c>
      <c r="C6966" s="6" t="str">
        <f>'Lineal Mixto'!$C$1923</f>
      </c>
      <c r="D6966" s="6" t="str">
        <f>MIN(INT(B6966*5),4)</f>
      </c>
      <c r="E6966" s="6" t="str">
        <f>MIN(INT(C6966*5),4)</f>
      </c>
      <c r="F6966" s="6" t="str">
        <f>D6966*5+E6966</f>
      </c>
    </row>
    <row r="6967">
      <c r="A6967" s="5">
        <v>1919</v>
      </c>
      <c r="B6967" s="5" t="str">
        <f>'Lineal Mixto'!$C$1923</f>
      </c>
      <c r="C6967" s="5" t="str">
        <f>'Lineal Mixto'!$C$1924</f>
      </c>
      <c r="D6967" s="5" t="str">
        <f>MIN(INT(B6967*5),4)</f>
      </c>
      <c r="E6967" s="5" t="str">
        <f>MIN(INT(C6967*5),4)</f>
      </c>
      <c r="F6967" s="5" t="str">
        <f>D6967*5+E6967</f>
      </c>
    </row>
    <row r="6968">
      <c r="A6968" s="6">
        <v>1920</v>
      </c>
      <c r="B6968" s="6" t="str">
        <f>'Lineal Mixto'!$C$1924</f>
      </c>
      <c r="C6968" s="6" t="str">
        <f>'Lineal Mixto'!$C$1925</f>
      </c>
      <c r="D6968" s="6" t="str">
        <f>MIN(INT(B6968*5),4)</f>
      </c>
      <c r="E6968" s="6" t="str">
        <f>MIN(INT(C6968*5),4)</f>
      </c>
      <c r="F6968" s="6" t="str">
        <f>D6968*5+E6968</f>
      </c>
    </row>
    <row r="6969">
      <c r="A6969" s="5">
        <v>1921</v>
      </c>
      <c r="B6969" s="5" t="str">
        <f>'Lineal Mixto'!$C$1925</f>
      </c>
      <c r="C6969" s="5" t="str">
        <f>'Lineal Mixto'!$C$1926</f>
      </c>
      <c r="D6969" s="5" t="str">
        <f>MIN(INT(B6969*5),4)</f>
      </c>
      <c r="E6969" s="5" t="str">
        <f>MIN(INT(C6969*5),4)</f>
      </c>
      <c r="F6969" s="5" t="str">
        <f>D6969*5+E6969</f>
      </c>
    </row>
    <row r="6970">
      <c r="A6970" s="6">
        <v>1922</v>
      </c>
      <c r="B6970" s="6" t="str">
        <f>'Lineal Mixto'!$C$1926</f>
      </c>
      <c r="C6970" s="6" t="str">
        <f>'Lineal Mixto'!$C$1927</f>
      </c>
      <c r="D6970" s="6" t="str">
        <f>MIN(INT(B6970*5),4)</f>
      </c>
      <c r="E6970" s="6" t="str">
        <f>MIN(INT(C6970*5),4)</f>
      </c>
      <c r="F6970" s="6" t="str">
        <f>D6970*5+E6970</f>
      </c>
    </row>
    <row r="6971">
      <c r="A6971" s="5">
        <v>1923</v>
      </c>
      <c r="B6971" s="5" t="str">
        <f>'Lineal Mixto'!$C$1927</f>
      </c>
      <c r="C6971" s="5" t="str">
        <f>'Lineal Mixto'!$C$1928</f>
      </c>
      <c r="D6971" s="5" t="str">
        <f>MIN(INT(B6971*5),4)</f>
      </c>
      <c r="E6971" s="5" t="str">
        <f>MIN(INT(C6971*5),4)</f>
      </c>
      <c r="F6971" s="5" t="str">
        <f>D6971*5+E6971</f>
      </c>
    </row>
    <row r="6972">
      <c r="A6972" s="6">
        <v>1924</v>
      </c>
      <c r="B6972" s="6" t="str">
        <f>'Lineal Mixto'!$C$1928</f>
      </c>
      <c r="C6972" s="6" t="str">
        <f>'Lineal Mixto'!$C$1929</f>
      </c>
      <c r="D6972" s="6" t="str">
        <f>MIN(INT(B6972*5),4)</f>
      </c>
      <c r="E6972" s="6" t="str">
        <f>MIN(INT(C6972*5),4)</f>
      </c>
      <c r="F6972" s="6" t="str">
        <f>D6972*5+E6972</f>
      </c>
    </row>
    <row r="6973">
      <c r="A6973" s="5">
        <v>1925</v>
      </c>
      <c r="B6973" s="5" t="str">
        <f>'Lineal Mixto'!$C$1929</f>
      </c>
      <c r="C6973" s="5" t="str">
        <f>'Lineal Mixto'!$C$1930</f>
      </c>
      <c r="D6973" s="5" t="str">
        <f>MIN(INT(B6973*5),4)</f>
      </c>
      <c r="E6973" s="5" t="str">
        <f>MIN(INT(C6973*5),4)</f>
      </c>
      <c r="F6973" s="5" t="str">
        <f>D6973*5+E6973</f>
      </c>
    </row>
    <row r="6974">
      <c r="A6974" s="6">
        <v>1926</v>
      </c>
      <c r="B6974" s="6" t="str">
        <f>'Lineal Mixto'!$C$1930</f>
      </c>
      <c r="C6974" s="6" t="str">
        <f>'Lineal Mixto'!$C$1931</f>
      </c>
      <c r="D6974" s="6" t="str">
        <f>MIN(INT(B6974*5),4)</f>
      </c>
      <c r="E6974" s="6" t="str">
        <f>MIN(INT(C6974*5),4)</f>
      </c>
      <c r="F6974" s="6" t="str">
        <f>D6974*5+E6974</f>
      </c>
    </row>
    <row r="6975">
      <c r="A6975" s="5">
        <v>1927</v>
      </c>
      <c r="B6975" s="5" t="str">
        <f>'Lineal Mixto'!$C$1931</f>
      </c>
      <c r="C6975" s="5" t="str">
        <f>'Lineal Mixto'!$C$1932</f>
      </c>
      <c r="D6975" s="5" t="str">
        <f>MIN(INT(B6975*5),4)</f>
      </c>
      <c r="E6975" s="5" t="str">
        <f>MIN(INT(C6975*5),4)</f>
      </c>
      <c r="F6975" s="5" t="str">
        <f>D6975*5+E6975</f>
      </c>
    </row>
    <row r="6976">
      <c r="A6976" s="6">
        <v>1928</v>
      </c>
      <c r="B6976" s="6" t="str">
        <f>'Lineal Mixto'!$C$1932</f>
      </c>
      <c r="C6976" s="6" t="str">
        <f>'Lineal Mixto'!$C$1933</f>
      </c>
      <c r="D6976" s="6" t="str">
        <f>MIN(INT(B6976*5),4)</f>
      </c>
      <c r="E6976" s="6" t="str">
        <f>MIN(INT(C6976*5),4)</f>
      </c>
      <c r="F6976" s="6" t="str">
        <f>D6976*5+E6976</f>
      </c>
    </row>
    <row r="6977">
      <c r="A6977" s="5">
        <v>1929</v>
      </c>
      <c r="B6977" s="5" t="str">
        <f>'Lineal Mixto'!$C$1933</f>
      </c>
      <c r="C6977" s="5" t="str">
        <f>'Lineal Mixto'!$C$1934</f>
      </c>
      <c r="D6977" s="5" t="str">
        <f>MIN(INT(B6977*5),4)</f>
      </c>
      <c r="E6977" s="5" t="str">
        <f>MIN(INT(C6977*5),4)</f>
      </c>
      <c r="F6977" s="5" t="str">
        <f>D6977*5+E6977</f>
      </c>
    </row>
    <row r="6978">
      <c r="A6978" s="6">
        <v>1930</v>
      </c>
      <c r="B6978" s="6" t="str">
        <f>'Lineal Mixto'!$C$1934</f>
      </c>
      <c r="C6978" s="6" t="str">
        <f>'Lineal Mixto'!$C$1935</f>
      </c>
      <c r="D6978" s="6" t="str">
        <f>MIN(INT(B6978*5),4)</f>
      </c>
      <c r="E6978" s="6" t="str">
        <f>MIN(INT(C6978*5),4)</f>
      </c>
      <c r="F6978" s="6" t="str">
        <f>D6978*5+E6978</f>
      </c>
    </row>
    <row r="6979">
      <c r="A6979" s="5">
        <v>1931</v>
      </c>
      <c r="B6979" s="5" t="str">
        <f>'Lineal Mixto'!$C$1935</f>
      </c>
      <c r="C6979" s="5" t="str">
        <f>'Lineal Mixto'!$C$1936</f>
      </c>
      <c r="D6979" s="5" t="str">
        <f>MIN(INT(B6979*5),4)</f>
      </c>
      <c r="E6979" s="5" t="str">
        <f>MIN(INT(C6979*5),4)</f>
      </c>
      <c r="F6979" s="5" t="str">
        <f>D6979*5+E6979</f>
      </c>
    </row>
    <row r="6980">
      <c r="A6980" s="6">
        <v>1932</v>
      </c>
      <c r="B6980" s="6" t="str">
        <f>'Lineal Mixto'!$C$1936</f>
      </c>
      <c r="C6980" s="6" t="str">
        <f>'Lineal Mixto'!$C$1937</f>
      </c>
      <c r="D6980" s="6" t="str">
        <f>MIN(INT(B6980*5),4)</f>
      </c>
      <c r="E6980" s="6" t="str">
        <f>MIN(INT(C6980*5),4)</f>
      </c>
      <c r="F6980" s="6" t="str">
        <f>D6980*5+E6980</f>
      </c>
    </row>
    <row r="6981">
      <c r="A6981" s="5">
        <v>1933</v>
      </c>
      <c r="B6981" s="5" t="str">
        <f>'Lineal Mixto'!$C$1937</f>
      </c>
      <c r="C6981" s="5" t="str">
        <f>'Lineal Mixto'!$C$1938</f>
      </c>
      <c r="D6981" s="5" t="str">
        <f>MIN(INT(B6981*5),4)</f>
      </c>
      <c r="E6981" s="5" t="str">
        <f>MIN(INT(C6981*5),4)</f>
      </c>
      <c r="F6981" s="5" t="str">
        <f>D6981*5+E6981</f>
      </c>
    </row>
    <row r="6982">
      <c r="A6982" s="6">
        <v>1934</v>
      </c>
      <c r="B6982" s="6" t="str">
        <f>'Lineal Mixto'!$C$1938</f>
      </c>
      <c r="C6982" s="6" t="str">
        <f>'Lineal Mixto'!$C$1939</f>
      </c>
      <c r="D6982" s="6" t="str">
        <f>MIN(INT(B6982*5),4)</f>
      </c>
      <c r="E6982" s="6" t="str">
        <f>MIN(INT(C6982*5),4)</f>
      </c>
      <c r="F6982" s="6" t="str">
        <f>D6982*5+E6982</f>
      </c>
    </row>
    <row r="6983">
      <c r="A6983" s="5">
        <v>1935</v>
      </c>
      <c r="B6983" s="5" t="str">
        <f>'Lineal Mixto'!$C$1939</f>
      </c>
      <c r="C6983" s="5" t="str">
        <f>'Lineal Mixto'!$C$1940</f>
      </c>
      <c r="D6983" s="5" t="str">
        <f>MIN(INT(B6983*5),4)</f>
      </c>
      <c r="E6983" s="5" t="str">
        <f>MIN(INT(C6983*5),4)</f>
      </c>
      <c r="F6983" s="5" t="str">
        <f>D6983*5+E6983</f>
      </c>
    </row>
    <row r="6984">
      <c r="A6984" s="6">
        <v>1936</v>
      </c>
      <c r="B6984" s="6" t="str">
        <f>'Lineal Mixto'!$C$1940</f>
      </c>
      <c r="C6984" s="6" t="str">
        <f>'Lineal Mixto'!$C$1941</f>
      </c>
      <c r="D6984" s="6" t="str">
        <f>MIN(INT(B6984*5),4)</f>
      </c>
      <c r="E6984" s="6" t="str">
        <f>MIN(INT(C6984*5),4)</f>
      </c>
      <c r="F6984" s="6" t="str">
        <f>D6984*5+E6984</f>
      </c>
    </row>
    <row r="6985">
      <c r="A6985" s="5">
        <v>1937</v>
      </c>
      <c r="B6985" s="5" t="str">
        <f>'Lineal Mixto'!$C$1941</f>
      </c>
      <c r="C6985" s="5" t="str">
        <f>'Lineal Mixto'!$C$1942</f>
      </c>
      <c r="D6985" s="5" t="str">
        <f>MIN(INT(B6985*5),4)</f>
      </c>
      <c r="E6985" s="5" t="str">
        <f>MIN(INT(C6985*5),4)</f>
      </c>
      <c r="F6985" s="5" t="str">
        <f>D6985*5+E6985</f>
      </c>
    </row>
    <row r="6986">
      <c r="A6986" s="6">
        <v>1938</v>
      </c>
      <c r="B6986" s="6" t="str">
        <f>'Lineal Mixto'!$C$1942</f>
      </c>
      <c r="C6986" s="6" t="str">
        <f>'Lineal Mixto'!$C$1943</f>
      </c>
      <c r="D6986" s="6" t="str">
        <f>MIN(INT(B6986*5),4)</f>
      </c>
      <c r="E6986" s="6" t="str">
        <f>MIN(INT(C6986*5),4)</f>
      </c>
      <c r="F6986" s="6" t="str">
        <f>D6986*5+E6986</f>
      </c>
    </row>
    <row r="6987">
      <c r="A6987" s="5">
        <v>1939</v>
      </c>
      <c r="B6987" s="5" t="str">
        <f>'Lineal Mixto'!$C$1943</f>
      </c>
      <c r="C6987" s="5" t="str">
        <f>'Lineal Mixto'!$C$1944</f>
      </c>
      <c r="D6987" s="5" t="str">
        <f>MIN(INT(B6987*5),4)</f>
      </c>
      <c r="E6987" s="5" t="str">
        <f>MIN(INT(C6987*5),4)</f>
      </c>
      <c r="F6987" s="5" t="str">
        <f>D6987*5+E6987</f>
      </c>
    </row>
    <row r="6988">
      <c r="A6988" s="6">
        <v>1940</v>
      </c>
      <c r="B6988" s="6" t="str">
        <f>'Lineal Mixto'!$C$1944</f>
      </c>
      <c r="C6988" s="6" t="str">
        <f>'Lineal Mixto'!$C$1945</f>
      </c>
      <c r="D6988" s="6" t="str">
        <f>MIN(INT(B6988*5),4)</f>
      </c>
      <c r="E6988" s="6" t="str">
        <f>MIN(INT(C6988*5),4)</f>
      </c>
      <c r="F6988" s="6" t="str">
        <f>D6988*5+E6988</f>
      </c>
    </row>
    <row r="6989">
      <c r="A6989" s="5">
        <v>1941</v>
      </c>
      <c r="B6989" s="5" t="str">
        <f>'Lineal Mixto'!$C$1945</f>
      </c>
      <c r="C6989" s="5" t="str">
        <f>'Lineal Mixto'!$C$1946</f>
      </c>
      <c r="D6989" s="5" t="str">
        <f>MIN(INT(B6989*5),4)</f>
      </c>
      <c r="E6989" s="5" t="str">
        <f>MIN(INT(C6989*5),4)</f>
      </c>
      <c r="F6989" s="5" t="str">
        <f>D6989*5+E6989</f>
      </c>
    </row>
    <row r="6990">
      <c r="A6990" s="6">
        <v>1942</v>
      </c>
      <c r="B6990" s="6" t="str">
        <f>'Lineal Mixto'!$C$1946</f>
      </c>
      <c r="C6990" s="6" t="str">
        <f>'Lineal Mixto'!$C$1947</f>
      </c>
      <c r="D6990" s="6" t="str">
        <f>MIN(INT(B6990*5),4)</f>
      </c>
      <c r="E6990" s="6" t="str">
        <f>MIN(INT(C6990*5),4)</f>
      </c>
      <c r="F6990" s="6" t="str">
        <f>D6990*5+E6990</f>
      </c>
    </row>
    <row r="6991">
      <c r="A6991" s="5">
        <v>1943</v>
      </c>
      <c r="B6991" s="5" t="str">
        <f>'Lineal Mixto'!$C$1947</f>
      </c>
      <c r="C6991" s="5" t="str">
        <f>'Lineal Mixto'!$C$1948</f>
      </c>
      <c r="D6991" s="5" t="str">
        <f>MIN(INT(B6991*5),4)</f>
      </c>
      <c r="E6991" s="5" t="str">
        <f>MIN(INT(C6991*5),4)</f>
      </c>
      <c r="F6991" s="5" t="str">
        <f>D6991*5+E6991</f>
      </c>
    </row>
    <row r="6992">
      <c r="A6992" s="6">
        <v>1944</v>
      </c>
      <c r="B6992" s="6" t="str">
        <f>'Lineal Mixto'!$C$1948</f>
      </c>
      <c r="C6992" s="6" t="str">
        <f>'Lineal Mixto'!$C$1949</f>
      </c>
      <c r="D6992" s="6" t="str">
        <f>MIN(INT(B6992*5),4)</f>
      </c>
      <c r="E6992" s="6" t="str">
        <f>MIN(INT(C6992*5),4)</f>
      </c>
      <c r="F6992" s="6" t="str">
        <f>D6992*5+E6992</f>
      </c>
    </row>
    <row r="6993">
      <c r="A6993" s="5">
        <v>1945</v>
      </c>
      <c r="B6993" s="5" t="str">
        <f>'Lineal Mixto'!$C$1949</f>
      </c>
      <c r="C6993" s="5" t="str">
        <f>'Lineal Mixto'!$C$1950</f>
      </c>
      <c r="D6993" s="5" t="str">
        <f>MIN(INT(B6993*5),4)</f>
      </c>
      <c r="E6993" s="5" t="str">
        <f>MIN(INT(C6993*5),4)</f>
      </c>
      <c r="F6993" s="5" t="str">
        <f>D6993*5+E6993</f>
      </c>
    </row>
    <row r="6994">
      <c r="A6994" s="6">
        <v>1946</v>
      </c>
      <c r="B6994" s="6" t="str">
        <f>'Lineal Mixto'!$C$1950</f>
      </c>
      <c r="C6994" s="6" t="str">
        <f>'Lineal Mixto'!$C$1951</f>
      </c>
      <c r="D6994" s="6" t="str">
        <f>MIN(INT(B6994*5),4)</f>
      </c>
      <c r="E6994" s="6" t="str">
        <f>MIN(INT(C6994*5),4)</f>
      </c>
      <c r="F6994" s="6" t="str">
        <f>D6994*5+E6994</f>
      </c>
    </row>
    <row r="6995">
      <c r="A6995" s="5">
        <v>1947</v>
      </c>
      <c r="B6995" s="5" t="str">
        <f>'Lineal Mixto'!$C$1951</f>
      </c>
      <c r="C6995" s="5" t="str">
        <f>'Lineal Mixto'!$C$1952</f>
      </c>
      <c r="D6995" s="5" t="str">
        <f>MIN(INT(B6995*5),4)</f>
      </c>
      <c r="E6995" s="5" t="str">
        <f>MIN(INT(C6995*5),4)</f>
      </c>
      <c r="F6995" s="5" t="str">
        <f>D6995*5+E6995</f>
      </c>
    </row>
    <row r="6996">
      <c r="A6996" s="6">
        <v>1948</v>
      </c>
      <c r="B6996" s="6" t="str">
        <f>'Lineal Mixto'!$C$1952</f>
      </c>
      <c r="C6996" s="6" t="str">
        <f>'Lineal Mixto'!$C$1953</f>
      </c>
      <c r="D6996" s="6" t="str">
        <f>MIN(INT(B6996*5),4)</f>
      </c>
      <c r="E6996" s="6" t="str">
        <f>MIN(INT(C6996*5),4)</f>
      </c>
      <c r="F6996" s="6" t="str">
        <f>D6996*5+E6996</f>
      </c>
    </row>
    <row r="6997">
      <c r="A6997" s="5">
        <v>1949</v>
      </c>
      <c r="B6997" s="5" t="str">
        <f>'Lineal Mixto'!$C$1953</f>
      </c>
      <c r="C6997" s="5" t="str">
        <f>'Lineal Mixto'!$C$1954</f>
      </c>
      <c r="D6997" s="5" t="str">
        <f>MIN(INT(B6997*5),4)</f>
      </c>
      <c r="E6997" s="5" t="str">
        <f>MIN(INT(C6997*5),4)</f>
      </c>
      <c r="F6997" s="5" t="str">
        <f>D6997*5+E6997</f>
      </c>
    </row>
    <row r="6998">
      <c r="A6998" s="6">
        <v>1950</v>
      </c>
      <c r="B6998" s="6" t="str">
        <f>'Lineal Mixto'!$C$1954</f>
      </c>
      <c r="C6998" s="6" t="str">
        <f>'Lineal Mixto'!$C$1955</f>
      </c>
      <c r="D6998" s="6" t="str">
        <f>MIN(INT(B6998*5),4)</f>
      </c>
      <c r="E6998" s="6" t="str">
        <f>MIN(INT(C6998*5),4)</f>
      </c>
      <c r="F6998" s="6" t="str">
        <f>D6998*5+E6998</f>
      </c>
    </row>
    <row r="6999">
      <c r="A6999" s="5">
        <v>1951</v>
      </c>
      <c r="B6999" s="5" t="str">
        <f>'Lineal Mixto'!$C$1955</f>
      </c>
      <c r="C6999" s="5" t="str">
        <f>'Lineal Mixto'!$C$1956</f>
      </c>
      <c r="D6999" s="5" t="str">
        <f>MIN(INT(B6999*5),4)</f>
      </c>
      <c r="E6999" s="5" t="str">
        <f>MIN(INT(C6999*5),4)</f>
      </c>
      <c r="F6999" s="5" t="str">
        <f>D6999*5+E6999</f>
      </c>
    </row>
    <row r="7000">
      <c r="A7000" s="6">
        <v>1952</v>
      </c>
      <c r="B7000" s="6" t="str">
        <f>'Lineal Mixto'!$C$1956</f>
      </c>
      <c r="C7000" s="6" t="str">
        <f>'Lineal Mixto'!$C$1957</f>
      </c>
      <c r="D7000" s="6" t="str">
        <f>MIN(INT(B7000*5),4)</f>
      </c>
      <c r="E7000" s="6" t="str">
        <f>MIN(INT(C7000*5),4)</f>
      </c>
      <c r="F7000" s="6" t="str">
        <f>D7000*5+E7000</f>
      </c>
    </row>
    <row r="7001">
      <c r="A7001" s="5">
        <v>1953</v>
      </c>
      <c r="B7001" s="5" t="str">
        <f>'Lineal Mixto'!$C$1957</f>
      </c>
      <c r="C7001" s="5" t="str">
        <f>'Lineal Mixto'!$C$1958</f>
      </c>
      <c r="D7001" s="5" t="str">
        <f>MIN(INT(B7001*5),4)</f>
      </c>
      <c r="E7001" s="5" t="str">
        <f>MIN(INT(C7001*5),4)</f>
      </c>
      <c r="F7001" s="5" t="str">
        <f>D7001*5+E7001</f>
      </c>
    </row>
    <row r="7002">
      <c r="A7002" s="6">
        <v>1954</v>
      </c>
      <c r="B7002" s="6" t="str">
        <f>'Lineal Mixto'!$C$1958</f>
      </c>
      <c r="C7002" s="6" t="str">
        <f>'Lineal Mixto'!$C$1959</f>
      </c>
      <c r="D7002" s="6" t="str">
        <f>MIN(INT(B7002*5),4)</f>
      </c>
      <c r="E7002" s="6" t="str">
        <f>MIN(INT(C7002*5),4)</f>
      </c>
      <c r="F7002" s="6" t="str">
        <f>D7002*5+E7002</f>
      </c>
    </row>
    <row r="7003">
      <c r="A7003" s="5">
        <v>1955</v>
      </c>
      <c r="B7003" s="5" t="str">
        <f>'Lineal Mixto'!$C$1959</f>
      </c>
      <c r="C7003" s="5" t="str">
        <f>'Lineal Mixto'!$C$1960</f>
      </c>
      <c r="D7003" s="5" t="str">
        <f>MIN(INT(B7003*5),4)</f>
      </c>
      <c r="E7003" s="5" t="str">
        <f>MIN(INT(C7003*5),4)</f>
      </c>
      <c r="F7003" s="5" t="str">
        <f>D7003*5+E7003</f>
      </c>
    </row>
    <row r="7004">
      <c r="A7004" s="6">
        <v>1956</v>
      </c>
      <c r="B7004" s="6" t="str">
        <f>'Lineal Mixto'!$C$1960</f>
      </c>
      <c r="C7004" s="6" t="str">
        <f>'Lineal Mixto'!$C$1961</f>
      </c>
      <c r="D7004" s="6" t="str">
        <f>MIN(INT(B7004*5),4)</f>
      </c>
      <c r="E7004" s="6" t="str">
        <f>MIN(INT(C7004*5),4)</f>
      </c>
      <c r="F7004" s="6" t="str">
        <f>D7004*5+E7004</f>
      </c>
    </row>
    <row r="7005">
      <c r="A7005" s="5">
        <v>1957</v>
      </c>
      <c r="B7005" s="5" t="str">
        <f>'Lineal Mixto'!$C$1961</f>
      </c>
      <c r="C7005" s="5" t="str">
        <f>'Lineal Mixto'!$C$1962</f>
      </c>
      <c r="D7005" s="5" t="str">
        <f>MIN(INT(B7005*5),4)</f>
      </c>
      <c r="E7005" s="5" t="str">
        <f>MIN(INT(C7005*5),4)</f>
      </c>
      <c r="F7005" s="5" t="str">
        <f>D7005*5+E7005</f>
      </c>
    </row>
    <row r="7006">
      <c r="A7006" s="6">
        <v>1958</v>
      </c>
      <c r="B7006" s="6" t="str">
        <f>'Lineal Mixto'!$C$1962</f>
      </c>
      <c r="C7006" s="6" t="str">
        <f>'Lineal Mixto'!$C$1963</f>
      </c>
      <c r="D7006" s="6" t="str">
        <f>MIN(INT(B7006*5),4)</f>
      </c>
      <c r="E7006" s="6" t="str">
        <f>MIN(INT(C7006*5),4)</f>
      </c>
      <c r="F7006" s="6" t="str">
        <f>D7006*5+E7006</f>
      </c>
    </row>
    <row r="7007">
      <c r="A7007" s="5">
        <v>1959</v>
      </c>
      <c r="B7007" s="5" t="str">
        <f>'Lineal Mixto'!$C$1963</f>
      </c>
      <c r="C7007" s="5" t="str">
        <f>'Lineal Mixto'!$C$1964</f>
      </c>
      <c r="D7007" s="5" t="str">
        <f>MIN(INT(B7007*5),4)</f>
      </c>
      <c r="E7007" s="5" t="str">
        <f>MIN(INT(C7007*5),4)</f>
      </c>
      <c r="F7007" s="5" t="str">
        <f>D7007*5+E7007</f>
      </c>
    </row>
    <row r="7008">
      <c r="A7008" s="6">
        <v>1960</v>
      </c>
      <c r="B7008" s="6" t="str">
        <f>'Lineal Mixto'!$C$1964</f>
      </c>
      <c r="C7008" s="6" t="str">
        <f>'Lineal Mixto'!$C$1965</f>
      </c>
      <c r="D7008" s="6" t="str">
        <f>MIN(INT(B7008*5),4)</f>
      </c>
      <c r="E7008" s="6" t="str">
        <f>MIN(INT(C7008*5),4)</f>
      </c>
      <c r="F7008" s="6" t="str">
        <f>D7008*5+E7008</f>
      </c>
    </row>
    <row r="7009">
      <c r="A7009" s="5">
        <v>1961</v>
      </c>
      <c r="B7009" s="5" t="str">
        <f>'Lineal Mixto'!$C$1965</f>
      </c>
      <c r="C7009" s="5" t="str">
        <f>'Lineal Mixto'!$C$1966</f>
      </c>
      <c r="D7009" s="5" t="str">
        <f>MIN(INT(B7009*5),4)</f>
      </c>
      <c r="E7009" s="5" t="str">
        <f>MIN(INT(C7009*5),4)</f>
      </c>
      <c r="F7009" s="5" t="str">
        <f>D7009*5+E7009</f>
      </c>
    </row>
    <row r="7010">
      <c r="A7010" s="6">
        <v>1962</v>
      </c>
      <c r="B7010" s="6" t="str">
        <f>'Lineal Mixto'!$C$1966</f>
      </c>
      <c r="C7010" s="6" t="str">
        <f>'Lineal Mixto'!$C$1967</f>
      </c>
      <c r="D7010" s="6" t="str">
        <f>MIN(INT(B7010*5),4)</f>
      </c>
      <c r="E7010" s="6" t="str">
        <f>MIN(INT(C7010*5),4)</f>
      </c>
      <c r="F7010" s="6" t="str">
        <f>D7010*5+E7010</f>
      </c>
    </row>
    <row r="7011">
      <c r="A7011" s="5">
        <v>1963</v>
      </c>
      <c r="B7011" s="5" t="str">
        <f>'Lineal Mixto'!$C$1967</f>
      </c>
      <c r="C7011" s="5" t="str">
        <f>'Lineal Mixto'!$C$1968</f>
      </c>
      <c r="D7011" s="5" t="str">
        <f>MIN(INT(B7011*5),4)</f>
      </c>
      <c r="E7011" s="5" t="str">
        <f>MIN(INT(C7011*5),4)</f>
      </c>
      <c r="F7011" s="5" t="str">
        <f>D7011*5+E7011</f>
      </c>
    </row>
    <row r="7012">
      <c r="A7012" s="6">
        <v>1964</v>
      </c>
      <c r="B7012" s="6" t="str">
        <f>'Lineal Mixto'!$C$1968</f>
      </c>
      <c r="C7012" s="6" t="str">
        <f>'Lineal Mixto'!$C$1969</f>
      </c>
      <c r="D7012" s="6" t="str">
        <f>MIN(INT(B7012*5),4)</f>
      </c>
      <c r="E7012" s="6" t="str">
        <f>MIN(INT(C7012*5),4)</f>
      </c>
      <c r="F7012" s="6" t="str">
        <f>D7012*5+E7012</f>
      </c>
    </row>
    <row r="7013">
      <c r="A7013" s="5">
        <v>1965</v>
      </c>
      <c r="B7013" s="5" t="str">
        <f>'Lineal Mixto'!$C$1969</f>
      </c>
      <c r="C7013" s="5" t="str">
        <f>'Lineal Mixto'!$C$1970</f>
      </c>
      <c r="D7013" s="5" t="str">
        <f>MIN(INT(B7013*5),4)</f>
      </c>
      <c r="E7013" s="5" t="str">
        <f>MIN(INT(C7013*5),4)</f>
      </c>
      <c r="F7013" s="5" t="str">
        <f>D7013*5+E7013</f>
      </c>
    </row>
    <row r="7014">
      <c r="A7014" s="6">
        <v>1966</v>
      </c>
      <c r="B7014" s="6" t="str">
        <f>'Lineal Mixto'!$C$1970</f>
      </c>
      <c r="C7014" s="6" t="str">
        <f>'Lineal Mixto'!$C$1971</f>
      </c>
      <c r="D7014" s="6" t="str">
        <f>MIN(INT(B7014*5),4)</f>
      </c>
      <c r="E7014" s="6" t="str">
        <f>MIN(INT(C7014*5),4)</f>
      </c>
      <c r="F7014" s="6" t="str">
        <f>D7014*5+E7014</f>
      </c>
    </row>
    <row r="7015">
      <c r="A7015" s="5">
        <v>1967</v>
      </c>
      <c r="B7015" s="5" t="str">
        <f>'Lineal Mixto'!$C$1971</f>
      </c>
      <c r="C7015" s="5" t="str">
        <f>'Lineal Mixto'!$C$1972</f>
      </c>
      <c r="D7015" s="5" t="str">
        <f>MIN(INT(B7015*5),4)</f>
      </c>
      <c r="E7015" s="5" t="str">
        <f>MIN(INT(C7015*5),4)</f>
      </c>
      <c r="F7015" s="5" t="str">
        <f>D7015*5+E7015</f>
      </c>
    </row>
    <row r="7016">
      <c r="A7016" s="6">
        <v>1968</v>
      </c>
      <c r="B7016" s="6" t="str">
        <f>'Lineal Mixto'!$C$1972</f>
      </c>
      <c r="C7016" s="6" t="str">
        <f>'Lineal Mixto'!$C$1973</f>
      </c>
      <c r="D7016" s="6" t="str">
        <f>MIN(INT(B7016*5),4)</f>
      </c>
      <c r="E7016" s="6" t="str">
        <f>MIN(INT(C7016*5),4)</f>
      </c>
      <c r="F7016" s="6" t="str">
        <f>D7016*5+E7016</f>
      </c>
    </row>
    <row r="7017">
      <c r="A7017" s="5">
        <v>1969</v>
      </c>
      <c r="B7017" s="5" t="str">
        <f>'Lineal Mixto'!$C$1973</f>
      </c>
      <c r="C7017" s="5" t="str">
        <f>'Lineal Mixto'!$C$1974</f>
      </c>
      <c r="D7017" s="5" t="str">
        <f>MIN(INT(B7017*5),4)</f>
      </c>
      <c r="E7017" s="5" t="str">
        <f>MIN(INT(C7017*5),4)</f>
      </c>
      <c r="F7017" s="5" t="str">
        <f>D7017*5+E7017</f>
      </c>
    </row>
    <row r="7018">
      <c r="A7018" s="6">
        <v>1970</v>
      </c>
      <c r="B7018" s="6" t="str">
        <f>'Lineal Mixto'!$C$1974</f>
      </c>
      <c r="C7018" s="6" t="str">
        <f>'Lineal Mixto'!$C$1975</f>
      </c>
      <c r="D7018" s="6" t="str">
        <f>MIN(INT(B7018*5),4)</f>
      </c>
      <c r="E7018" s="6" t="str">
        <f>MIN(INT(C7018*5),4)</f>
      </c>
      <c r="F7018" s="6" t="str">
        <f>D7018*5+E7018</f>
      </c>
    </row>
    <row r="7019">
      <c r="A7019" s="5">
        <v>1971</v>
      </c>
      <c r="B7019" s="5" t="str">
        <f>'Lineal Mixto'!$C$1975</f>
      </c>
      <c r="C7019" s="5" t="str">
        <f>'Lineal Mixto'!$C$1976</f>
      </c>
      <c r="D7019" s="5" t="str">
        <f>MIN(INT(B7019*5),4)</f>
      </c>
      <c r="E7019" s="5" t="str">
        <f>MIN(INT(C7019*5),4)</f>
      </c>
      <c r="F7019" s="5" t="str">
        <f>D7019*5+E7019</f>
      </c>
    </row>
    <row r="7020">
      <c r="A7020" s="6">
        <v>1972</v>
      </c>
      <c r="B7020" s="6" t="str">
        <f>'Lineal Mixto'!$C$1976</f>
      </c>
      <c r="C7020" s="6" t="str">
        <f>'Lineal Mixto'!$C$1977</f>
      </c>
      <c r="D7020" s="6" t="str">
        <f>MIN(INT(B7020*5),4)</f>
      </c>
      <c r="E7020" s="6" t="str">
        <f>MIN(INT(C7020*5),4)</f>
      </c>
      <c r="F7020" s="6" t="str">
        <f>D7020*5+E7020</f>
      </c>
    </row>
    <row r="7021">
      <c r="A7021" s="5">
        <v>1973</v>
      </c>
      <c r="B7021" s="5" t="str">
        <f>'Lineal Mixto'!$C$1977</f>
      </c>
      <c r="C7021" s="5" t="str">
        <f>'Lineal Mixto'!$C$1978</f>
      </c>
      <c r="D7021" s="5" t="str">
        <f>MIN(INT(B7021*5),4)</f>
      </c>
      <c r="E7021" s="5" t="str">
        <f>MIN(INT(C7021*5),4)</f>
      </c>
      <c r="F7021" s="5" t="str">
        <f>D7021*5+E7021</f>
      </c>
    </row>
    <row r="7022">
      <c r="A7022" s="6">
        <v>1974</v>
      </c>
      <c r="B7022" s="6" t="str">
        <f>'Lineal Mixto'!$C$1978</f>
      </c>
      <c r="C7022" s="6" t="str">
        <f>'Lineal Mixto'!$C$1979</f>
      </c>
      <c r="D7022" s="6" t="str">
        <f>MIN(INT(B7022*5),4)</f>
      </c>
      <c r="E7022" s="6" t="str">
        <f>MIN(INT(C7022*5),4)</f>
      </c>
      <c r="F7022" s="6" t="str">
        <f>D7022*5+E7022</f>
      </c>
    </row>
    <row r="7023">
      <c r="A7023" s="5">
        <v>1975</v>
      </c>
      <c r="B7023" s="5" t="str">
        <f>'Lineal Mixto'!$C$1979</f>
      </c>
      <c r="C7023" s="5" t="str">
        <f>'Lineal Mixto'!$C$1980</f>
      </c>
      <c r="D7023" s="5" t="str">
        <f>MIN(INT(B7023*5),4)</f>
      </c>
      <c r="E7023" s="5" t="str">
        <f>MIN(INT(C7023*5),4)</f>
      </c>
      <c r="F7023" s="5" t="str">
        <f>D7023*5+E7023</f>
      </c>
    </row>
    <row r="7024">
      <c r="A7024" s="6">
        <v>1976</v>
      </c>
      <c r="B7024" s="6" t="str">
        <f>'Lineal Mixto'!$C$1980</f>
      </c>
      <c r="C7024" s="6" t="str">
        <f>'Lineal Mixto'!$C$1981</f>
      </c>
      <c r="D7024" s="6" t="str">
        <f>MIN(INT(B7024*5),4)</f>
      </c>
      <c r="E7024" s="6" t="str">
        <f>MIN(INT(C7024*5),4)</f>
      </c>
      <c r="F7024" s="6" t="str">
        <f>D7024*5+E7024</f>
      </c>
    </row>
    <row r="7025">
      <c r="A7025" s="5">
        <v>1977</v>
      </c>
      <c r="B7025" s="5" t="str">
        <f>'Lineal Mixto'!$C$1981</f>
      </c>
      <c r="C7025" s="5" t="str">
        <f>'Lineal Mixto'!$C$1982</f>
      </c>
      <c r="D7025" s="5" t="str">
        <f>MIN(INT(B7025*5),4)</f>
      </c>
      <c r="E7025" s="5" t="str">
        <f>MIN(INT(C7025*5),4)</f>
      </c>
      <c r="F7025" s="5" t="str">
        <f>D7025*5+E7025</f>
      </c>
    </row>
    <row r="7026">
      <c r="A7026" s="6">
        <v>1978</v>
      </c>
      <c r="B7026" s="6" t="str">
        <f>'Lineal Mixto'!$C$1982</f>
      </c>
      <c r="C7026" s="6" t="str">
        <f>'Lineal Mixto'!$C$1983</f>
      </c>
      <c r="D7026" s="6" t="str">
        <f>MIN(INT(B7026*5),4)</f>
      </c>
      <c r="E7026" s="6" t="str">
        <f>MIN(INT(C7026*5),4)</f>
      </c>
      <c r="F7026" s="6" t="str">
        <f>D7026*5+E7026</f>
      </c>
    </row>
    <row r="7027">
      <c r="A7027" s="5">
        <v>1979</v>
      </c>
      <c r="B7027" s="5" t="str">
        <f>'Lineal Mixto'!$C$1983</f>
      </c>
      <c r="C7027" s="5" t="str">
        <f>'Lineal Mixto'!$C$1984</f>
      </c>
      <c r="D7027" s="5" t="str">
        <f>MIN(INT(B7027*5),4)</f>
      </c>
      <c r="E7027" s="5" t="str">
        <f>MIN(INT(C7027*5),4)</f>
      </c>
      <c r="F7027" s="5" t="str">
        <f>D7027*5+E7027</f>
      </c>
    </row>
    <row r="7028">
      <c r="A7028" s="6">
        <v>1980</v>
      </c>
      <c r="B7028" s="6" t="str">
        <f>'Lineal Mixto'!$C$1984</f>
      </c>
      <c r="C7028" s="6" t="str">
        <f>'Lineal Mixto'!$C$1985</f>
      </c>
      <c r="D7028" s="6" t="str">
        <f>MIN(INT(B7028*5),4)</f>
      </c>
      <c r="E7028" s="6" t="str">
        <f>MIN(INT(C7028*5),4)</f>
      </c>
      <c r="F7028" s="6" t="str">
        <f>D7028*5+E7028</f>
      </c>
    </row>
    <row r="7029">
      <c r="A7029" s="5">
        <v>1981</v>
      </c>
      <c r="B7029" s="5" t="str">
        <f>'Lineal Mixto'!$C$1985</f>
      </c>
      <c r="C7029" s="5" t="str">
        <f>'Lineal Mixto'!$C$1986</f>
      </c>
      <c r="D7029" s="5" t="str">
        <f>MIN(INT(B7029*5),4)</f>
      </c>
      <c r="E7029" s="5" t="str">
        <f>MIN(INT(C7029*5),4)</f>
      </c>
      <c r="F7029" s="5" t="str">
        <f>D7029*5+E7029</f>
      </c>
    </row>
    <row r="7030">
      <c r="A7030" s="6">
        <v>1982</v>
      </c>
      <c r="B7030" s="6" t="str">
        <f>'Lineal Mixto'!$C$1986</f>
      </c>
      <c r="C7030" s="6" t="str">
        <f>'Lineal Mixto'!$C$1987</f>
      </c>
      <c r="D7030" s="6" t="str">
        <f>MIN(INT(B7030*5),4)</f>
      </c>
      <c r="E7030" s="6" t="str">
        <f>MIN(INT(C7030*5),4)</f>
      </c>
      <c r="F7030" s="6" t="str">
        <f>D7030*5+E7030</f>
      </c>
    </row>
    <row r="7031">
      <c r="A7031" s="5">
        <v>1983</v>
      </c>
      <c r="B7031" s="5" t="str">
        <f>'Lineal Mixto'!$C$1987</f>
      </c>
      <c r="C7031" s="5" t="str">
        <f>'Lineal Mixto'!$C$1988</f>
      </c>
      <c r="D7031" s="5" t="str">
        <f>MIN(INT(B7031*5),4)</f>
      </c>
      <c r="E7031" s="5" t="str">
        <f>MIN(INT(C7031*5),4)</f>
      </c>
      <c r="F7031" s="5" t="str">
        <f>D7031*5+E7031</f>
      </c>
    </row>
    <row r="7032">
      <c r="A7032" s="6">
        <v>1984</v>
      </c>
      <c r="B7032" s="6" t="str">
        <f>'Lineal Mixto'!$C$1988</f>
      </c>
      <c r="C7032" s="6" t="str">
        <f>'Lineal Mixto'!$C$1989</f>
      </c>
      <c r="D7032" s="6" t="str">
        <f>MIN(INT(B7032*5),4)</f>
      </c>
      <c r="E7032" s="6" t="str">
        <f>MIN(INT(C7032*5),4)</f>
      </c>
      <c r="F7032" s="6" t="str">
        <f>D7032*5+E7032</f>
      </c>
    </row>
    <row r="7033">
      <c r="A7033" s="5">
        <v>1985</v>
      </c>
      <c r="B7033" s="5" t="str">
        <f>'Lineal Mixto'!$C$1989</f>
      </c>
      <c r="C7033" s="5" t="str">
        <f>'Lineal Mixto'!$C$1990</f>
      </c>
      <c r="D7033" s="5" t="str">
        <f>MIN(INT(B7033*5),4)</f>
      </c>
      <c r="E7033" s="5" t="str">
        <f>MIN(INT(C7033*5),4)</f>
      </c>
      <c r="F7033" s="5" t="str">
        <f>D7033*5+E7033</f>
      </c>
    </row>
    <row r="7034">
      <c r="A7034" s="6">
        <v>1986</v>
      </c>
      <c r="B7034" s="6" t="str">
        <f>'Lineal Mixto'!$C$1990</f>
      </c>
      <c r="C7034" s="6" t="str">
        <f>'Lineal Mixto'!$C$1991</f>
      </c>
      <c r="D7034" s="6" t="str">
        <f>MIN(INT(B7034*5),4)</f>
      </c>
      <c r="E7034" s="6" t="str">
        <f>MIN(INT(C7034*5),4)</f>
      </c>
      <c r="F7034" s="6" t="str">
        <f>D7034*5+E7034</f>
      </c>
    </row>
    <row r="7035">
      <c r="A7035" s="5">
        <v>1987</v>
      </c>
      <c r="B7035" s="5" t="str">
        <f>'Lineal Mixto'!$C$1991</f>
      </c>
      <c r="C7035" s="5" t="str">
        <f>'Lineal Mixto'!$C$1992</f>
      </c>
      <c r="D7035" s="5" t="str">
        <f>MIN(INT(B7035*5),4)</f>
      </c>
      <c r="E7035" s="5" t="str">
        <f>MIN(INT(C7035*5),4)</f>
      </c>
      <c r="F7035" s="5" t="str">
        <f>D7035*5+E7035</f>
      </c>
    </row>
    <row r="7036">
      <c r="A7036" s="6">
        <v>1988</v>
      </c>
      <c r="B7036" s="6" t="str">
        <f>'Lineal Mixto'!$C$1992</f>
      </c>
      <c r="C7036" s="6" t="str">
        <f>'Lineal Mixto'!$C$1993</f>
      </c>
      <c r="D7036" s="6" t="str">
        <f>MIN(INT(B7036*5),4)</f>
      </c>
      <c r="E7036" s="6" t="str">
        <f>MIN(INT(C7036*5),4)</f>
      </c>
      <c r="F7036" s="6" t="str">
        <f>D7036*5+E7036</f>
      </c>
    </row>
    <row r="7037">
      <c r="A7037" s="5">
        <v>1989</v>
      </c>
      <c r="B7037" s="5" t="str">
        <f>'Lineal Mixto'!$C$1993</f>
      </c>
      <c r="C7037" s="5" t="str">
        <f>'Lineal Mixto'!$C$1994</f>
      </c>
      <c r="D7037" s="5" t="str">
        <f>MIN(INT(B7037*5),4)</f>
      </c>
      <c r="E7037" s="5" t="str">
        <f>MIN(INT(C7037*5),4)</f>
      </c>
      <c r="F7037" s="5" t="str">
        <f>D7037*5+E7037</f>
      </c>
    </row>
    <row r="7038">
      <c r="A7038" s="6">
        <v>1990</v>
      </c>
      <c r="B7038" s="6" t="str">
        <f>'Lineal Mixto'!$C$1994</f>
      </c>
      <c r="C7038" s="6" t="str">
        <f>'Lineal Mixto'!$C$1995</f>
      </c>
      <c r="D7038" s="6" t="str">
        <f>MIN(INT(B7038*5),4)</f>
      </c>
      <c r="E7038" s="6" t="str">
        <f>MIN(INT(C7038*5),4)</f>
      </c>
      <c r="F7038" s="6" t="str">
        <f>D7038*5+E7038</f>
      </c>
    </row>
    <row r="7039">
      <c r="A7039" s="5">
        <v>1991</v>
      </c>
      <c r="B7039" s="5" t="str">
        <f>'Lineal Mixto'!$C$1995</f>
      </c>
      <c r="C7039" s="5" t="str">
        <f>'Lineal Mixto'!$C$1996</f>
      </c>
      <c r="D7039" s="5" t="str">
        <f>MIN(INT(B7039*5),4)</f>
      </c>
      <c r="E7039" s="5" t="str">
        <f>MIN(INT(C7039*5),4)</f>
      </c>
      <c r="F7039" s="5" t="str">
        <f>D7039*5+E7039</f>
      </c>
    </row>
    <row r="7040">
      <c r="A7040" s="6">
        <v>1992</v>
      </c>
      <c r="B7040" s="6" t="str">
        <f>'Lineal Mixto'!$C$1996</f>
      </c>
      <c r="C7040" s="6" t="str">
        <f>'Lineal Mixto'!$C$1997</f>
      </c>
      <c r="D7040" s="6" t="str">
        <f>MIN(INT(B7040*5),4)</f>
      </c>
      <c r="E7040" s="6" t="str">
        <f>MIN(INT(C7040*5),4)</f>
      </c>
      <c r="F7040" s="6" t="str">
        <f>D7040*5+E7040</f>
      </c>
    </row>
    <row r="7041">
      <c r="A7041" s="5">
        <v>1993</v>
      </c>
      <c r="B7041" s="5" t="str">
        <f>'Lineal Mixto'!$C$1997</f>
      </c>
      <c r="C7041" s="5" t="str">
        <f>'Lineal Mixto'!$C$1998</f>
      </c>
      <c r="D7041" s="5" t="str">
        <f>MIN(INT(B7041*5),4)</f>
      </c>
      <c r="E7041" s="5" t="str">
        <f>MIN(INT(C7041*5),4)</f>
      </c>
      <c r="F7041" s="5" t="str">
        <f>D7041*5+E7041</f>
      </c>
    </row>
    <row r="7042">
      <c r="A7042" s="6">
        <v>1994</v>
      </c>
      <c r="B7042" s="6" t="str">
        <f>'Lineal Mixto'!$C$1998</f>
      </c>
      <c r="C7042" s="6" t="str">
        <f>'Lineal Mixto'!$C$1999</f>
      </c>
      <c r="D7042" s="6" t="str">
        <f>MIN(INT(B7042*5),4)</f>
      </c>
      <c r="E7042" s="6" t="str">
        <f>MIN(INT(C7042*5),4)</f>
      </c>
      <c r="F7042" s="6" t="str">
        <f>D7042*5+E7042</f>
      </c>
    </row>
    <row r="7043">
      <c r="A7043" s="5">
        <v>1995</v>
      </c>
      <c r="B7043" s="5" t="str">
        <f>'Lineal Mixto'!$C$1999</f>
      </c>
      <c r="C7043" s="5" t="str">
        <f>'Lineal Mixto'!$C$2000</f>
      </c>
      <c r="D7043" s="5" t="str">
        <f>MIN(INT(B7043*5),4)</f>
      </c>
      <c r="E7043" s="5" t="str">
        <f>MIN(INT(C7043*5),4)</f>
      </c>
      <c r="F7043" s="5" t="str">
        <f>D7043*5+E7043</f>
      </c>
    </row>
    <row r="7044">
      <c r="A7044" s="6">
        <v>1996</v>
      </c>
      <c r="B7044" s="6" t="str">
        <f>'Lineal Mixto'!$C$2000</f>
      </c>
      <c r="C7044" s="6" t="str">
        <f>'Lineal Mixto'!$C$2001</f>
      </c>
      <c r="D7044" s="6" t="str">
        <f>MIN(INT(B7044*5),4)</f>
      </c>
      <c r="E7044" s="6" t="str">
        <f>MIN(INT(C7044*5),4)</f>
      </c>
      <c r="F7044" s="6" t="str">
        <f>D7044*5+E7044</f>
      </c>
    </row>
    <row r="7045">
      <c r="A7045" s="5">
        <v>1997</v>
      </c>
      <c r="B7045" s="5" t="str">
        <f>'Lineal Mixto'!$C$2001</f>
      </c>
      <c r="C7045" s="5" t="str">
        <f>'Lineal Mixto'!$C$2002</f>
      </c>
      <c r="D7045" s="5" t="str">
        <f>MIN(INT(B7045*5),4)</f>
      </c>
      <c r="E7045" s="5" t="str">
        <f>MIN(INT(C7045*5),4)</f>
      </c>
      <c r="F7045" s="5" t="str">
        <f>D7045*5+E7045</f>
      </c>
    </row>
    <row r="7046">
      <c r="A7046" s="6">
        <v>1998</v>
      </c>
      <c r="B7046" s="6" t="str">
        <f>'Lineal Mixto'!$C$2002</f>
      </c>
      <c r="C7046" s="6" t="str">
        <f>'Lineal Mixto'!$C$2003</f>
      </c>
      <c r="D7046" s="6" t="str">
        <f>MIN(INT(B7046*5),4)</f>
      </c>
      <c r="E7046" s="6" t="str">
        <f>MIN(INT(C7046*5),4)</f>
      </c>
      <c r="F7046" s="6" t="str">
        <f>D7046*5+E7046</f>
      </c>
    </row>
    <row r="7047">
      <c r="A7047" s="5">
        <v>1999</v>
      </c>
      <c r="B7047" s="5" t="str">
        <f>'Lineal Mixto'!$C$2003</f>
      </c>
      <c r="C7047" s="5" t="str">
        <f>'Lineal Mixto'!$C$2004</f>
      </c>
      <c r="D7047" s="5" t="str">
        <f>MIN(INT(B7047*5),4)</f>
      </c>
      <c r="E7047" s="5" t="str">
        <f>MIN(INT(C7047*5),4)</f>
      </c>
      <c r="F7047" s="5" t="str">
        <f>D7047*5+E7047</f>
      </c>
    </row>
    <row r="7049">
      <c r="A7049" s="4" t="s">
        <v>53</v>
      </c>
      <c r="B7049" s="4" t="s">
        <v>12</v>
      </c>
      <c r="C7049" s="4" t="s">
        <v>54</v>
      </c>
      <c r="D7049" s="4" t="s">
        <v>55</v>
      </c>
    </row>
    <row r="7050">
      <c r="A7050" s="5">
        <v>0</v>
      </c>
      <c r="B7050" s="5" t="str">
        <f>COUNTIFS($F$5049:$F$7047,0)</f>
      </c>
      <c r="C7050" s="5" t="str">
        <f>(COUNT('Lineal Mixto'!$C$5:$C$2004)-1)/25</f>
      </c>
      <c r="D7050" s="5" t="str">
        <f>(B7050-C7050)^2</f>
      </c>
    </row>
    <row r="7051">
      <c r="A7051" s="6">
        <v>1</v>
      </c>
      <c r="B7051" s="6" t="str">
        <f>COUNTIFS($F$5049:$F$7047,1)</f>
      </c>
      <c r="C7051" s="6" t="str">
        <f>(COUNT('Lineal Mixto'!$C$5:$C$2004)-1)/25</f>
      </c>
      <c r="D7051" s="6" t="str">
        <f>(B7051-C7051)^2</f>
      </c>
    </row>
    <row r="7052">
      <c r="A7052" s="5">
        <v>2</v>
      </c>
      <c r="B7052" s="5" t="str">
        <f>COUNTIFS($F$5049:$F$7047,2)</f>
      </c>
      <c r="C7052" s="5" t="str">
        <f>(COUNT('Lineal Mixto'!$C$5:$C$2004)-1)/25</f>
      </c>
      <c r="D7052" s="5" t="str">
        <f>(B7052-C7052)^2</f>
      </c>
    </row>
    <row r="7053">
      <c r="A7053" s="6">
        <v>3</v>
      </c>
      <c r="B7053" s="6" t="str">
        <f>COUNTIFS($F$5049:$F$7047,3)</f>
      </c>
      <c r="C7053" s="6" t="str">
        <f>(COUNT('Lineal Mixto'!$C$5:$C$2004)-1)/25</f>
      </c>
      <c r="D7053" s="6" t="str">
        <f>(B7053-C7053)^2</f>
      </c>
    </row>
    <row r="7054">
      <c r="A7054" s="5">
        <v>4</v>
      </c>
      <c r="B7054" s="5" t="str">
        <f>COUNTIFS($F$5049:$F$7047,4)</f>
      </c>
      <c r="C7054" s="5" t="str">
        <f>(COUNT('Lineal Mixto'!$C$5:$C$2004)-1)/25</f>
      </c>
      <c r="D7054" s="5" t="str">
        <f>(B7054-C7054)^2</f>
      </c>
    </row>
    <row r="7055">
      <c r="A7055" s="6">
        <v>5</v>
      </c>
      <c r="B7055" s="6" t="str">
        <f>COUNTIFS($F$5049:$F$7047,5)</f>
      </c>
      <c r="C7055" s="6" t="str">
        <f>(COUNT('Lineal Mixto'!$C$5:$C$2004)-1)/25</f>
      </c>
      <c r="D7055" s="6" t="str">
        <f>(B7055-C7055)^2</f>
      </c>
    </row>
    <row r="7056">
      <c r="A7056" s="5">
        <v>6</v>
      </c>
      <c r="B7056" s="5" t="str">
        <f>COUNTIFS($F$5049:$F$7047,6)</f>
      </c>
      <c r="C7056" s="5" t="str">
        <f>(COUNT('Lineal Mixto'!$C$5:$C$2004)-1)/25</f>
      </c>
      <c r="D7056" s="5" t="str">
        <f>(B7056-C7056)^2</f>
      </c>
    </row>
    <row r="7057">
      <c r="A7057" s="6">
        <v>7</v>
      </c>
      <c r="B7057" s="6" t="str">
        <f>COUNTIFS($F$5049:$F$7047,7)</f>
      </c>
      <c r="C7057" s="6" t="str">
        <f>(COUNT('Lineal Mixto'!$C$5:$C$2004)-1)/25</f>
      </c>
      <c r="D7057" s="6" t="str">
        <f>(B7057-C7057)^2</f>
      </c>
    </row>
    <row r="7058">
      <c r="A7058" s="5">
        <v>8</v>
      </c>
      <c r="B7058" s="5" t="str">
        <f>COUNTIFS($F$5049:$F$7047,8)</f>
      </c>
      <c r="C7058" s="5" t="str">
        <f>(COUNT('Lineal Mixto'!$C$5:$C$2004)-1)/25</f>
      </c>
      <c r="D7058" s="5" t="str">
        <f>(B7058-C7058)^2</f>
      </c>
    </row>
    <row r="7059">
      <c r="A7059" s="6">
        <v>9</v>
      </c>
      <c r="B7059" s="6" t="str">
        <f>COUNTIFS($F$5049:$F$7047,9)</f>
      </c>
      <c r="C7059" s="6" t="str">
        <f>(COUNT('Lineal Mixto'!$C$5:$C$2004)-1)/25</f>
      </c>
      <c r="D7059" s="6" t="str">
        <f>(B7059-C7059)^2</f>
      </c>
    </row>
    <row r="7060">
      <c r="A7060" s="5">
        <v>10</v>
      </c>
      <c r="B7060" s="5" t="str">
        <f>COUNTIFS($F$5049:$F$7047,10)</f>
      </c>
      <c r="C7060" s="5" t="str">
        <f>(COUNT('Lineal Mixto'!$C$5:$C$2004)-1)/25</f>
      </c>
      <c r="D7060" s="5" t="str">
        <f>(B7060-C7060)^2</f>
      </c>
    </row>
    <row r="7061">
      <c r="A7061" s="6">
        <v>11</v>
      </c>
      <c r="B7061" s="6" t="str">
        <f>COUNTIFS($F$5049:$F$7047,11)</f>
      </c>
      <c r="C7061" s="6" t="str">
        <f>(COUNT('Lineal Mixto'!$C$5:$C$2004)-1)/25</f>
      </c>
      <c r="D7061" s="6" t="str">
        <f>(B7061-C7061)^2</f>
      </c>
    </row>
    <row r="7062">
      <c r="A7062" s="5">
        <v>12</v>
      </c>
      <c r="B7062" s="5" t="str">
        <f>COUNTIFS($F$5049:$F$7047,12)</f>
      </c>
      <c r="C7062" s="5" t="str">
        <f>(COUNT('Lineal Mixto'!$C$5:$C$2004)-1)/25</f>
      </c>
      <c r="D7062" s="5" t="str">
        <f>(B7062-C7062)^2</f>
      </c>
    </row>
    <row r="7063">
      <c r="A7063" s="6">
        <v>13</v>
      </c>
      <c r="B7063" s="6" t="str">
        <f>COUNTIFS($F$5049:$F$7047,13)</f>
      </c>
      <c r="C7063" s="6" t="str">
        <f>(COUNT('Lineal Mixto'!$C$5:$C$2004)-1)/25</f>
      </c>
      <c r="D7063" s="6" t="str">
        <f>(B7063-C7063)^2</f>
      </c>
    </row>
    <row r="7064">
      <c r="A7064" s="5">
        <v>14</v>
      </c>
      <c r="B7064" s="5" t="str">
        <f>COUNTIFS($F$5049:$F$7047,14)</f>
      </c>
      <c r="C7064" s="5" t="str">
        <f>(COUNT('Lineal Mixto'!$C$5:$C$2004)-1)/25</f>
      </c>
      <c r="D7064" s="5" t="str">
        <f>(B7064-C7064)^2</f>
      </c>
    </row>
    <row r="7065">
      <c r="A7065" s="6">
        <v>15</v>
      </c>
      <c r="B7065" s="6" t="str">
        <f>COUNTIFS($F$5049:$F$7047,15)</f>
      </c>
      <c r="C7065" s="6" t="str">
        <f>(COUNT('Lineal Mixto'!$C$5:$C$2004)-1)/25</f>
      </c>
      <c r="D7065" s="6" t="str">
        <f>(B7065-C7065)^2</f>
      </c>
    </row>
    <row r="7066">
      <c r="A7066" s="5">
        <v>16</v>
      </c>
      <c r="B7066" s="5" t="str">
        <f>COUNTIFS($F$5049:$F$7047,16)</f>
      </c>
      <c r="C7066" s="5" t="str">
        <f>(COUNT('Lineal Mixto'!$C$5:$C$2004)-1)/25</f>
      </c>
      <c r="D7066" s="5" t="str">
        <f>(B7066-C7066)^2</f>
      </c>
    </row>
    <row r="7067">
      <c r="A7067" s="6">
        <v>17</v>
      </c>
      <c r="B7067" s="6" t="str">
        <f>COUNTIFS($F$5049:$F$7047,17)</f>
      </c>
      <c r="C7067" s="6" t="str">
        <f>(COUNT('Lineal Mixto'!$C$5:$C$2004)-1)/25</f>
      </c>
      <c r="D7067" s="6" t="str">
        <f>(B7067-C7067)^2</f>
      </c>
    </row>
    <row r="7068">
      <c r="A7068" s="5">
        <v>18</v>
      </c>
      <c r="B7068" s="5" t="str">
        <f>COUNTIFS($F$5049:$F$7047,18)</f>
      </c>
      <c r="C7068" s="5" t="str">
        <f>(COUNT('Lineal Mixto'!$C$5:$C$2004)-1)/25</f>
      </c>
      <c r="D7068" s="5" t="str">
        <f>(B7068-C7068)^2</f>
      </c>
    </row>
    <row r="7069">
      <c r="A7069" s="6">
        <v>19</v>
      </c>
      <c r="B7069" s="6" t="str">
        <f>COUNTIFS($F$5049:$F$7047,19)</f>
      </c>
      <c r="C7069" s="6" t="str">
        <f>(COUNT('Lineal Mixto'!$C$5:$C$2004)-1)/25</f>
      </c>
      <c r="D7069" s="6" t="str">
        <f>(B7069-C7069)^2</f>
      </c>
    </row>
    <row r="7070">
      <c r="A7070" s="5">
        <v>20</v>
      </c>
      <c r="B7070" s="5" t="str">
        <f>COUNTIFS($F$5049:$F$7047,20)</f>
      </c>
      <c r="C7070" s="5" t="str">
        <f>(COUNT('Lineal Mixto'!$C$5:$C$2004)-1)/25</f>
      </c>
      <c r="D7070" s="5" t="str">
        <f>(B7070-C7070)^2</f>
      </c>
    </row>
    <row r="7071">
      <c r="A7071" s="6">
        <v>21</v>
      </c>
      <c r="B7071" s="6" t="str">
        <f>COUNTIFS($F$5049:$F$7047,21)</f>
      </c>
      <c r="C7071" s="6" t="str">
        <f>(COUNT('Lineal Mixto'!$C$5:$C$2004)-1)/25</f>
      </c>
      <c r="D7071" s="6" t="str">
        <f>(B7071-C7071)^2</f>
      </c>
    </row>
    <row r="7072">
      <c r="A7072" s="5">
        <v>22</v>
      </c>
      <c r="B7072" s="5" t="str">
        <f>COUNTIFS($F$5049:$F$7047,22)</f>
      </c>
      <c r="C7072" s="5" t="str">
        <f>(COUNT('Lineal Mixto'!$C$5:$C$2004)-1)/25</f>
      </c>
      <c r="D7072" s="5" t="str">
        <f>(B7072-C7072)^2</f>
      </c>
    </row>
    <row r="7073">
      <c r="A7073" s="6">
        <v>23</v>
      </c>
      <c r="B7073" s="6" t="str">
        <f>COUNTIFS($F$5049:$F$7047,23)</f>
      </c>
      <c r="C7073" s="6" t="str">
        <f>(COUNT('Lineal Mixto'!$C$5:$C$2004)-1)/25</f>
      </c>
      <c r="D7073" s="6" t="str">
        <f>(B7073-C7073)^2</f>
      </c>
    </row>
    <row r="7074">
      <c r="A7074" s="5">
        <v>24</v>
      </c>
      <c r="B7074" s="5" t="str">
        <f>COUNTIFS($F$5049:$F$7047,24)</f>
      </c>
      <c r="C7074" s="5" t="str">
        <f>(COUNT('Lineal Mixto'!$C$5:$C$2004)-1)/25</f>
      </c>
      <c r="D7074" s="5" t="str">
        <f>(B7074-C7074)^2</f>
      </c>
    </row>
    <row r="7076">
      <c r="A7076" t="s">
        <v>56</v>
      </c>
      <c r="B7076" t="str">
        <f>(COUNT('Lineal Mixto'!$C$5:$C$2004)-1)</f>
      </c>
    </row>
    <row r="7077">
      <c r="A7077" t="s">
        <v>57</v>
      </c>
      <c r="B7077" t="str">
        <f>(25/MAX(B7076,1))*SUM($D$7050:$D$7074)</f>
      </c>
    </row>
  </sheetData>
  <mergeCells count="8">
    <mergeCell ref="A1:H1"/>
    <mergeCell ref="A2:H2"/>
    <mergeCell ref="A4:H4"/>
    <mergeCell ref="A10:H10"/>
    <mergeCell ref="A23:H23"/>
    <mergeCell ref="A2026:H2026"/>
    <mergeCell ref="A3033:H3033"/>
    <mergeCell ref="A5047:H504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